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souro.sharepoint.com/teams/COREM-GERAT/Documentos Compartilhados/GERAT/4- Estatais/Raio-X 2025/"/>
    </mc:Choice>
  </mc:AlternateContent>
  <xr:revisionPtr revIDLastSave="949" documentId="8_{08C77C74-8229-40D3-8D14-FC24B2762039}" xr6:coauthVersionLast="47" xr6:coauthVersionMax="47" xr10:uidLastSave="{EC873E17-4B1C-4C8D-B27A-9863FE159BEA}"/>
  <bookViews>
    <workbookView xWindow="-108" yWindow="-108" windowWidth="23256" windowHeight="12456" activeTab="1" xr2:uid="{00000000-000D-0000-FFFF-FFFF00000000}"/>
  </bookViews>
  <sheets>
    <sheet name="ex2024" sheetId="4" r:id="rId1"/>
    <sheet name="ex2024 (fórmulas)" sheetId="16" r:id="rId2"/>
    <sheet name="ex2023" sheetId="12" r:id="rId3"/>
    <sheet name="Estatais Ausentes" sheetId="8" r:id="rId4"/>
    <sheet name="Estatisticas" sheetId="15" r:id="rId5"/>
    <sheet name="rentabilidade" sheetId="17" r:id="rId6"/>
  </sheets>
  <externalReferences>
    <externalReference r:id="rId7"/>
  </externalReferences>
  <definedNames>
    <definedName name="_xlnm._FilterDatabase" localSheetId="2" hidden="1">'ex2023'!$A$1:$AX$296</definedName>
    <definedName name="_xlnm._FilterDatabase" localSheetId="0" hidden="1">'ex2024'!$L$1:$L$321</definedName>
    <definedName name="_xlnm._FilterDatabase" localSheetId="1" hidden="1">'ex2024 (fórmulas)'!$B$1:$AZ$299</definedName>
    <definedName name="_xlnm._FilterDatabase" localSheetId="5" hidden="1">rentabilidade!$B$1:$AQ$299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7" l="1"/>
  <c r="AQ5" i="17"/>
  <c r="AQ299" i="17"/>
  <c r="AQ298" i="17"/>
  <c r="AQ297" i="17"/>
  <c r="AQ296" i="17"/>
  <c r="AQ295" i="17"/>
  <c r="AQ294" i="17"/>
  <c r="AQ293" i="17"/>
  <c r="AQ292" i="17"/>
  <c r="AQ291" i="17"/>
  <c r="AQ290" i="17"/>
  <c r="AQ289" i="17"/>
  <c r="AQ288" i="17"/>
  <c r="AQ287" i="17"/>
  <c r="AQ286" i="17"/>
  <c r="AQ285" i="17"/>
  <c r="AQ284" i="17"/>
  <c r="AQ283" i="17"/>
  <c r="AQ282" i="17"/>
  <c r="AQ281" i="17"/>
  <c r="AQ280" i="17"/>
  <c r="AQ279" i="17"/>
  <c r="AQ278" i="17"/>
  <c r="AQ277" i="17"/>
  <c r="AQ276" i="17"/>
  <c r="AQ275" i="17"/>
  <c r="AQ274" i="17"/>
  <c r="AQ273" i="17"/>
  <c r="AQ272" i="17"/>
  <c r="AQ271" i="17"/>
  <c r="AQ270" i="17"/>
  <c r="AQ269" i="17"/>
  <c r="AQ268" i="17"/>
  <c r="AQ267" i="17"/>
  <c r="AQ266" i="17"/>
  <c r="AQ265" i="17"/>
  <c r="AQ264" i="17"/>
  <c r="AQ263" i="17"/>
  <c r="AQ262" i="17"/>
  <c r="AQ261" i="17"/>
  <c r="AQ260" i="17"/>
  <c r="AQ259" i="17"/>
  <c r="AQ258" i="17"/>
  <c r="AQ257" i="17"/>
  <c r="AQ256" i="17"/>
  <c r="AQ255" i="17"/>
  <c r="AQ254" i="17"/>
  <c r="AQ253" i="17"/>
  <c r="AQ252" i="17"/>
  <c r="AQ251" i="17"/>
  <c r="AQ250" i="17"/>
  <c r="AQ249" i="17"/>
  <c r="AQ248" i="17"/>
  <c r="AQ247" i="17"/>
  <c r="AQ246" i="17"/>
  <c r="AQ245" i="17"/>
  <c r="AQ244" i="17"/>
  <c r="AQ243" i="17"/>
  <c r="AQ242" i="17"/>
  <c r="AQ241" i="17"/>
  <c r="AQ240" i="17"/>
  <c r="AQ239" i="17"/>
  <c r="AQ238" i="17"/>
  <c r="AQ237" i="17"/>
  <c r="AQ236" i="17"/>
  <c r="AQ235" i="17"/>
  <c r="AQ234" i="17"/>
  <c r="AQ233" i="17"/>
  <c r="AQ232" i="17"/>
  <c r="AQ231" i="17"/>
  <c r="AQ230" i="17"/>
  <c r="AQ229" i="17"/>
  <c r="AQ228" i="17"/>
  <c r="AQ227" i="17"/>
  <c r="AQ226" i="17"/>
  <c r="AQ225" i="17"/>
  <c r="AQ224" i="17"/>
  <c r="AQ223" i="17"/>
  <c r="AQ222" i="17"/>
  <c r="AQ221" i="17"/>
  <c r="AQ220" i="17"/>
  <c r="AQ219" i="17"/>
  <c r="AQ218" i="17"/>
  <c r="AQ217" i="17"/>
  <c r="AQ216" i="17"/>
  <c r="AQ215" i="17"/>
  <c r="AQ214" i="17"/>
  <c r="AQ213" i="17"/>
  <c r="AQ212" i="17"/>
  <c r="AQ211" i="17"/>
  <c r="AQ210" i="17"/>
  <c r="AQ209" i="17"/>
  <c r="AQ208" i="17"/>
  <c r="AQ207" i="17"/>
  <c r="AQ206" i="17"/>
  <c r="AQ205" i="17"/>
  <c r="AQ204" i="17"/>
  <c r="AQ203" i="17"/>
  <c r="AQ202" i="17"/>
  <c r="AQ201" i="17"/>
  <c r="AQ200" i="17"/>
  <c r="AQ199" i="17"/>
  <c r="AQ198" i="17"/>
  <c r="AQ197" i="17"/>
  <c r="AQ196" i="17"/>
  <c r="AQ195" i="17"/>
  <c r="AQ194" i="17"/>
  <c r="AQ193" i="17"/>
  <c r="AQ192" i="17"/>
  <c r="AQ191" i="17"/>
  <c r="AQ190" i="17"/>
  <c r="AQ189" i="17"/>
  <c r="AQ188" i="17"/>
  <c r="AQ187" i="17"/>
  <c r="AQ186" i="17"/>
  <c r="AQ185" i="17"/>
  <c r="AQ184" i="17"/>
  <c r="AQ183" i="17"/>
  <c r="AQ182" i="17"/>
  <c r="AQ181" i="17"/>
  <c r="AQ180" i="17"/>
  <c r="AQ179" i="17"/>
  <c r="AQ178" i="17"/>
  <c r="AQ177" i="17"/>
  <c r="AQ176" i="17"/>
  <c r="AQ175" i="17"/>
  <c r="AQ174" i="17"/>
  <c r="AQ173" i="17"/>
  <c r="AQ172" i="17"/>
  <c r="AQ171" i="17"/>
  <c r="AQ170" i="17"/>
  <c r="AQ169" i="17"/>
  <c r="AQ168" i="17"/>
  <c r="AQ167" i="17"/>
  <c r="AQ166" i="17"/>
  <c r="AQ165" i="17"/>
  <c r="AQ164" i="17"/>
  <c r="AQ163" i="17"/>
  <c r="AQ162" i="17"/>
  <c r="AQ161" i="17"/>
  <c r="AQ160" i="17"/>
  <c r="AQ159" i="17"/>
  <c r="AQ158" i="17"/>
  <c r="AQ157" i="17"/>
  <c r="AQ156" i="17"/>
  <c r="AQ155" i="17"/>
  <c r="AQ154" i="17"/>
  <c r="AQ153" i="17"/>
  <c r="AQ152" i="17"/>
  <c r="AQ151" i="17"/>
  <c r="AQ150" i="17"/>
  <c r="AQ149" i="17"/>
  <c r="AQ148" i="17"/>
  <c r="AQ147" i="17"/>
  <c r="AQ146" i="17"/>
  <c r="AQ145" i="17"/>
  <c r="AQ144" i="17"/>
  <c r="AQ143" i="17"/>
  <c r="AQ142" i="17"/>
  <c r="AQ141" i="17"/>
  <c r="AQ140" i="17"/>
  <c r="AQ139" i="17"/>
  <c r="AQ138" i="17"/>
  <c r="AQ137" i="17"/>
  <c r="AQ136" i="17"/>
  <c r="AQ135" i="17"/>
  <c r="AQ134" i="17"/>
  <c r="AQ133" i="17"/>
  <c r="AQ132" i="17"/>
  <c r="AQ131" i="17"/>
  <c r="AQ130" i="17"/>
  <c r="AQ129" i="17"/>
  <c r="AQ128" i="17"/>
  <c r="AQ127" i="17"/>
  <c r="AQ126" i="17"/>
  <c r="AQ125" i="17"/>
  <c r="AQ124" i="17"/>
  <c r="AQ123" i="17"/>
  <c r="AQ122" i="17"/>
  <c r="AQ121" i="17"/>
  <c r="AQ120" i="17"/>
  <c r="AQ119" i="17"/>
  <c r="AQ118" i="17"/>
  <c r="AQ117" i="17"/>
  <c r="AQ116" i="17"/>
  <c r="AQ115" i="17"/>
  <c r="AQ114" i="17"/>
  <c r="AQ113" i="17"/>
  <c r="AQ112" i="17"/>
  <c r="AQ111" i="17"/>
  <c r="AQ110" i="17"/>
  <c r="AQ109" i="17"/>
  <c r="AQ108" i="17"/>
  <c r="AQ107" i="17"/>
  <c r="AQ106" i="17"/>
  <c r="AQ105" i="17"/>
  <c r="AQ104" i="17"/>
  <c r="AQ103" i="17"/>
  <c r="AQ102" i="17"/>
  <c r="AQ101" i="17"/>
  <c r="AQ100" i="17"/>
  <c r="AQ99" i="17"/>
  <c r="AQ98" i="17"/>
  <c r="AQ97" i="17"/>
  <c r="AQ96" i="17"/>
  <c r="AQ95" i="17"/>
  <c r="AQ94" i="17"/>
  <c r="AQ93" i="17"/>
  <c r="AQ92" i="17"/>
  <c r="AQ91" i="17"/>
  <c r="AQ90" i="17"/>
  <c r="AQ89" i="17"/>
  <c r="AQ88" i="17"/>
  <c r="AQ87" i="17"/>
  <c r="AQ86" i="17"/>
  <c r="AQ85" i="17"/>
  <c r="AQ84" i="17"/>
  <c r="AQ83" i="17"/>
  <c r="AQ82" i="17"/>
  <c r="AQ81" i="17"/>
  <c r="AQ80" i="17"/>
  <c r="AQ79" i="17"/>
  <c r="AQ78" i="17"/>
  <c r="AQ77" i="17"/>
  <c r="AQ76" i="17"/>
  <c r="AQ75" i="17"/>
  <c r="AQ74" i="17"/>
  <c r="AQ73" i="17"/>
  <c r="AQ72" i="17"/>
  <c r="AQ71" i="17"/>
  <c r="AQ70" i="17"/>
  <c r="AQ69" i="17"/>
  <c r="AQ68" i="17"/>
  <c r="AQ67" i="17"/>
  <c r="AQ66" i="17"/>
  <c r="AQ65" i="17"/>
  <c r="AQ64" i="17"/>
  <c r="AQ63" i="17"/>
  <c r="AQ62" i="17"/>
  <c r="AQ61" i="17"/>
  <c r="AQ60" i="17"/>
  <c r="AQ59" i="17"/>
  <c r="AQ58" i="17"/>
  <c r="AQ57" i="17"/>
  <c r="AQ56" i="17"/>
  <c r="AQ55" i="17"/>
  <c r="AQ54" i="17"/>
  <c r="AQ53" i="17"/>
  <c r="AQ52" i="17"/>
  <c r="AQ51" i="17"/>
  <c r="AQ50" i="17"/>
  <c r="AQ49" i="17"/>
  <c r="AQ48" i="17"/>
  <c r="AQ47" i="17"/>
  <c r="AQ46" i="17"/>
  <c r="AQ45" i="17"/>
  <c r="AQ44" i="17"/>
  <c r="AQ43" i="17"/>
  <c r="AQ42" i="17"/>
  <c r="AQ41" i="17"/>
  <c r="AQ40" i="17"/>
  <c r="AQ39" i="17"/>
  <c r="AQ38" i="17"/>
  <c r="AQ37" i="17"/>
  <c r="AQ36" i="17"/>
  <c r="AQ35" i="17"/>
  <c r="AQ34" i="17"/>
  <c r="AQ33" i="17"/>
  <c r="AQ32" i="17"/>
  <c r="AQ31" i="17"/>
  <c r="AQ30" i="17"/>
  <c r="AQ29" i="17"/>
  <c r="AQ28" i="17"/>
  <c r="AQ27" i="17"/>
  <c r="AQ26" i="17"/>
  <c r="AQ25" i="17"/>
  <c r="AQ24" i="17"/>
  <c r="AQ23" i="17"/>
  <c r="AQ22" i="17"/>
  <c r="AQ21" i="17"/>
  <c r="AQ20" i="17"/>
  <c r="AQ19" i="17"/>
  <c r="AQ18" i="17"/>
  <c r="AQ17" i="17"/>
  <c r="AQ16" i="17"/>
  <c r="AQ15" i="17"/>
  <c r="AQ14" i="17"/>
  <c r="AQ13" i="17"/>
  <c r="AQ12" i="17"/>
  <c r="AQ11" i="17"/>
  <c r="AQ10" i="17"/>
  <c r="AQ9" i="17"/>
  <c r="AQ8" i="17"/>
  <c r="AQ7" i="17"/>
  <c r="AQ6" i="17"/>
  <c r="AQ4" i="17"/>
  <c r="AQ3" i="17"/>
  <c r="AP4" i="4"/>
  <c r="O4" i="16"/>
  <c r="AX3" i="16"/>
  <c r="AX4" i="16"/>
  <c r="AX57" i="16"/>
  <c r="AX106" i="16"/>
  <c r="AX185" i="16"/>
  <c r="AX210" i="16"/>
  <c r="AX236" i="16"/>
  <c r="AX252" i="16"/>
  <c r="AX5" i="16"/>
  <c r="AX6" i="16"/>
  <c r="AX8" i="16"/>
  <c r="AX9" i="16"/>
  <c r="AX14" i="16"/>
  <c r="AX15" i="16"/>
  <c r="AX11" i="16"/>
  <c r="AX13" i="16"/>
  <c r="AX19" i="16"/>
  <c r="AX18" i="16"/>
  <c r="AX16" i="16"/>
  <c r="AX10" i="16"/>
  <c r="AX7" i="16"/>
  <c r="AX2" i="16"/>
  <c r="AX24" i="16"/>
  <c r="AX12" i="16"/>
  <c r="AX26" i="16"/>
  <c r="AX21" i="16"/>
  <c r="AX28" i="16"/>
  <c r="AX17" i="16"/>
  <c r="AX30" i="16"/>
  <c r="AX20" i="16"/>
  <c r="AX33" i="16"/>
  <c r="AX31" i="16"/>
  <c r="AX34" i="16"/>
  <c r="AX35" i="16"/>
  <c r="AX22" i="16"/>
  <c r="AX23" i="16"/>
  <c r="AX25" i="16"/>
  <c r="AX27" i="16"/>
  <c r="AX44" i="16"/>
  <c r="AX42" i="16"/>
  <c r="AX29" i="16"/>
  <c r="AX32" i="16"/>
  <c r="AX43" i="16"/>
  <c r="AX45" i="16"/>
  <c r="AX46" i="16"/>
  <c r="AX47" i="16"/>
  <c r="AX48" i="16"/>
  <c r="AX49" i="16"/>
  <c r="AX50" i="16"/>
  <c r="AX51" i="16"/>
  <c r="AX53" i="16"/>
  <c r="AX36" i="16"/>
  <c r="AX52" i="16"/>
  <c r="AX38" i="16"/>
  <c r="AX39" i="16"/>
  <c r="AX40" i="16"/>
  <c r="AX58" i="16"/>
  <c r="AX60" i="16"/>
  <c r="AX66" i="16"/>
  <c r="AX63" i="16"/>
  <c r="AX62" i="16"/>
  <c r="AX65" i="16"/>
  <c r="AX68" i="16"/>
  <c r="AX37" i="16"/>
  <c r="AX67" i="16"/>
  <c r="AX69" i="16"/>
  <c r="AX73" i="16"/>
  <c r="AX72" i="16"/>
  <c r="AX70" i="16"/>
  <c r="AX71" i="16"/>
  <c r="AX74" i="16"/>
  <c r="AX41" i="16"/>
  <c r="AX54" i="16"/>
  <c r="AX55" i="16"/>
  <c r="AX56" i="16"/>
  <c r="AX81" i="16"/>
  <c r="AX75" i="16"/>
  <c r="AX76" i="16"/>
  <c r="AX84" i="16"/>
  <c r="AX61" i="16"/>
  <c r="AX59" i="16"/>
  <c r="AX78" i="16"/>
  <c r="AX64" i="16"/>
  <c r="AX87" i="16"/>
  <c r="AX90" i="16"/>
  <c r="AX86" i="16"/>
  <c r="AX85" i="16"/>
  <c r="AX88" i="16"/>
  <c r="AX89" i="16"/>
  <c r="AX91" i="16"/>
  <c r="AX77" i="16"/>
  <c r="AX101" i="16"/>
  <c r="AX95" i="16"/>
  <c r="AX79" i="16"/>
  <c r="AX100" i="16"/>
  <c r="AX93" i="16"/>
  <c r="AX80" i="16"/>
  <c r="AX82" i="16"/>
  <c r="AX94" i="16"/>
  <c r="AX97" i="16"/>
  <c r="AX83" i="16"/>
  <c r="AX107" i="16"/>
  <c r="AX102" i="16"/>
  <c r="AX104" i="16"/>
  <c r="AX98" i="16"/>
  <c r="AX96" i="16"/>
  <c r="AX108" i="16"/>
  <c r="AX109" i="16"/>
  <c r="AX111" i="16"/>
  <c r="AX110" i="16"/>
  <c r="AX112" i="16"/>
  <c r="AX113" i="16"/>
  <c r="AX114" i="16"/>
  <c r="AX115" i="16"/>
  <c r="AX116" i="16"/>
  <c r="AX117" i="16"/>
  <c r="AX119" i="16"/>
  <c r="AX118" i="16"/>
  <c r="AX92" i="16"/>
  <c r="AX103" i="16"/>
  <c r="AX99" i="16"/>
  <c r="AX123" i="16"/>
  <c r="AX124" i="16"/>
  <c r="AX125" i="16"/>
  <c r="AX126" i="16"/>
  <c r="AX127" i="16"/>
  <c r="AX128" i="16"/>
  <c r="AX132" i="16"/>
  <c r="AX133" i="16"/>
  <c r="AX129" i="16"/>
  <c r="AX130" i="16"/>
  <c r="AX131" i="16"/>
  <c r="AX105" i="16"/>
  <c r="AX120" i="16"/>
  <c r="AX134" i="16"/>
  <c r="AX121" i="16"/>
  <c r="AX122" i="16"/>
  <c r="AX137" i="16"/>
  <c r="AX141" i="16"/>
  <c r="AX140" i="16"/>
  <c r="AX144" i="16"/>
  <c r="AX139" i="16"/>
  <c r="AX142" i="16"/>
  <c r="AX145" i="16"/>
  <c r="AX146" i="16"/>
  <c r="AX143" i="16"/>
  <c r="AX150" i="16"/>
  <c r="AX136" i="16"/>
  <c r="AX135" i="16"/>
  <c r="AX138" i="16"/>
  <c r="AX148" i="16"/>
  <c r="AX153" i="16"/>
  <c r="AX147" i="16"/>
  <c r="AX167" i="16"/>
  <c r="AX155" i="16"/>
  <c r="AX159" i="16"/>
  <c r="AX162" i="16"/>
  <c r="AX161" i="16"/>
  <c r="AX165" i="16"/>
  <c r="AX149" i="16"/>
  <c r="AX151" i="16"/>
  <c r="AX152" i="16"/>
  <c r="AX163" i="16"/>
  <c r="AX160" i="16"/>
  <c r="AX154" i="16"/>
  <c r="AX156" i="16"/>
  <c r="AX168" i="16"/>
  <c r="AX169" i="16"/>
  <c r="AX170" i="16"/>
  <c r="AX171" i="16"/>
  <c r="AX164" i="16"/>
  <c r="AX173" i="16"/>
  <c r="AX174" i="16"/>
  <c r="AX175" i="16"/>
  <c r="AX158" i="16"/>
  <c r="AX166" i="16"/>
  <c r="AX157" i="16"/>
  <c r="AX172" i="16"/>
  <c r="AX176" i="16"/>
  <c r="AX181" i="16"/>
  <c r="AX177" i="16"/>
  <c r="AX183" i="16"/>
  <c r="AX184" i="16"/>
  <c r="AX186" i="16"/>
  <c r="AX178" i="16"/>
  <c r="AX195" i="16"/>
  <c r="AX190" i="16"/>
  <c r="AX194" i="16"/>
  <c r="AX179" i="16"/>
  <c r="AX180" i="16"/>
  <c r="AX191" i="16"/>
  <c r="AX189" i="16"/>
  <c r="AX192" i="16"/>
  <c r="AX193" i="16"/>
  <c r="AX197" i="16"/>
  <c r="AX198" i="16"/>
  <c r="AX199" i="16"/>
  <c r="AX182" i="16"/>
  <c r="AX201" i="16"/>
  <c r="AX196" i="16"/>
  <c r="AX202" i="16"/>
  <c r="AX187" i="16"/>
  <c r="AX204" i="16"/>
  <c r="AX188" i="16"/>
  <c r="AX205" i="16"/>
  <c r="AX200" i="16"/>
  <c r="AX216" i="16"/>
  <c r="AX203" i="16"/>
  <c r="AX217" i="16"/>
  <c r="AX219" i="16"/>
  <c r="AX212" i="16"/>
  <c r="AX222" i="16"/>
  <c r="AX221" i="16"/>
  <c r="AX223" i="16"/>
  <c r="AX220" i="16"/>
  <c r="AX211" i="16"/>
  <c r="AX209" i="16"/>
  <c r="AX206" i="16"/>
  <c r="AX207" i="16"/>
  <c r="AX225" i="16"/>
  <c r="AX218" i="16"/>
  <c r="AX214" i="16"/>
  <c r="AX213" i="16"/>
  <c r="AX208" i="16"/>
  <c r="AX227" i="16"/>
  <c r="AX229" i="16"/>
  <c r="AX226" i="16"/>
  <c r="AX234" i="16"/>
  <c r="AX224" i="16"/>
  <c r="AX215" i="16"/>
  <c r="AX231" i="16"/>
  <c r="AX228" i="16"/>
  <c r="AX232" i="16"/>
  <c r="AX240" i="16"/>
  <c r="AX239" i="16"/>
  <c r="AX241" i="16"/>
  <c r="AX230" i="16"/>
  <c r="AX235" i="16"/>
  <c r="AX237" i="16"/>
  <c r="AX238" i="16"/>
  <c r="AX233" i="16"/>
  <c r="AX242" i="16"/>
  <c r="AX245" i="16"/>
  <c r="AX243" i="16"/>
  <c r="AX244" i="16"/>
  <c r="AX256" i="16"/>
  <c r="AX250" i="16"/>
  <c r="AX253" i="16"/>
  <c r="AX248" i="16"/>
  <c r="AX247" i="16"/>
  <c r="AX251" i="16"/>
  <c r="AX254" i="16"/>
  <c r="AX246" i="16"/>
  <c r="AX249" i="16"/>
  <c r="AX255" i="16"/>
  <c r="AX265" i="16"/>
  <c r="AX264" i="16"/>
  <c r="AX266" i="16"/>
  <c r="AX270" i="16"/>
  <c r="AX257" i="16"/>
  <c r="AX258" i="16"/>
  <c r="AX261" i="16"/>
  <c r="AX262" i="16"/>
  <c r="AX263" i="16"/>
  <c r="AX260" i="16"/>
  <c r="AX267" i="16"/>
  <c r="AX268" i="16"/>
  <c r="AX269" i="16"/>
  <c r="AX271" i="16"/>
  <c r="AX272" i="16"/>
  <c r="AX259" i="16"/>
  <c r="AX284" i="16"/>
  <c r="AX274" i="16"/>
  <c r="AX276" i="16"/>
  <c r="AX275" i="16"/>
  <c r="AX278" i="16"/>
  <c r="AX283" i="16"/>
  <c r="AX273" i="16"/>
  <c r="AX281" i="16"/>
  <c r="AX280" i="16"/>
  <c r="AX279" i="16"/>
  <c r="AX282" i="16"/>
  <c r="AX285" i="16"/>
  <c r="AX277" i="16"/>
  <c r="AX288" i="16"/>
  <c r="AX286" i="16"/>
  <c r="AX289" i="16"/>
  <c r="AX290" i="16"/>
  <c r="AX291" i="16"/>
  <c r="AX287" i="16"/>
  <c r="AX295" i="16"/>
  <c r="AX296" i="16"/>
  <c r="AX292" i="16"/>
  <c r="AX293" i="16"/>
  <c r="AX294" i="16"/>
  <c r="AX299" i="16"/>
  <c r="AX297" i="16"/>
  <c r="AX298" i="16"/>
  <c r="AV299" i="16"/>
  <c r="AV297" i="16"/>
  <c r="AV298" i="16"/>
  <c r="AV294" i="16"/>
  <c r="AV293" i="16"/>
  <c r="AV292" i="16"/>
  <c r="AV296" i="16"/>
  <c r="AV295" i="16"/>
  <c r="AV287" i="16"/>
  <c r="AV291" i="16"/>
  <c r="AV290" i="16"/>
  <c r="AV289" i="16"/>
  <c r="AV286" i="16"/>
  <c r="AV288" i="16"/>
  <c r="AV277" i="16"/>
  <c r="AV285" i="16"/>
  <c r="AV282" i="16"/>
  <c r="AV279" i="16"/>
  <c r="AV280" i="16"/>
  <c r="AV281" i="16"/>
  <c r="AV273" i="16"/>
  <c r="AV283" i="16"/>
  <c r="AV278" i="16"/>
  <c r="AV275" i="16"/>
  <c r="AV276" i="16"/>
  <c r="AV274" i="16"/>
  <c r="AV284" i="16"/>
  <c r="AV259" i="16"/>
  <c r="AV272" i="16"/>
  <c r="AV271" i="16"/>
  <c r="AV269" i="16"/>
  <c r="AV268" i="16"/>
  <c r="AV267" i="16"/>
  <c r="AV260" i="16"/>
  <c r="AV263" i="16"/>
  <c r="AV262" i="16"/>
  <c r="AV261" i="16"/>
  <c r="AV258" i="16"/>
  <c r="AV257" i="16"/>
  <c r="AV270" i="16"/>
  <c r="AV266" i="16"/>
  <c r="AV264" i="16"/>
  <c r="AV265" i="16"/>
  <c r="AV255" i="16"/>
  <c r="AV249" i="16"/>
  <c r="AV246" i="16"/>
  <c r="AV254" i="16"/>
  <c r="AV251" i="16"/>
  <c r="AV247" i="16"/>
  <c r="AV248" i="16"/>
  <c r="AV253" i="16"/>
  <c r="AV250" i="16"/>
  <c r="AV256" i="16"/>
  <c r="AV244" i="16"/>
  <c r="AV243" i="16"/>
  <c r="AV245" i="16"/>
  <c r="AV242" i="16"/>
  <c r="AV233" i="16"/>
  <c r="AV238" i="16"/>
  <c r="AV237" i="16"/>
  <c r="AV235" i="16"/>
  <c r="AV230" i="16"/>
  <c r="AV241" i="16"/>
  <c r="AV239" i="16"/>
  <c r="AV240" i="16"/>
  <c r="AV232" i="16"/>
  <c r="AV228" i="16"/>
  <c r="AV231" i="16"/>
  <c r="AV215" i="16"/>
  <c r="AV224" i="16"/>
  <c r="AV234" i="16"/>
  <c r="AV226" i="16"/>
  <c r="AV229" i="16"/>
  <c r="AV227" i="16"/>
  <c r="AV208" i="16"/>
  <c r="AV213" i="16"/>
  <c r="AV214" i="16"/>
  <c r="AV218" i="16"/>
  <c r="AV225" i="16"/>
  <c r="AV207" i="16"/>
  <c r="AV206" i="16"/>
  <c r="AV209" i="16"/>
  <c r="AV211" i="16"/>
  <c r="AV220" i="16"/>
  <c r="AV223" i="16"/>
  <c r="AV221" i="16"/>
  <c r="AV222" i="16"/>
  <c r="AV212" i="16"/>
  <c r="AV219" i="16"/>
  <c r="AV217" i="16"/>
  <c r="AV203" i="16"/>
  <c r="AV216" i="16"/>
  <c r="AV200" i="16"/>
  <c r="AV205" i="16"/>
  <c r="AV188" i="16"/>
  <c r="AV204" i="16"/>
  <c r="AV187" i="16"/>
  <c r="AV202" i="16"/>
  <c r="AV196" i="16"/>
  <c r="AV201" i="16"/>
  <c r="AV182" i="16"/>
  <c r="AV199" i="16"/>
  <c r="AV198" i="16"/>
  <c r="AV197" i="16"/>
  <c r="AV193" i="16"/>
  <c r="AV192" i="16"/>
  <c r="AV189" i="16"/>
  <c r="AV191" i="16"/>
  <c r="AV180" i="16"/>
  <c r="AV179" i="16"/>
  <c r="AV194" i="16"/>
  <c r="AV190" i="16"/>
  <c r="AV195" i="16"/>
  <c r="AV178" i="16"/>
  <c r="AV186" i="16"/>
  <c r="AV184" i="16"/>
  <c r="AV183" i="16"/>
  <c r="AV177" i="16"/>
  <c r="AV181" i="16"/>
  <c r="AV176" i="16"/>
  <c r="AV172" i="16"/>
  <c r="AV157" i="16"/>
  <c r="AV166" i="16"/>
  <c r="AV158" i="16"/>
  <c r="AV175" i="16"/>
  <c r="AV174" i="16"/>
  <c r="AV173" i="16"/>
  <c r="AV164" i="16"/>
  <c r="AV171" i="16"/>
  <c r="AV170" i="16"/>
  <c r="AV169" i="16"/>
  <c r="AV168" i="16"/>
  <c r="AV156" i="16"/>
  <c r="AV154" i="16"/>
  <c r="AV160" i="16"/>
  <c r="AV163" i="16"/>
  <c r="AV152" i="16"/>
  <c r="AV151" i="16"/>
  <c r="AV149" i="16"/>
  <c r="AV165" i="16"/>
  <c r="AV161" i="16"/>
  <c r="AV162" i="16"/>
  <c r="AV159" i="16"/>
  <c r="AV155" i="16"/>
  <c r="AV167" i="16"/>
  <c r="AV147" i="16"/>
  <c r="AV153" i="16"/>
  <c r="AV148" i="16"/>
  <c r="AV138" i="16"/>
  <c r="AV135" i="16"/>
  <c r="AV136" i="16"/>
  <c r="AV150" i="16"/>
  <c r="AV143" i="16"/>
  <c r="AV146" i="16"/>
  <c r="AV145" i="16"/>
  <c r="AV142" i="16"/>
  <c r="AV139" i="16"/>
  <c r="AV144" i="16"/>
  <c r="AV140" i="16"/>
  <c r="AV141" i="16"/>
  <c r="AV137" i="16"/>
  <c r="AV122" i="16"/>
  <c r="AV121" i="16"/>
  <c r="AV134" i="16"/>
  <c r="AV120" i="16"/>
  <c r="AV105" i="16"/>
  <c r="AV131" i="16"/>
  <c r="AV130" i="16"/>
  <c r="AV129" i="16"/>
  <c r="AV133" i="16"/>
  <c r="AV132" i="16"/>
  <c r="AV128" i="16"/>
  <c r="AV127" i="16"/>
  <c r="AV126" i="16"/>
  <c r="AV125" i="16"/>
  <c r="AV124" i="16"/>
  <c r="AV123" i="16"/>
  <c r="AV99" i="16"/>
  <c r="AV103" i="16"/>
  <c r="AV92" i="16"/>
  <c r="AV118" i="16"/>
  <c r="AV119" i="16"/>
  <c r="AV117" i="16"/>
  <c r="AV116" i="16"/>
  <c r="AV115" i="16"/>
  <c r="AV114" i="16"/>
  <c r="AV113" i="16"/>
  <c r="AV112" i="16"/>
  <c r="AV110" i="16"/>
  <c r="AV111" i="16"/>
  <c r="AV109" i="16"/>
  <c r="AV108" i="16"/>
  <c r="AV96" i="16"/>
  <c r="AV98" i="16"/>
  <c r="AV104" i="16"/>
  <c r="AV102" i="16"/>
  <c r="AV107" i="16"/>
  <c r="AV83" i="16"/>
  <c r="AV97" i="16"/>
  <c r="AV94" i="16"/>
  <c r="AV82" i="16"/>
  <c r="AV80" i="16"/>
  <c r="AV93" i="16"/>
  <c r="AV100" i="16"/>
  <c r="AV79" i="16"/>
  <c r="AV95" i="16"/>
  <c r="AV101" i="16"/>
  <c r="AV77" i="16"/>
  <c r="AV91" i="16"/>
  <c r="AV89" i="16"/>
  <c r="AV88" i="16"/>
  <c r="AV85" i="16"/>
  <c r="AV86" i="16"/>
  <c r="AV90" i="16"/>
  <c r="AV87" i="16"/>
  <c r="AV64" i="16"/>
  <c r="AV78" i="16"/>
  <c r="AV59" i="16"/>
  <c r="AV61" i="16"/>
  <c r="AV84" i="16"/>
  <c r="AV76" i="16"/>
  <c r="AV75" i="16"/>
  <c r="AV81" i="16"/>
  <c r="AV56" i="16"/>
  <c r="AV55" i="16"/>
  <c r="AV54" i="16"/>
  <c r="AV41" i="16"/>
  <c r="AV74" i="16"/>
  <c r="AV71" i="16"/>
  <c r="AV70" i="16"/>
  <c r="AV72" i="16"/>
  <c r="AV73" i="16"/>
  <c r="AV69" i="16"/>
  <c r="AV67" i="16"/>
  <c r="AV37" i="16"/>
  <c r="AV68" i="16"/>
  <c r="AV65" i="16"/>
  <c r="AV62" i="16"/>
  <c r="AV63" i="16"/>
  <c r="AV66" i="16"/>
  <c r="AV60" i="16"/>
  <c r="AV58" i="16"/>
  <c r="AV40" i="16"/>
  <c r="AV39" i="16"/>
  <c r="AV38" i="16"/>
  <c r="AV52" i="16"/>
  <c r="AV36" i="16"/>
  <c r="AV53" i="16"/>
  <c r="AV51" i="16"/>
  <c r="AV50" i="16"/>
  <c r="AV49" i="16"/>
  <c r="AV48" i="16"/>
  <c r="AV47" i="16"/>
  <c r="AV46" i="16"/>
  <c r="AV45" i="16"/>
  <c r="AV43" i="16"/>
  <c r="AV32" i="16"/>
  <c r="AV29" i="16"/>
  <c r="AV42" i="16"/>
  <c r="AV44" i="16"/>
  <c r="AV27" i="16"/>
  <c r="AV25" i="16"/>
  <c r="AV23" i="16"/>
  <c r="AV22" i="16"/>
  <c r="AV35" i="16"/>
  <c r="AV34" i="16"/>
  <c r="AV31" i="16"/>
  <c r="AV33" i="16"/>
  <c r="AV20" i="16"/>
  <c r="AV30" i="16"/>
  <c r="AV17" i="16"/>
  <c r="AV28" i="16"/>
  <c r="AV21" i="16"/>
  <c r="AV26" i="16"/>
  <c r="AV12" i="16"/>
  <c r="AV24" i="16"/>
  <c r="AV2" i="16"/>
  <c r="AV7" i="16"/>
  <c r="AV10" i="16"/>
  <c r="AV16" i="16"/>
  <c r="AV18" i="16"/>
  <c r="AV19" i="16"/>
  <c r="AV13" i="16"/>
  <c r="AV11" i="16"/>
  <c r="AV15" i="16"/>
  <c r="AV14" i="16"/>
  <c r="AV9" i="16"/>
  <c r="AV8" i="16"/>
  <c r="AV6" i="16"/>
  <c r="AV5" i="16"/>
  <c r="AV252" i="16"/>
  <c r="AV236" i="16"/>
  <c r="AV210" i="16"/>
  <c r="AV185" i="16"/>
  <c r="AV106" i="16"/>
  <c r="AV57" i="16"/>
  <c r="AV4" i="16"/>
  <c r="AV3" i="16"/>
  <c r="AQ299" i="16"/>
  <c r="AW299" i="16" s="1"/>
  <c r="AQ297" i="16"/>
  <c r="AQ298" i="16"/>
  <c r="AW298" i="16" s="1"/>
  <c r="AZ3" i="16"/>
  <c r="AQ294" i="16"/>
  <c r="AQ293" i="16"/>
  <c r="AQ292" i="16"/>
  <c r="AQ296" i="16"/>
  <c r="AQ295" i="16"/>
  <c r="AW295" i="16" s="1"/>
  <c r="AQ287" i="16"/>
  <c r="AQ291" i="16"/>
  <c r="AW291" i="16" s="1"/>
  <c r="AY291" i="16" s="1"/>
  <c r="AQ290" i="16"/>
  <c r="AQ289" i="16"/>
  <c r="AW289" i="16" s="1"/>
  <c r="AQ286" i="16"/>
  <c r="AQ288" i="16"/>
  <c r="AQ277" i="16"/>
  <c r="AQ285" i="16"/>
  <c r="AQ282" i="16"/>
  <c r="AQ279" i="16"/>
  <c r="AQ280" i="16"/>
  <c r="AQ281" i="16"/>
  <c r="AW281" i="16" s="1"/>
  <c r="AQ273" i="16"/>
  <c r="AQ283" i="16"/>
  <c r="AQ278" i="16"/>
  <c r="AQ275" i="16"/>
  <c r="AW275" i="16" s="1"/>
  <c r="AQ276" i="16"/>
  <c r="AQ274" i="16"/>
  <c r="AW274" i="16" s="1"/>
  <c r="AY274" i="16" s="1"/>
  <c r="AQ284" i="16"/>
  <c r="AQ259" i="16"/>
  <c r="AW259" i="16" s="1"/>
  <c r="AQ272" i="16"/>
  <c r="AQ271" i="16"/>
  <c r="AQ269" i="16"/>
  <c r="AQ268" i="16"/>
  <c r="AW268" i="16" s="1"/>
  <c r="AQ267" i="16"/>
  <c r="AQ260" i="16"/>
  <c r="AW260" i="16" s="1"/>
  <c r="AY260" i="16" s="1"/>
  <c r="AQ263" i="16"/>
  <c r="AQ262" i="16"/>
  <c r="AW262" i="16" s="1"/>
  <c r="AQ261" i="16"/>
  <c r="AQ258" i="16"/>
  <c r="AQ257" i="16"/>
  <c r="AQ270" i="16"/>
  <c r="AW270" i="16" s="1"/>
  <c r="AQ266" i="16"/>
  <c r="AQ264" i="16"/>
  <c r="AW264" i="16" s="1"/>
  <c r="AY264" i="16" s="1"/>
  <c r="AQ265" i="16"/>
  <c r="AQ255" i="16"/>
  <c r="AW255" i="16" s="1"/>
  <c r="AQ249" i="16"/>
  <c r="AQ246" i="16"/>
  <c r="AQ254" i="16"/>
  <c r="AQ251" i="16"/>
  <c r="AQ247" i="16"/>
  <c r="AQ248" i="16"/>
  <c r="AW248" i="16" s="1"/>
  <c r="AY248" i="16" s="1"/>
  <c r="AQ253" i="16"/>
  <c r="AQ250" i="16"/>
  <c r="AW250" i="16" s="1"/>
  <c r="AQ256" i="16"/>
  <c r="AQ244" i="16"/>
  <c r="AQ243" i="16"/>
  <c r="AQ245" i="16"/>
  <c r="AQ242" i="16"/>
  <c r="AW242" i="16" s="1"/>
  <c r="AY242" i="16" s="1"/>
  <c r="AQ233" i="16"/>
  <c r="AW233" i="16" s="1"/>
  <c r="AY233" i="16" s="1"/>
  <c r="AQ238" i="16"/>
  <c r="AW238" i="16" s="1"/>
  <c r="AQ237" i="16"/>
  <c r="AW237" i="16" s="1"/>
  <c r="AQ235" i="16"/>
  <c r="AQ230" i="16"/>
  <c r="AQ241" i="16"/>
  <c r="AQ239" i="16"/>
  <c r="AW239" i="16" s="1"/>
  <c r="AQ240" i="16"/>
  <c r="AW240" i="16" s="1"/>
  <c r="AY240" i="16" s="1"/>
  <c r="AQ232" i="16"/>
  <c r="AW232" i="16" s="1"/>
  <c r="AY232" i="16" s="1"/>
  <c r="AQ228" i="16"/>
  <c r="AQ231" i="16"/>
  <c r="AW231" i="16" s="1"/>
  <c r="AQ215" i="16"/>
  <c r="AQ224" i="16"/>
  <c r="AQ234" i="16"/>
  <c r="AQ226" i="16"/>
  <c r="AW226" i="16" s="1"/>
  <c r="AQ229" i="16"/>
  <c r="AQ227" i="16"/>
  <c r="AW227" i="16" s="1"/>
  <c r="AY227" i="16" s="1"/>
  <c r="AQ208" i="16"/>
  <c r="AQ213" i="16"/>
  <c r="AW213" i="16" s="1"/>
  <c r="AQ214" i="16"/>
  <c r="AQ218" i="16"/>
  <c r="AQ225" i="16"/>
  <c r="AQ207" i="16"/>
  <c r="AW207" i="16" s="1"/>
  <c r="AQ206" i="16"/>
  <c r="AW206" i="16" s="1"/>
  <c r="AY206" i="16" s="1"/>
  <c r="AQ209" i="16"/>
  <c r="AW209" i="16" s="1"/>
  <c r="AY209" i="16" s="1"/>
  <c r="AQ211" i="16"/>
  <c r="AQ220" i="16"/>
  <c r="AW220" i="16" s="1"/>
  <c r="AQ223" i="16"/>
  <c r="AQ221" i="16"/>
  <c r="AQ222" i="16"/>
  <c r="AQ212" i="16"/>
  <c r="AQ219" i="16"/>
  <c r="AW219" i="16" s="1"/>
  <c r="AY219" i="16" s="1"/>
  <c r="AQ217" i="16"/>
  <c r="AW217" i="16" s="1"/>
  <c r="AY217" i="16" s="1"/>
  <c r="AQ203" i="16"/>
  <c r="AW203" i="16" s="1"/>
  <c r="AQ216" i="16"/>
  <c r="AW216" i="16" s="1"/>
  <c r="AQ200" i="16"/>
  <c r="AQ205" i="16"/>
  <c r="AQ188" i="16"/>
  <c r="AW188" i="16" s="1"/>
  <c r="AY188" i="16" s="1"/>
  <c r="AQ204" i="16"/>
  <c r="AW204" i="16" s="1"/>
  <c r="AQ187" i="16"/>
  <c r="AW187" i="16" s="1"/>
  <c r="AY187" i="16" s="1"/>
  <c r="AQ202" i="16"/>
  <c r="AW202" i="16" s="1"/>
  <c r="AY202" i="16" s="1"/>
  <c r="AQ196" i="16"/>
  <c r="AW196" i="16" s="1"/>
  <c r="AQ201" i="16"/>
  <c r="AW201" i="16" s="1"/>
  <c r="AQ182" i="16"/>
  <c r="AQ199" i="16"/>
  <c r="AQ198" i="16"/>
  <c r="AW198" i="16" s="1"/>
  <c r="AY198" i="16" s="1"/>
  <c r="AQ197" i="16"/>
  <c r="AW197" i="16" s="1"/>
  <c r="AQ193" i="16"/>
  <c r="AW193" i="16" s="1"/>
  <c r="AY193" i="16" s="1"/>
  <c r="AQ192" i="16"/>
  <c r="AW192" i="16" s="1"/>
  <c r="AY192" i="16" s="1"/>
  <c r="AQ189" i="16"/>
  <c r="AW189" i="16" s="1"/>
  <c r="AQ191" i="16"/>
  <c r="AW191" i="16" s="1"/>
  <c r="AQ180" i="16"/>
  <c r="AQ179" i="16"/>
  <c r="AQ194" i="16"/>
  <c r="AW194" i="16" s="1"/>
  <c r="AQ190" i="16"/>
  <c r="AW190" i="16" s="1"/>
  <c r="AQ195" i="16"/>
  <c r="AQ178" i="16"/>
  <c r="AW178" i="16" s="1"/>
  <c r="AY178" i="16" s="1"/>
  <c r="AQ186" i="16"/>
  <c r="AW186" i="16" s="1"/>
  <c r="AQ184" i="16"/>
  <c r="AW184" i="16" s="1"/>
  <c r="AQ183" i="16"/>
  <c r="AQ177" i="16"/>
  <c r="AQ181" i="16"/>
  <c r="AW181" i="16" s="1"/>
  <c r="AY181" i="16" s="1"/>
  <c r="AQ176" i="16"/>
  <c r="AW176" i="16" s="1"/>
  <c r="AQ172" i="16"/>
  <c r="AW172" i="16" s="1"/>
  <c r="AY172" i="16" s="1"/>
  <c r="AQ157" i="16"/>
  <c r="AW157" i="16" s="1"/>
  <c r="AY157" i="16" s="1"/>
  <c r="AQ166" i="16"/>
  <c r="AW166" i="16" s="1"/>
  <c r="AQ158" i="16"/>
  <c r="AW158" i="16" s="1"/>
  <c r="AQ175" i="16"/>
  <c r="AQ174" i="16"/>
  <c r="AQ173" i="16"/>
  <c r="AQ164" i="16"/>
  <c r="AW164" i="16" s="1"/>
  <c r="AQ171" i="16"/>
  <c r="AW171" i="16" s="1"/>
  <c r="AY171" i="16" s="1"/>
  <c r="AQ170" i="16"/>
  <c r="AW170" i="16" s="1"/>
  <c r="AY170" i="16" s="1"/>
  <c r="AQ169" i="16"/>
  <c r="AW169" i="16" s="1"/>
  <c r="AQ168" i="16"/>
  <c r="AW168" i="16" s="1"/>
  <c r="AQ156" i="16"/>
  <c r="AQ154" i="16"/>
  <c r="AQ160" i="16"/>
  <c r="AW160" i="16" s="1"/>
  <c r="AQ163" i="16"/>
  <c r="AW163" i="16" s="1"/>
  <c r="AQ152" i="16"/>
  <c r="AW152" i="16" s="1"/>
  <c r="AY152" i="16" s="1"/>
  <c r="AQ151" i="16"/>
  <c r="AW151" i="16" s="1"/>
  <c r="AY151" i="16" s="1"/>
  <c r="AQ149" i="16"/>
  <c r="AW149" i="16" s="1"/>
  <c r="AQ165" i="16"/>
  <c r="AW165" i="16" s="1"/>
  <c r="AQ161" i="16"/>
  <c r="AQ162" i="16"/>
  <c r="AQ159" i="16"/>
  <c r="AW159" i="16" s="1"/>
  <c r="AY159" i="16" s="1"/>
  <c r="AQ155" i="16"/>
  <c r="AQ167" i="16"/>
  <c r="AW167" i="16" s="1"/>
  <c r="AY167" i="16" s="1"/>
  <c r="AQ147" i="16"/>
  <c r="AW147" i="16" s="1"/>
  <c r="AY147" i="16" s="1"/>
  <c r="AQ153" i="16"/>
  <c r="AW153" i="16" s="1"/>
  <c r="AQ148" i="16"/>
  <c r="AW148" i="16" s="1"/>
  <c r="AQ138" i="16"/>
  <c r="AQ135" i="16"/>
  <c r="AQ136" i="16"/>
  <c r="AQ150" i="16"/>
  <c r="AQ143" i="16"/>
  <c r="AQ146" i="16"/>
  <c r="AW146" i="16" s="1"/>
  <c r="AY146" i="16" s="1"/>
  <c r="AQ145" i="16"/>
  <c r="AQ142" i="16"/>
  <c r="AQ139" i="16"/>
  <c r="AQ144" i="16"/>
  <c r="AQ140" i="16"/>
  <c r="AW140" i="16" s="1"/>
  <c r="AY140" i="16" s="1"/>
  <c r="AQ141" i="16"/>
  <c r="AW141" i="16" s="1"/>
  <c r="AQ137" i="16"/>
  <c r="AQ122" i="16"/>
  <c r="AW122" i="16" s="1"/>
  <c r="AY122" i="16" s="1"/>
  <c r="AQ121" i="16"/>
  <c r="AQ134" i="16"/>
  <c r="AQ120" i="16"/>
  <c r="AQ105" i="16"/>
  <c r="AQ131" i="16"/>
  <c r="AW131" i="16" s="1"/>
  <c r="AY131" i="16" s="1"/>
  <c r="AQ130" i="16"/>
  <c r="AW130" i="16" s="1"/>
  <c r="AQ129" i="16"/>
  <c r="AQ133" i="16"/>
  <c r="AW133" i="16" s="1"/>
  <c r="AY133" i="16" s="1"/>
  <c r="AQ132" i="16"/>
  <c r="AQ128" i="16"/>
  <c r="AQ127" i="16"/>
  <c r="AQ126" i="16"/>
  <c r="AQ125" i="16"/>
  <c r="AW125" i="16" s="1"/>
  <c r="AQ124" i="16"/>
  <c r="AW124" i="16" s="1"/>
  <c r="AQ123" i="16"/>
  <c r="AQ99" i="16"/>
  <c r="AW99" i="16" s="1"/>
  <c r="AY99" i="16" s="1"/>
  <c r="AQ103" i="16"/>
  <c r="AQ92" i="16"/>
  <c r="AQ118" i="16"/>
  <c r="AQ119" i="16"/>
  <c r="AQ117" i="16"/>
  <c r="AW117" i="16" s="1"/>
  <c r="AY117" i="16" s="1"/>
  <c r="AQ116" i="16"/>
  <c r="AW116" i="16" s="1"/>
  <c r="AQ115" i="16"/>
  <c r="AQ114" i="16"/>
  <c r="AW114" i="16" s="1"/>
  <c r="AY114" i="16" s="1"/>
  <c r="AQ113" i="16"/>
  <c r="AQ112" i="16"/>
  <c r="AQ110" i="16"/>
  <c r="AQ111" i="16"/>
  <c r="AQ109" i="16"/>
  <c r="AQ108" i="16"/>
  <c r="AQ96" i="16"/>
  <c r="AW96" i="16" s="1"/>
  <c r="AY96" i="16" s="1"/>
  <c r="AQ98" i="16"/>
  <c r="AW98" i="16" s="1"/>
  <c r="AY98" i="16" s="1"/>
  <c r="AQ104" i="16"/>
  <c r="AQ102" i="16"/>
  <c r="AQ107" i="16"/>
  <c r="AQ83" i="16"/>
  <c r="AQ97" i="16"/>
  <c r="AW97" i="16" s="1"/>
  <c r="AY97" i="16" s="1"/>
  <c r="AQ94" i="16"/>
  <c r="AQ82" i="16"/>
  <c r="AW82" i="16" s="1"/>
  <c r="AY82" i="16" s="1"/>
  <c r="AQ80" i="16"/>
  <c r="AW80" i="16" s="1"/>
  <c r="AY80" i="16" s="1"/>
  <c r="AQ93" i="16"/>
  <c r="AQ100" i="16"/>
  <c r="AQ79" i="16"/>
  <c r="AQ95" i="16"/>
  <c r="AQ101" i="16"/>
  <c r="AW101" i="16" s="1"/>
  <c r="AQ77" i="16"/>
  <c r="AW77" i="16" s="1"/>
  <c r="AQ91" i="16"/>
  <c r="AW91" i="16" s="1"/>
  <c r="AY91" i="16" s="1"/>
  <c r="AQ89" i="16"/>
  <c r="AW89" i="16" s="1"/>
  <c r="AY89" i="16" s="1"/>
  <c r="AQ88" i="16"/>
  <c r="AQ85" i="16"/>
  <c r="AQ86" i="16"/>
  <c r="AQ90" i="16"/>
  <c r="AQ87" i="16"/>
  <c r="AW87" i="16" s="1"/>
  <c r="AY87" i="16" s="1"/>
  <c r="AQ64" i="16"/>
  <c r="AW64" i="16" s="1"/>
  <c r="AQ78" i="16"/>
  <c r="AQ59" i="16"/>
  <c r="AW59" i="16" s="1"/>
  <c r="AY59" i="16" s="1"/>
  <c r="AQ61" i="16"/>
  <c r="AQ84" i="16"/>
  <c r="AQ76" i="16"/>
  <c r="AQ75" i="16"/>
  <c r="AQ81" i="16"/>
  <c r="AQ56" i="16"/>
  <c r="AQ55" i="16"/>
  <c r="AQ54" i="16"/>
  <c r="AQ41" i="16"/>
  <c r="AQ74" i="16"/>
  <c r="AW74" i="16" s="1"/>
  <c r="AQ71" i="16"/>
  <c r="AQ70" i="16"/>
  <c r="AQ72" i="16"/>
  <c r="AQ73" i="16"/>
  <c r="AW73" i="16" s="1"/>
  <c r="AQ69" i="16"/>
  <c r="AQ67" i="16"/>
  <c r="AQ37" i="16"/>
  <c r="AQ68" i="16"/>
  <c r="AW68" i="16" s="1"/>
  <c r="AQ65" i="16"/>
  <c r="AQ62" i="16"/>
  <c r="AQ63" i="16"/>
  <c r="AW63" i="16" s="1"/>
  <c r="AY63" i="16" s="1"/>
  <c r="AQ66" i="16"/>
  <c r="AW66" i="16" s="1"/>
  <c r="AQ60" i="16"/>
  <c r="AQ58" i="16"/>
  <c r="AQ40" i="16"/>
  <c r="AQ39" i="16"/>
  <c r="AW39" i="16" s="1"/>
  <c r="AQ38" i="16"/>
  <c r="AQ52" i="16"/>
  <c r="AQ36" i="16"/>
  <c r="AW36" i="16" s="1"/>
  <c r="AY36" i="16" s="1"/>
  <c r="AQ53" i="16"/>
  <c r="AW53" i="16" s="1"/>
  <c r="AQ51" i="16"/>
  <c r="AW51" i="16" s="1"/>
  <c r="AY51" i="16" s="1"/>
  <c r="AQ50" i="16"/>
  <c r="AQ49" i="16"/>
  <c r="AQ48" i="16"/>
  <c r="AW48" i="16" s="1"/>
  <c r="AQ47" i="16"/>
  <c r="AQ46" i="16"/>
  <c r="AQ45" i="16"/>
  <c r="AW45" i="16" s="1"/>
  <c r="AY45" i="16" s="1"/>
  <c r="AQ43" i="16"/>
  <c r="AW43" i="16" s="1"/>
  <c r="AQ32" i="16"/>
  <c r="AQ29" i="16"/>
  <c r="AQ42" i="16"/>
  <c r="AQ44" i="16"/>
  <c r="AW44" i="16" s="1"/>
  <c r="AQ27" i="16"/>
  <c r="AQ25" i="16"/>
  <c r="AQ23" i="16"/>
  <c r="AW23" i="16" s="1"/>
  <c r="AY23" i="16" s="1"/>
  <c r="AQ22" i="16"/>
  <c r="AW22" i="16" s="1"/>
  <c r="AQ35" i="16"/>
  <c r="AQ34" i="16"/>
  <c r="AQ31" i="16"/>
  <c r="AQ33" i="16"/>
  <c r="AW33" i="16" s="1"/>
  <c r="AQ20" i="16"/>
  <c r="AQ30" i="16"/>
  <c r="AQ17" i="16"/>
  <c r="AW17" i="16" s="1"/>
  <c r="AY17" i="16" s="1"/>
  <c r="AQ28" i="16"/>
  <c r="AW28" i="16" s="1"/>
  <c r="AQ21" i="16"/>
  <c r="AW21" i="16" s="1"/>
  <c r="AY21" i="16" s="1"/>
  <c r="AQ26" i="16"/>
  <c r="AQ12" i="16"/>
  <c r="AQ24" i="16"/>
  <c r="AW24" i="16" s="1"/>
  <c r="AQ2" i="16"/>
  <c r="AQ7" i="16"/>
  <c r="AQ10" i="16"/>
  <c r="AW10" i="16" s="1"/>
  <c r="AY10" i="16" s="1"/>
  <c r="AQ16" i="16"/>
  <c r="AW16" i="16" s="1"/>
  <c r="AQ18" i="16"/>
  <c r="AQ19" i="16"/>
  <c r="AQ13" i="16"/>
  <c r="AQ11" i="16"/>
  <c r="AW11" i="16" s="1"/>
  <c r="AQ15" i="16"/>
  <c r="AQ14" i="16"/>
  <c r="AQ9" i="16"/>
  <c r="AW9" i="16" s="1"/>
  <c r="AY9" i="16" s="1"/>
  <c r="AQ8" i="16"/>
  <c r="AQ6" i="16"/>
  <c r="AQ5" i="16"/>
  <c r="AW5" i="16" s="1"/>
  <c r="AY5" i="16" s="1"/>
  <c r="AQ252" i="16"/>
  <c r="AQ236" i="16"/>
  <c r="AW236" i="16" s="1"/>
  <c r="AQ210" i="16"/>
  <c r="AQ185" i="16"/>
  <c r="AQ106" i="16"/>
  <c r="AQ57" i="16"/>
  <c r="AQ4" i="16"/>
  <c r="AQ3" i="16"/>
  <c r="AW3" i="16" s="1"/>
  <c r="AJ294" i="16"/>
  <c r="AJ4" i="16"/>
  <c r="AJ57" i="16"/>
  <c r="AJ106" i="16"/>
  <c r="AJ185" i="16"/>
  <c r="AJ210" i="16"/>
  <c r="AJ236" i="16"/>
  <c r="AJ252" i="16"/>
  <c r="AJ5" i="16"/>
  <c r="AJ6" i="16"/>
  <c r="AJ8" i="16"/>
  <c r="AJ9" i="16"/>
  <c r="AJ14" i="16"/>
  <c r="AJ15" i="16"/>
  <c r="AJ11" i="16"/>
  <c r="AJ13" i="16"/>
  <c r="AJ19" i="16"/>
  <c r="AJ18" i="16"/>
  <c r="AJ16" i="16"/>
  <c r="AJ10" i="16"/>
  <c r="AJ7" i="16"/>
  <c r="AJ2" i="16"/>
  <c r="AJ24" i="16"/>
  <c r="AJ12" i="16"/>
  <c r="AJ26" i="16"/>
  <c r="AJ21" i="16"/>
  <c r="AJ28" i="16"/>
  <c r="AJ17" i="16"/>
  <c r="AJ30" i="16"/>
  <c r="AJ20" i="16"/>
  <c r="AJ33" i="16"/>
  <c r="AJ31" i="16"/>
  <c r="AJ34" i="16"/>
  <c r="AJ35" i="16"/>
  <c r="AJ22" i="16"/>
  <c r="AJ23" i="16"/>
  <c r="AJ25" i="16"/>
  <c r="AJ27" i="16"/>
  <c r="AJ44" i="16"/>
  <c r="AJ42" i="16"/>
  <c r="AJ29" i="16"/>
  <c r="AJ32" i="16"/>
  <c r="AJ43" i="16"/>
  <c r="AJ45" i="16"/>
  <c r="AJ46" i="16"/>
  <c r="AJ47" i="16"/>
  <c r="AJ48" i="16"/>
  <c r="AJ49" i="16"/>
  <c r="AJ50" i="16"/>
  <c r="AJ51" i="16"/>
  <c r="AJ53" i="16"/>
  <c r="AJ36" i="16"/>
  <c r="AJ52" i="16"/>
  <c r="AJ38" i="16"/>
  <c r="AJ39" i="16"/>
  <c r="AJ40" i="16"/>
  <c r="AJ58" i="16"/>
  <c r="AJ60" i="16"/>
  <c r="AJ66" i="16"/>
  <c r="AJ63" i="16"/>
  <c r="AJ62" i="16"/>
  <c r="AJ65" i="16"/>
  <c r="AJ68" i="16"/>
  <c r="AJ37" i="16"/>
  <c r="AJ67" i="16"/>
  <c r="AJ69" i="16"/>
  <c r="AJ73" i="16"/>
  <c r="AJ72" i="16"/>
  <c r="AJ70" i="16"/>
  <c r="AJ71" i="16"/>
  <c r="AJ74" i="16"/>
  <c r="AJ41" i="16"/>
  <c r="AJ54" i="16"/>
  <c r="AJ55" i="16"/>
  <c r="AJ56" i="16"/>
  <c r="AJ81" i="16"/>
  <c r="AJ75" i="16"/>
  <c r="AJ76" i="16"/>
  <c r="AJ84" i="16"/>
  <c r="AJ61" i="16"/>
  <c r="AJ59" i="16"/>
  <c r="AJ78" i="16"/>
  <c r="AJ64" i="16"/>
  <c r="AJ87" i="16"/>
  <c r="AJ90" i="16"/>
  <c r="AJ86" i="16"/>
  <c r="AJ85" i="16"/>
  <c r="AJ88" i="16"/>
  <c r="AJ89" i="16"/>
  <c r="AJ91" i="16"/>
  <c r="AJ77" i="16"/>
  <c r="AJ101" i="16"/>
  <c r="AJ95" i="16"/>
  <c r="AJ79" i="16"/>
  <c r="AJ100" i="16"/>
  <c r="AJ93" i="16"/>
  <c r="AJ80" i="16"/>
  <c r="AJ82" i="16"/>
  <c r="AJ94" i="16"/>
  <c r="AJ97" i="16"/>
  <c r="AJ83" i="16"/>
  <c r="AJ107" i="16"/>
  <c r="AJ102" i="16"/>
  <c r="AJ104" i="16"/>
  <c r="AJ98" i="16"/>
  <c r="AJ96" i="16"/>
  <c r="AJ108" i="16"/>
  <c r="AJ109" i="16"/>
  <c r="AJ111" i="16"/>
  <c r="AJ110" i="16"/>
  <c r="AJ112" i="16"/>
  <c r="AJ113" i="16"/>
  <c r="AJ114" i="16"/>
  <c r="AJ115" i="16"/>
  <c r="AJ116" i="16"/>
  <c r="AJ117" i="16"/>
  <c r="AJ119" i="16"/>
  <c r="AJ118" i="16"/>
  <c r="AJ92" i="16"/>
  <c r="AJ103" i="16"/>
  <c r="AJ99" i="16"/>
  <c r="AJ123" i="16"/>
  <c r="AJ124" i="16"/>
  <c r="AJ125" i="16"/>
  <c r="AJ126" i="16"/>
  <c r="AJ127" i="16"/>
  <c r="AJ128" i="16"/>
  <c r="AJ132" i="16"/>
  <c r="AJ133" i="16"/>
  <c r="AJ129" i="16"/>
  <c r="AJ130" i="16"/>
  <c r="AJ131" i="16"/>
  <c r="AJ105" i="16"/>
  <c r="AJ120" i="16"/>
  <c r="AJ134" i="16"/>
  <c r="AJ121" i="16"/>
  <c r="AJ122" i="16"/>
  <c r="AJ137" i="16"/>
  <c r="AJ141" i="16"/>
  <c r="AJ140" i="16"/>
  <c r="AJ144" i="16"/>
  <c r="AJ139" i="16"/>
  <c r="AJ142" i="16"/>
  <c r="AJ145" i="16"/>
  <c r="AJ146" i="16"/>
  <c r="AJ143" i="16"/>
  <c r="AJ150" i="16"/>
  <c r="AJ136" i="16"/>
  <c r="AJ135" i="16"/>
  <c r="AJ138" i="16"/>
  <c r="AJ148" i="16"/>
  <c r="AJ153" i="16"/>
  <c r="AJ147" i="16"/>
  <c r="AJ167" i="16"/>
  <c r="AJ155" i="16"/>
  <c r="AJ159" i="16"/>
  <c r="AJ162" i="16"/>
  <c r="AJ161" i="16"/>
  <c r="AJ165" i="16"/>
  <c r="AJ149" i="16"/>
  <c r="AJ151" i="16"/>
  <c r="AJ152" i="16"/>
  <c r="AJ163" i="16"/>
  <c r="AJ160" i="16"/>
  <c r="AJ154" i="16"/>
  <c r="AJ156" i="16"/>
  <c r="AJ168" i="16"/>
  <c r="AJ169" i="16"/>
  <c r="AJ170" i="16"/>
  <c r="AJ171" i="16"/>
  <c r="AJ164" i="16"/>
  <c r="AJ173" i="16"/>
  <c r="AJ174" i="16"/>
  <c r="AJ175" i="16"/>
  <c r="AJ158" i="16"/>
  <c r="AJ166" i="16"/>
  <c r="AJ157" i="16"/>
  <c r="AJ172" i="16"/>
  <c r="AJ176" i="16"/>
  <c r="AJ181" i="16"/>
  <c r="AJ177" i="16"/>
  <c r="AJ183" i="16"/>
  <c r="AJ184" i="16"/>
  <c r="AJ186" i="16"/>
  <c r="AJ178" i="16"/>
  <c r="AJ195" i="16"/>
  <c r="AJ190" i="16"/>
  <c r="AJ194" i="16"/>
  <c r="AJ179" i="16"/>
  <c r="AJ180" i="16"/>
  <c r="AJ191" i="16"/>
  <c r="AJ189" i="16"/>
  <c r="AJ192" i="16"/>
  <c r="AJ193" i="16"/>
  <c r="AJ197" i="16"/>
  <c r="AJ198" i="16"/>
  <c r="AJ199" i="16"/>
  <c r="AJ182" i="16"/>
  <c r="AJ201" i="16"/>
  <c r="AJ196" i="16"/>
  <c r="AJ202" i="16"/>
  <c r="AJ187" i="16"/>
  <c r="AJ204" i="16"/>
  <c r="AJ188" i="16"/>
  <c r="AJ205" i="16"/>
  <c r="AJ200" i="16"/>
  <c r="AJ216" i="16"/>
  <c r="AJ203" i="16"/>
  <c r="AJ217" i="16"/>
  <c r="AJ219" i="16"/>
  <c r="AJ212" i="16"/>
  <c r="AJ222" i="16"/>
  <c r="AJ221" i="16"/>
  <c r="AJ223" i="16"/>
  <c r="AJ220" i="16"/>
  <c r="AJ211" i="16"/>
  <c r="AJ209" i="16"/>
  <c r="AJ206" i="16"/>
  <c r="AJ207" i="16"/>
  <c r="AJ225" i="16"/>
  <c r="AJ218" i="16"/>
  <c r="AJ214" i="16"/>
  <c r="AJ213" i="16"/>
  <c r="AJ208" i="16"/>
  <c r="AJ227" i="16"/>
  <c r="AJ229" i="16"/>
  <c r="AJ226" i="16"/>
  <c r="AJ234" i="16"/>
  <c r="AJ224" i="16"/>
  <c r="AJ215" i="16"/>
  <c r="AJ231" i="16"/>
  <c r="AJ228" i="16"/>
  <c r="AJ232" i="16"/>
  <c r="AJ240" i="16"/>
  <c r="AJ239" i="16"/>
  <c r="AJ241" i="16"/>
  <c r="AJ230" i="16"/>
  <c r="AJ235" i="16"/>
  <c r="AJ237" i="16"/>
  <c r="AJ238" i="16"/>
  <c r="AJ233" i="16"/>
  <c r="AJ242" i="16"/>
  <c r="AJ245" i="16"/>
  <c r="AJ243" i="16"/>
  <c r="AJ244" i="16"/>
  <c r="AJ256" i="16"/>
  <c r="AJ250" i="16"/>
  <c r="AJ253" i="16"/>
  <c r="AJ248" i="16"/>
  <c r="AJ247" i="16"/>
  <c r="AJ251" i="16"/>
  <c r="AJ254" i="16"/>
  <c r="AJ246" i="16"/>
  <c r="AJ249" i="16"/>
  <c r="AJ255" i="16"/>
  <c r="AJ265" i="16"/>
  <c r="AJ264" i="16"/>
  <c r="AJ266" i="16"/>
  <c r="AJ270" i="16"/>
  <c r="AJ257" i="16"/>
  <c r="AJ258" i="16"/>
  <c r="AJ261" i="16"/>
  <c r="AJ262" i="16"/>
  <c r="AJ263" i="16"/>
  <c r="AJ260" i="16"/>
  <c r="AJ267" i="16"/>
  <c r="AJ268" i="16"/>
  <c r="AJ269" i="16"/>
  <c r="AJ271" i="16"/>
  <c r="AJ272" i="16"/>
  <c r="AJ259" i="16"/>
  <c r="AJ284" i="16"/>
  <c r="AJ274" i="16"/>
  <c r="AJ276" i="16"/>
  <c r="AJ275" i="16"/>
  <c r="AJ278" i="16"/>
  <c r="AJ283" i="16"/>
  <c r="AJ273" i="16"/>
  <c r="AJ281" i="16"/>
  <c r="AJ280" i="16"/>
  <c r="AJ279" i="16"/>
  <c r="AJ282" i="16"/>
  <c r="AJ285" i="16"/>
  <c r="AJ277" i="16"/>
  <c r="AJ288" i="16"/>
  <c r="AJ286" i="16"/>
  <c r="AJ289" i="16"/>
  <c r="AJ290" i="16"/>
  <c r="AJ291" i="16"/>
  <c r="AJ287" i="16"/>
  <c r="AJ295" i="16"/>
  <c r="AJ296" i="16"/>
  <c r="AJ292" i="16"/>
  <c r="AJ293" i="16"/>
  <c r="AJ299" i="16"/>
  <c r="AJ297" i="16"/>
  <c r="AJ298" i="16"/>
  <c r="AJ3" i="16"/>
  <c r="AD4" i="16"/>
  <c r="AD57" i="16"/>
  <c r="AD106" i="16"/>
  <c r="AD185" i="16"/>
  <c r="AD210" i="16"/>
  <c r="AD236" i="16"/>
  <c r="AD252" i="16"/>
  <c r="AD5" i="16"/>
  <c r="AD6" i="16"/>
  <c r="AD8" i="16"/>
  <c r="AD9" i="16"/>
  <c r="AD14" i="16"/>
  <c r="AD15" i="16"/>
  <c r="AD11" i="16"/>
  <c r="AD13" i="16"/>
  <c r="AD19" i="16"/>
  <c r="AD18" i="16"/>
  <c r="AD16" i="16"/>
  <c r="AD10" i="16"/>
  <c r="AD7" i="16"/>
  <c r="AD2" i="16"/>
  <c r="AD24" i="16"/>
  <c r="AD12" i="16"/>
  <c r="AD26" i="16"/>
  <c r="AD21" i="16"/>
  <c r="AD28" i="16"/>
  <c r="AD17" i="16"/>
  <c r="AD30" i="16"/>
  <c r="AD20" i="16"/>
  <c r="AD33" i="16"/>
  <c r="AD31" i="16"/>
  <c r="AD34" i="16"/>
  <c r="AD35" i="16"/>
  <c r="AD22" i="16"/>
  <c r="AD23" i="16"/>
  <c r="AD25" i="16"/>
  <c r="AD27" i="16"/>
  <c r="AD44" i="16"/>
  <c r="AD42" i="16"/>
  <c r="AD29" i="16"/>
  <c r="AD32" i="16"/>
  <c r="AD43" i="16"/>
  <c r="AD45" i="16"/>
  <c r="AD46" i="16"/>
  <c r="AD47" i="16"/>
  <c r="AD48" i="16"/>
  <c r="AD49" i="16"/>
  <c r="AD50" i="16"/>
  <c r="AD51" i="16"/>
  <c r="AD53" i="16"/>
  <c r="AD36" i="16"/>
  <c r="AD52" i="16"/>
  <c r="AD38" i="16"/>
  <c r="AD39" i="16"/>
  <c r="AD40" i="16"/>
  <c r="AD58" i="16"/>
  <c r="AD60" i="16"/>
  <c r="AD66" i="16"/>
  <c r="AD63" i="16"/>
  <c r="AD62" i="16"/>
  <c r="AD65" i="16"/>
  <c r="AD68" i="16"/>
  <c r="AD37" i="16"/>
  <c r="AD67" i="16"/>
  <c r="AD69" i="16"/>
  <c r="AD73" i="16"/>
  <c r="AD72" i="16"/>
  <c r="AD70" i="16"/>
  <c r="AD71" i="16"/>
  <c r="AD74" i="16"/>
  <c r="AD41" i="16"/>
  <c r="AD54" i="16"/>
  <c r="AD55" i="16"/>
  <c r="AD56" i="16"/>
  <c r="AD81" i="16"/>
  <c r="AD75" i="16"/>
  <c r="AD76" i="16"/>
  <c r="AD84" i="16"/>
  <c r="AD61" i="16"/>
  <c r="AD59" i="16"/>
  <c r="AD78" i="16"/>
  <c r="AD64" i="16"/>
  <c r="AD87" i="16"/>
  <c r="AD90" i="16"/>
  <c r="AD86" i="16"/>
  <c r="AD85" i="16"/>
  <c r="AD88" i="16"/>
  <c r="AD89" i="16"/>
  <c r="AD91" i="16"/>
  <c r="AD77" i="16"/>
  <c r="AD101" i="16"/>
  <c r="AD95" i="16"/>
  <c r="AD79" i="16"/>
  <c r="AD100" i="16"/>
  <c r="AD93" i="16"/>
  <c r="AD80" i="16"/>
  <c r="AD82" i="16"/>
  <c r="AD94" i="16"/>
  <c r="AD97" i="16"/>
  <c r="AD83" i="16"/>
  <c r="AD107" i="16"/>
  <c r="AD102" i="16"/>
  <c r="AD104" i="16"/>
  <c r="AD98" i="16"/>
  <c r="AD96" i="16"/>
  <c r="AD108" i="16"/>
  <c r="AD109" i="16"/>
  <c r="AD111" i="16"/>
  <c r="AD110" i="16"/>
  <c r="AD112" i="16"/>
  <c r="AD113" i="16"/>
  <c r="AD114" i="16"/>
  <c r="AD115" i="16"/>
  <c r="AD116" i="16"/>
  <c r="AD117" i="16"/>
  <c r="AD119" i="16"/>
  <c r="AD118" i="16"/>
  <c r="AD92" i="16"/>
  <c r="AD103" i="16"/>
  <c r="AD99" i="16"/>
  <c r="AD123" i="16"/>
  <c r="AD124" i="16"/>
  <c r="AD125" i="16"/>
  <c r="AD126" i="16"/>
  <c r="AD127" i="16"/>
  <c r="AD128" i="16"/>
  <c r="AD132" i="16"/>
  <c r="AD133" i="16"/>
  <c r="AD129" i="16"/>
  <c r="AD130" i="16"/>
  <c r="AD131" i="16"/>
  <c r="AD105" i="16"/>
  <c r="AD120" i="16"/>
  <c r="AD134" i="16"/>
  <c r="AD121" i="16"/>
  <c r="AD122" i="16"/>
  <c r="AD137" i="16"/>
  <c r="AD141" i="16"/>
  <c r="AD140" i="16"/>
  <c r="AD144" i="16"/>
  <c r="AD139" i="16"/>
  <c r="AD142" i="16"/>
  <c r="AD145" i="16"/>
  <c r="AD146" i="16"/>
  <c r="AD143" i="16"/>
  <c r="AD150" i="16"/>
  <c r="AD136" i="16"/>
  <c r="AD135" i="16"/>
  <c r="AD138" i="16"/>
  <c r="AD148" i="16"/>
  <c r="AD153" i="16"/>
  <c r="AD147" i="16"/>
  <c r="AD167" i="16"/>
  <c r="AD155" i="16"/>
  <c r="AD159" i="16"/>
  <c r="AD162" i="16"/>
  <c r="AD161" i="16"/>
  <c r="AD165" i="16"/>
  <c r="AD149" i="16"/>
  <c r="AD151" i="16"/>
  <c r="AD152" i="16"/>
  <c r="AD163" i="16"/>
  <c r="AD160" i="16"/>
  <c r="AD154" i="16"/>
  <c r="AD156" i="16"/>
  <c r="AD168" i="16"/>
  <c r="AD169" i="16"/>
  <c r="AD170" i="16"/>
  <c r="AD171" i="16"/>
  <c r="AD164" i="16"/>
  <c r="AD173" i="16"/>
  <c r="AD174" i="16"/>
  <c r="AD175" i="16"/>
  <c r="AD158" i="16"/>
  <c r="AD166" i="16"/>
  <c r="AD157" i="16"/>
  <c r="AD172" i="16"/>
  <c r="AD176" i="16"/>
  <c r="AD181" i="16"/>
  <c r="AD177" i="16"/>
  <c r="AD183" i="16"/>
  <c r="AD184" i="16"/>
  <c r="AD186" i="16"/>
  <c r="AD178" i="16"/>
  <c r="AD195" i="16"/>
  <c r="AD190" i="16"/>
  <c r="AD194" i="16"/>
  <c r="AD179" i="16"/>
  <c r="AD180" i="16"/>
  <c r="AD191" i="16"/>
  <c r="AD189" i="16"/>
  <c r="AD192" i="16"/>
  <c r="AD193" i="16"/>
  <c r="AD197" i="16"/>
  <c r="AD198" i="16"/>
  <c r="AD199" i="16"/>
  <c r="AD182" i="16"/>
  <c r="AD201" i="16"/>
  <c r="AD196" i="16"/>
  <c r="AD202" i="16"/>
  <c r="AD187" i="16"/>
  <c r="AD204" i="16"/>
  <c r="AD188" i="16"/>
  <c r="AD205" i="16"/>
  <c r="AD200" i="16"/>
  <c r="AD216" i="16"/>
  <c r="AD203" i="16"/>
  <c r="AD217" i="16"/>
  <c r="AD219" i="16"/>
  <c r="AD212" i="16"/>
  <c r="AD222" i="16"/>
  <c r="AD221" i="16"/>
  <c r="AD223" i="16"/>
  <c r="AD220" i="16"/>
  <c r="AD211" i="16"/>
  <c r="AD209" i="16"/>
  <c r="AD206" i="16"/>
  <c r="AD207" i="16"/>
  <c r="AD225" i="16"/>
  <c r="AD218" i="16"/>
  <c r="AD214" i="16"/>
  <c r="AD213" i="16"/>
  <c r="AD208" i="16"/>
  <c r="AD227" i="16"/>
  <c r="AD229" i="16"/>
  <c r="AD226" i="16"/>
  <c r="AD234" i="16"/>
  <c r="AD224" i="16"/>
  <c r="AD215" i="16"/>
  <c r="AD231" i="16"/>
  <c r="AD228" i="16"/>
  <c r="AD232" i="16"/>
  <c r="AD240" i="16"/>
  <c r="AD239" i="16"/>
  <c r="AD241" i="16"/>
  <c r="AD230" i="16"/>
  <c r="AD235" i="16"/>
  <c r="AD237" i="16"/>
  <c r="AD238" i="16"/>
  <c r="AD233" i="16"/>
  <c r="AD242" i="16"/>
  <c r="AD245" i="16"/>
  <c r="AD243" i="16"/>
  <c r="AD244" i="16"/>
  <c r="AD256" i="16"/>
  <c r="AD250" i="16"/>
  <c r="AD253" i="16"/>
  <c r="AD248" i="16"/>
  <c r="AD247" i="16"/>
  <c r="AD251" i="16"/>
  <c r="AD254" i="16"/>
  <c r="AD246" i="16"/>
  <c r="AD249" i="16"/>
  <c r="AD255" i="16"/>
  <c r="AD265" i="16"/>
  <c r="AD264" i="16"/>
  <c r="AD266" i="16"/>
  <c r="AD270" i="16"/>
  <c r="AD257" i="16"/>
  <c r="AD258" i="16"/>
  <c r="AD261" i="16"/>
  <c r="AD262" i="16"/>
  <c r="AD263" i="16"/>
  <c r="AD260" i="16"/>
  <c r="AD267" i="16"/>
  <c r="AD268" i="16"/>
  <c r="AD269" i="16"/>
  <c r="AD271" i="16"/>
  <c r="AD272" i="16"/>
  <c r="AD259" i="16"/>
  <c r="AD284" i="16"/>
  <c r="AD274" i="16"/>
  <c r="AD276" i="16"/>
  <c r="AD275" i="16"/>
  <c r="AD278" i="16"/>
  <c r="AD283" i="16"/>
  <c r="AD273" i="16"/>
  <c r="AD281" i="16"/>
  <c r="AD280" i="16"/>
  <c r="AD279" i="16"/>
  <c r="AD282" i="16"/>
  <c r="AD285" i="16"/>
  <c r="AD277" i="16"/>
  <c r="AD288" i="16"/>
  <c r="AD286" i="16"/>
  <c r="AD289" i="16"/>
  <c r="AD290" i="16"/>
  <c r="AD291" i="16"/>
  <c r="AD287" i="16"/>
  <c r="AD295" i="16"/>
  <c r="AD296" i="16"/>
  <c r="AD292" i="16"/>
  <c r="AD293" i="16"/>
  <c r="AD294" i="16"/>
  <c r="AD299" i="16"/>
  <c r="AD297" i="16"/>
  <c r="AD298" i="16"/>
  <c r="AD3" i="16"/>
  <c r="V4" i="16"/>
  <c r="V57" i="16"/>
  <c r="V106" i="16"/>
  <c r="V185" i="16"/>
  <c r="V210" i="16"/>
  <c r="V236" i="16"/>
  <c r="V252" i="16"/>
  <c r="V5" i="16"/>
  <c r="V6" i="16"/>
  <c r="V8" i="16"/>
  <c r="V9" i="16"/>
  <c r="V14" i="16"/>
  <c r="V15" i="16"/>
  <c r="V11" i="16"/>
  <c r="V13" i="16"/>
  <c r="V19" i="16"/>
  <c r="V18" i="16"/>
  <c r="V16" i="16"/>
  <c r="V10" i="16"/>
  <c r="V7" i="16"/>
  <c r="V2" i="16"/>
  <c r="V24" i="16"/>
  <c r="V12" i="16"/>
  <c r="V26" i="16"/>
  <c r="V21" i="16"/>
  <c r="V28" i="16"/>
  <c r="V17" i="16"/>
  <c r="V30" i="16"/>
  <c r="V20" i="16"/>
  <c r="V33" i="16"/>
  <c r="V31" i="16"/>
  <c r="V34" i="16"/>
  <c r="V35" i="16"/>
  <c r="V22" i="16"/>
  <c r="V23" i="16"/>
  <c r="V25" i="16"/>
  <c r="V27" i="16"/>
  <c r="V44" i="16"/>
  <c r="V42" i="16"/>
  <c r="V29" i="16"/>
  <c r="V32" i="16"/>
  <c r="V43" i="16"/>
  <c r="V45" i="16"/>
  <c r="V46" i="16"/>
  <c r="V47" i="16"/>
  <c r="V48" i="16"/>
  <c r="V49" i="16"/>
  <c r="V50" i="16"/>
  <c r="V51" i="16"/>
  <c r="V53" i="16"/>
  <c r="V36" i="16"/>
  <c r="V52" i="16"/>
  <c r="V38" i="16"/>
  <c r="V39" i="16"/>
  <c r="V40" i="16"/>
  <c r="V58" i="16"/>
  <c r="V60" i="16"/>
  <c r="V66" i="16"/>
  <c r="V63" i="16"/>
  <c r="V62" i="16"/>
  <c r="V65" i="16"/>
  <c r="V68" i="16"/>
  <c r="V37" i="16"/>
  <c r="V67" i="16"/>
  <c r="V69" i="16"/>
  <c r="V73" i="16"/>
  <c r="V72" i="16"/>
  <c r="V70" i="16"/>
  <c r="V71" i="16"/>
  <c r="V74" i="16"/>
  <c r="V41" i="16"/>
  <c r="V54" i="16"/>
  <c r="V55" i="16"/>
  <c r="V56" i="16"/>
  <c r="V81" i="16"/>
  <c r="V75" i="16"/>
  <c r="V76" i="16"/>
  <c r="V84" i="16"/>
  <c r="V61" i="16"/>
  <c r="V59" i="16"/>
  <c r="V78" i="16"/>
  <c r="V64" i="16"/>
  <c r="V87" i="16"/>
  <c r="V90" i="16"/>
  <c r="V86" i="16"/>
  <c r="V85" i="16"/>
  <c r="V88" i="16"/>
  <c r="V89" i="16"/>
  <c r="V91" i="16"/>
  <c r="V77" i="16"/>
  <c r="V101" i="16"/>
  <c r="V95" i="16"/>
  <c r="V79" i="16"/>
  <c r="V100" i="16"/>
  <c r="V93" i="16"/>
  <c r="V80" i="16"/>
  <c r="V82" i="16"/>
  <c r="V94" i="16"/>
  <c r="V97" i="16"/>
  <c r="V83" i="16"/>
  <c r="V107" i="16"/>
  <c r="V102" i="16"/>
  <c r="V104" i="16"/>
  <c r="V98" i="16"/>
  <c r="V96" i="16"/>
  <c r="V108" i="16"/>
  <c r="V109" i="16"/>
  <c r="V111" i="16"/>
  <c r="V110" i="16"/>
  <c r="V112" i="16"/>
  <c r="V113" i="16"/>
  <c r="V114" i="16"/>
  <c r="V115" i="16"/>
  <c r="V116" i="16"/>
  <c r="V117" i="16"/>
  <c r="V119" i="16"/>
  <c r="V118" i="16"/>
  <c r="V92" i="16"/>
  <c r="V103" i="16"/>
  <c r="V99" i="16"/>
  <c r="V123" i="16"/>
  <c r="V124" i="16"/>
  <c r="V125" i="16"/>
  <c r="V126" i="16"/>
  <c r="V127" i="16"/>
  <c r="V128" i="16"/>
  <c r="V132" i="16"/>
  <c r="V133" i="16"/>
  <c r="V129" i="16"/>
  <c r="V130" i="16"/>
  <c r="V131" i="16"/>
  <c r="V105" i="16"/>
  <c r="V120" i="16"/>
  <c r="V134" i="16"/>
  <c r="V121" i="16"/>
  <c r="V122" i="16"/>
  <c r="V137" i="16"/>
  <c r="V141" i="16"/>
  <c r="V140" i="16"/>
  <c r="V144" i="16"/>
  <c r="V139" i="16"/>
  <c r="V142" i="16"/>
  <c r="V145" i="16"/>
  <c r="V146" i="16"/>
  <c r="V143" i="16"/>
  <c r="V150" i="16"/>
  <c r="V136" i="16"/>
  <c r="V135" i="16"/>
  <c r="V138" i="16"/>
  <c r="V148" i="16"/>
  <c r="V153" i="16"/>
  <c r="V147" i="16"/>
  <c r="V167" i="16"/>
  <c r="V155" i="16"/>
  <c r="V159" i="16"/>
  <c r="V162" i="16"/>
  <c r="V161" i="16"/>
  <c r="V165" i="16"/>
  <c r="V149" i="16"/>
  <c r="V151" i="16"/>
  <c r="V152" i="16"/>
  <c r="V163" i="16"/>
  <c r="V160" i="16"/>
  <c r="V154" i="16"/>
  <c r="V156" i="16"/>
  <c r="V168" i="16"/>
  <c r="V169" i="16"/>
  <c r="V170" i="16"/>
  <c r="V171" i="16"/>
  <c r="V164" i="16"/>
  <c r="V173" i="16"/>
  <c r="V174" i="16"/>
  <c r="V175" i="16"/>
  <c r="V158" i="16"/>
  <c r="V166" i="16"/>
  <c r="V157" i="16"/>
  <c r="V172" i="16"/>
  <c r="V176" i="16"/>
  <c r="V181" i="16"/>
  <c r="V177" i="16"/>
  <c r="V183" i="16"/>
  <c r="V184" i="16"/>
  <c r="V186" i="16"/>
  <c r="V178" i="16"/>
  <c r="V195" i="16"/>
  <c r="V190" i="16"/>
  <c r="V194" i="16"/>
  <c r="V179" i="16"/>
  <c r="V180" i="16"/>
  <c r="V191" i="16"/>
  <c r="V189" i="16"/>
  <c r="V192" i="16"/>
  <c r="V193" i="16"/>
  <c r="V197" i="16"/>
  <c r="V198" i="16"/>
  <c r="V199" i="16"/>
  <c r="V182" i="16"/>
  <c r="V201" i="16"/>
  <c r="V196" i="16"/>
  <c r="V202" i="16"/>
  <c r="V187" i="16"/>
  <c r="V204" i="16"/>
  <c r="V188" i="16"/>
  <c r="V205" i="16"/>
  <c r="V200" i="16"/>
  <c r="V216" i="16"/>
  <c r="V203" i="16"/>
  <c r="V217" i="16"/>
  <c r="V219" i="16"/>
  <c r="V212" i="16"/>
  <c r="V222" i="16"/>
  <c r="V221" i="16"/>
  <c r="V223" i="16"/>
  <c r="V220" i="16"/>
  <c r="V211" i="16"/>
  <c r="V209" i="16"/>
  <c r="V206" i="16"/>
  <c r="V207" i="16"/>
  <c r="V225" i="16"/>
  <c r="V218" i="16"/>
  <c r="V214" i="16"/>
  <c r="V213" i="16"/>
  <c r="V208" i="16"/>
  <c r="V227" i="16"/>
  <c r="V229" i="16"/>
  <c r="V226" i="16"/>
  <c r="V234" i="16"/>
  <c r="V224" i="16"/>
  <c r="V215" i="16"/>
  <c r="V231" i="16"/>
  <c r="V228" i="16"/>
  <c r="V232" i="16"/>
  <c r="V240" i="16"/>
  <c r="V239" i="16"/>
  <c r="V241" i="16"/>
  <c r="V230" i="16"/>
  <c r="V235" i="16"/>
  <c r="V237" i="16"/>
  <c r="V238" i="16"/>
  <c r="V233" i="16"/>
  <c r="V242" i="16"/>
  <c r="V245" i="16"/>
  <c r="V243" i="16"/>
  <c r="V244" i="16"/>
  <c r="V256" i="16"/>
  <c r="V250" i="16"/>
  <c r="V253" i="16"/>
  <c r="V248" i="16"/>
  <c r="V247" i="16"/>
  <c r="V251" i="16"/>
  <c r="V254" i="16"/>
  <c r="V246" i="16"/>
  <c r="V249" i="16"/>
  <c r="V255" i="16"/>
  <c r="V265" i="16"/>
  <c r="V264" i="16"/>
  <c r="V266" i="16"/>
  <c r="V270" i="16"/>
  <c r="V257" i="16"/>
  <c r="V258" i="16"/>
  <c r="V261" i="16"/>
  <c r="V262" i="16"/>
  <c r="V263" i="16"/>
  <c r="V260" i="16"/>
  <c r="V267" i="16"/>
  <c r="V268" i="16"/>
  <c r="V269" i="16"/>
  <c r="V271" i="16"/>
  <c r="V272" i="16"/>
  <c r="V259" i="16"/>
  <c r="V284" i="16"/>
  <c r="V274" i="16"/>
  <c r="V276" i="16"/>
  <c r="V275" i="16"/>
  <c r="V278" i="16"/>
  <c r="V283" i="16"/>
  <c r="V273" i="16"/>
  <c r="V281" i="16"/>
  <c r="V280" i="16"/>
  <c r="V279" i="16"/>
  <c r="V282" i="16"/>
  <c r="V285" i="16"/>
  <c r="V277" i="16"/>
  <c r="V288" i="16"/>
  <c r="V286" i="16"/>
  <c r="V289" i="16"/>
  <c r="V290" i="16"/>
  <c r="V291" i="16"/>
  <c r="V287" i="16"/>
  <c r="V295" i="16"/>
  <c r="V296" i="16"/>
  <c r="V292" i="16"/>
  <c r="V293" i="16"/>
  <c r="V294" i="16"/>
  <c r="V299" i="16"/>
  <c r="V297" i="16"/>
  <c r="V298" i="16"/>
  <c r="V3" i="16"/>
  <c r="O130" i="16"/>
  <c r="O57" i="16"/>
  <c r="O106" i="16"/>
  <c r="O185" i="16"/>
  <c r="O210" i="16"/>
  <c r="O236" i="16"/>
  <c r="O252" i="16"/>
  <c r="O5" i="16"/>
  <c r="O6" i="16"/>
  <c r="O8" i="16"/>
  <c r="O9" i="16"/>
  <c r="O14" i="16"/>
  <c r="O15" i="16"/>
  <c r="O11" i="16"/>
  <c r="O13" i="16"/>
  <c r="O19" i="16"/>
  <c r="O18" i="16"/>
  <c r="O16" i="16"/>
  <c r="O10" i="16"/>
  <c r="O7" i="16"/>
  <c r="O2" i="16"/>
  <c r="O24" i="16"/>
  <c r="O12" i="16"/>
  <c r="O26" i="16"/>
  <c r="O21" i="16"/>
  <c r="O28" i="16"/>
  <c r="O17" i="16"/>
  <c r="O30" i="16"/>
  <c r="O20" i="16"/>
  <c r="O33" i="16"/>
  <c r="O31" i="16"/>
  <c r="O34" i="16"/>
  <c r="O35" i="16"/>
  <c r="O22" i="16"/>
  <c r="O23" i="16"/>
  <c r="O25" i="16"/>
  <c r="O27" i="16"/>
  <c r="O44" i="16"/>
  <c r="O42" i="16"/>
  <c r="O29" i="16"/>
  <c r="O32" i="16"/>
  <c r="O43" i="16"/>
  <c r="O45" i="16"/>
  <c r="O46" i="16"/>
  <c r="O47" i="16"/>
  <c r="O48" i="16"/>
  <c r="O49" i="16"/>
  <c r="O50" i="16"/>
  <c r="O51" i="16"/>
  <c r="O53" i="16"/>
  <c r="O36" i="16"/>
  <c r="O52" i="16"/>
  <c r="O38" i="16"/>
  <c r="O39" i="16"/>
  <c r="O40" i="16"/>
  <c r="O58" i="16"/>
  <c r="O60" i="16"/>
  <c r="O66" i="16"/>
  <c r="O63" i="16"/>
  <c r="O62" i="16"/>
  <c r="O65" i="16"/>
  <c r="O68" i="16"/>
  <c r="O37" i="16"/>
  <c r="O67" i="16"/>
  <c r="O69" i="16"/>
  <c r="O73" i="16"/>
  <c r="O72" i="16"/>
  <c r="O70" i="16"/>
  <c r="O71" i="16"/>
  <c r="O74" i="16"/>
  <c r="O41" i="16"/>
  <c r="O54" i="16"/>
  <c r="O55" i="16"/>
  <c r="O56" i="16"/>
  <c r="O81" i="16"/>
  <c r="O75" i="16"/>
  <c r="O76" i="16"/>
  <c r="O84" i="16"/>
  <c r="O61" i="16"/>
  <c r="O59" i="16"/>
  <c r="O78" i="16"/>
  <c r="O64" i="16"/>
  <c r="O87" i="16"/>
  <c r="O90" i="16"/>
  <c r="O86" i="16"/>
  <c r="O85" i="16"/>
  <c r="O88" i="16"/>
  <c r="O89" i="16"/>
  <c r="O91" i="16"/>
  <c r="O77" i="16"/>
  <c r="O101" i="16"/>
  <c r="O95" i="16"/>
  <c r="O79" i="16"/>
  <c r="O100" i="16"/>
  <c r="O93" i="16"/>
  <c r="O80" i="16"/>
  <c r="O82" i="16"/>
  <c r="O94" i="16"/>
  <c r="O97" i="16"/>
  <c r="O83" i="16"/>
  <c r="O107" i="16"/>
  <c r="O102" i="16"/>
  <c r="O104" i="16"/>
  <c r="O98" i="16"/>
  <c r="O96" i="16"/>
  <c r="O108" i="16"/>
  <c r="O109" i="16"/>
  <c r="O111" i="16"/>
  <c r="O110" i="16"/>
  <c r="O112" i="16"/>
  <c r="O113" i="16"/>
  <c r="O114" i="16"/>
  <c r="O115" i="16"/>
  <c r="O116" i="16"/>
  <c r="O117" i="16"/>
  <c r="O119" i="16"/>
  <c r="O118" i="16"/>
  <c r="O92" i="16"/>
  <c r="O103" i="16"/>
  <c r="O99" i="16"/>
  <c r="O123" i="16"/>
  <c r="O124" i="16"/>
  <c r="O125" i="16"/>
  <c r="O126" i="16"/>
  <c r="O127" i="16"/>
  <c r="O128" i="16"/>
  <c r="O132" i="16"/>
  <c r="O133" i="16"/>
  <c r="O129" i="16"/>
  <c r="O131" i="16"/>
  <c r="O105" i="16"/>
  <c r="O120" i="16"/>
  <c r="O134" i="16"/>
  <c r="O121" i="16"/>
  <c r="O122" i="16"/>
  <c r="O137" i="16"/>
  <c r="O141" i="16"/>
  <c r="O140" i="16"/>
  <c r="O144" i="16"/>
  <c r="O139" i="16"/>
  <c r="O142" i="16"/>
  <c r="O145" i="16"/>
  <c r="O146" i="16"/>
  <c r="O143" i="16"/>
  <c r="O150" i="16"/>
  <c r="O136" i="16"/>
  <c r="O135" i="16"/>
  <c r="O138" i="16"/>
  <c r="O148" i="16"/>
  <c r="O153" i="16"/>
  <c r="O147" i="16"/>
  <c r="O167" i="16"/>
  <c r="O155" i="16"/>
  <c r="O159" i="16"/>
  <c r="O162" i="16"/>
  <c r="O161" i="16"/>
  <c r="O165" i="16"/>
  <c r="O149" i="16"/>
  <c r="O151" i="16"/>
  <c r="O152" i="16"/>
  <c r="O163" i="16"/>
  <c r="O160" i="16"/>
  <c r="O154" i="16"/>
  <c r="O156" i="16"/>
  <c r="O168" i="16"/>
  <c r="O169" i="16"/>
  <c r="O170" i="16"/>
  <c r="O171" i="16"/>
  <c r="O164" i="16"/>
  <c r="O173" i="16"/>
  <c r="O174" i="16"/>
  <c r="O175" i="16"/>
  <c r="O158" i="16"/>
  <c r="O166" i="16"/>
  <c r="O157" i="16"/>
  <c r="O172" i="16"/>
  <c r="O176" i="16"/>
  <c r="O181" i="16"/>
  <c r="O177" i="16"/>
  <c r="O183" i="16"/>
  <c r="O184" i="16"/>
  <c r="O186" i="16"/>
  <c r="O178" i="16"/>
  <c r="O195" i="16"/>
  <c r="O190" i="16"/>
  <c r="O194" i="16"/>
  <c r="O179" i="16"/>
  <c r="O180" i="16"/>
  <c r="O191" i="16"/>
  <c r="O189" i="16"/>
  <c r="O192" i="16"/>
  <c r="O193" i="16"/>
  <c r="O197" i="16"/>
  <c r="O198" i="16"/>
  <c r="O199" i="16"/>
  <c r="O182" i="16"/>
  <c r="O201" i="16"/>
  <c r="O196" i="16"/>
  <c r="O202" i="16"/>
  <c r="O187" i="16"/>
  <c r="O204" i="16"/>
  <c r="O188" i="16"/>
  <c r="O205" i="16"/>
  <c r="O200" i="16"/>
  <c r="O216" i="16"/>
  <c r="O203" i="16"/>
  <c r="O217" i="16"/>
  <c r="O219" i="16"/>
  <c r="O212" i="16"/>
  <c r="O222" i="16"/>
  <c r="O221" i="16"/>
  <c r="O223" i="16"/>
  <c r="O220" i="16"/>
  <c r="O211" i="16"/>
  <c r="O209" i="16"/>
  <c r="O206" i="16"/>
  <c r="O207" i="16"/>
  <c r="O225" i="16"/>
  <c r="O218" i="16"/>
  <c r="O214" i="16"/>
  <c r="O213" i="16"/>
  <c r="O208" i="16"/>
  <c r="O227" i="16"/>
  <c r="O229" i="16"/>
  <c r="O226" i="16"/>
  <c r="O234" i="16"/>
  <c r="O224" i="16"/>
  <c r="O215" i="16"/>
  <c r="O231" i="16"/>
  <c r="O228" i="16"/>
  <c r="O232" i="16"/>
  <c r="O240" i="16"/>
  <c r="O239" i="16"/>
  <c r="O241" i="16"/>
  <c r="O230" i="16"/>
  <c r="O235" i="16"/>
  <c r="O237" i="16"/>
  <c r="O238" i="16"/>
  <c r="O233" i="16"/>
  <c r="O242" i="16"/>
  <c r="O245" i="16"/>
  <c r="O243" i="16"/>
  <c r="O244" i="16"/>
  <c r="O256" i="16"/>
  <c r="O250" i="16"/>
  <c r="O253" i="16"/>
  <c r="O248" i="16"/>
  <c r="O247" i="16"/>
  <c r="O251" i="16"/>
  <c r="O254" i="16"/>
  <c r="O246" i="16"/>
  <c r="O249" i="16"/>
  <c r="O255" i="16"/>
  <c r="O265" i="16"/>
  <c r="O264" i="16"/>
  <c r="O266" i="16"/>
  <c r="O270" i="16"/>
  <c r="O257" i="16"/>
  <c r="O258" i="16"/>
  <c r="O261" i="16"/>
  <c r="O262" i="16"/>
  <c r="O263" i="16"/>
  <c r="O260" i="16"/>
  <c r="O267" i="16"/>
  <c r="O268" i="16"/>
  <c r="O269" i="16"/>
  <c r="O271" i="16"/>
  <c r="O272" i="16"/>
  <c r="O259" i="16"/>
  <c r="O284" i="16"/>
  <c r="O274" i="16"/>
  <c r="O276" i="16"/>
  <c r="O275" i="16"/>
  <c r="O278" i="16"/>
  <c r="O283" i="16"/>
  <c r="O273" i="16"/>
  <c r="O281" i="16"/>
  <c r="O280" i="16"/>
  <c r="O279" i="16"/>
  <c r="O282" i="16"/>
  <c r="O285" i="16"/>
  <c r="O277" i="16"/>
  <c r="O288" i="16"/>
  <c r="O286" i="16"/>
  <c r="O289" i="16"/>
  <c r="O290" i="16"/>
  <c r="O291" i="16"/>
  <c r="O287" i="16"/>
  <c r="O295" i="16"/>
  <c r="O296" i="16"/>
  <c r="O292" i="16"/>
  <c r="O293" i="16"/>
  <c r="O294" i="16"/>
  <c r="O299" i="16"/>
  <c r="O297" i="16"/>
  <c r="O298" i="16"/>
  <c r="O3" i="16"/>
  <c r="AZ298" i="16"/>
  <c r="AZ297" i="16"/>
  <c r="AZ299" i="16"/>
  <c r="AZ294" i="16"/>
  <c r="AZ293" i="16"/>
  <c r="AZ292" i="16"/>
  <c r="AZ296" i="16"/>
  <c r="AZ295" i="16"/>
  <c r="AZ287" i="16"/>
  <c r="AZ291" i="16"/>
  <c r="AZ290" i="16"/>
  <c r="AZ289" i="16"/>
  <c r="AZ286" i="16"/>
  <c r="AZ288" i="16"/>
  <c r="AZ277" i="16"/>
  <c r="AZ285" i="16"/>
  <c r="AZ282" i="16"/>
  <c r="AZ279" i="16"/>
  <c r="AZ280" i="16"/>
  <c r="AZ281" i="16"/>
  <c r="AZ273" i="16"/>
  <c r="AZ283" i="16"/>
  <c r="AZ278" i="16"/>
  <c r="AZ275" i="16"/>
  <c r="AZ276" i="16"/>
  <c r="AZ274" i="16"/>
  <c r="AZ284" i="16"/>
  <c r="AZ259" i="16"/>
  <c r="AZ272" i="16"/>
  <c r="AZ271" i="16"/>
  <c r="AZ269" i="16"/>
  <c r="AZ268" i="16"/>
  <c r="AZ267" i="16"/>
  <c r="AZ260" i="16"/>
  <c r="AZ263" i="16"/>
  <c r="AZ262" i="16"/>
  <c r="AZ261" i="16"/>
  <c r="AZ258" i="16"/>
  <c r="AZ257" i="16"/>
  <c r="AZ270" i="16"/>
  <c r="AZ266" i="16"/>
  <c r="AZ264" i="16"/>
  <c r="AZ265" i="16"/>
  <c r="AZ255" i="16"/>
  <c r="AZ249" i="16"/>
  <c r="AZ246" i="16"/>
  <c r="AZ254" i="16"/>
  <c r="AZ251" i="16"/>
  <c r="AZ247" i="16"/>
  <c r="AZ248" i="16"/>
  <c r="AZ253" i="16"/>
  <c r="AZ250" i="16"/>
  <c r="AZ256" i="16"/>
  <c r="AZ244" i="16"/>
  <c r="AZ243" i="16"/>
  <c r="AZ245" i="16"/>
  <c r="AZ242" i="16"/>
  <c r="AZ233" i="16"/>
  <c r="AZ238" i="16"/>
  <c r="AZ237" i="16"/>
  <c r="AZ235" i="16"/>
  <c r="AZ230" i="16"/>
  <c r="AZ241" i="16"/>
  <c r="AZ239" i="16"/>
  <c r="AZ240" i="16"/>
  <c r="AZ232" i="16"/>
  <c r="AZ228" i="16"/>
  <c r="AZ231" i="16"/>
  <c r="AZ215" i="16"/>
  <c r="AZ224" i="16"/>
  <c r="AZ234" i="16"/>
  <c r="AZ226" i="16"/>
  <c r="AZ229" i="16"/>
  <c r="AZ227" i="16"/>
  <c r="AZ208" i="16"/>
  <c r="AZ213" i="16"/>
  <c r="AZ214" i="16"/>
  <c r="AZ218" i="16"/>
  <c r="AZ225" i="16"/>
  <c r="AZ207" i="16"/>
  <c r="AZ206" i="16"/>
  <c r="AZ209" i="16"/>
  <c r="AZ211" i="16"/>
  <c r="AZ220" i="16"/>
  <c r="AZ223" i="16"/>
  <c r="AZ221" i="16"/>
  <c r="AZ222" i="16"/>
  <c r="AZ212" i="16"/>
  <c r="AZ219" i="16"/>
  <c r="AZ217" i="16"/>
  <c r="AZ203" i="16"/>
  <c r="AZ216" i="16"/>
  <c r="AZ200" i="16"/>
  <c r="AZ205" i="16"/>
  <c r="AZ188" i="16"/>
  <c r="AZ204" i="16"/>
  <c r="AZ187" i="16"/>
  <c r="AZ202" i="16"/>
  <c r="AZ196" i="16"/>
  <c r="AZ201" i="16"/>
  <c r="AZ182" i="16"/>
  <c r="AZ199" i="16"/>
  <c r="AZ198" i="16"/>
  <c r="AZ197" i="16"/>
  <c r="AZ193" i="16"/>
  <c r="AZ192" i="16"/>
  <c r="AZ189" i="16"/>
  <c r="AZ191" i="16"/>
  <c r="AZ180" i="16"/>
  <c r="AZ179" i="16"/>
  <c r="AZ194" i="16"/>
  <c r="AZ190" i="16"/>
  <c r="AZ195" i="16"/>
  <c r="AZ178" i="16"/>
  <c r="AZ186" i="16"/>
  <c r="AZ184" i="16"/>
  <c r="AZ183" i="16"/>
  <c r="AZ177" i="16"/>
  <c r="AZ181" i="16"/>
  <c r="AZ176" i="16"/>
  <c r="AZ172" i="16"/>
  <c r="AZ157" i="16"/>
  <c r="AZ166" i="16"/>
  <c r="AZ158" i="16"/>
  <c r="AZ175" i="16"/>
  <c r="AZ174" i="16"/>
  <c r="AZ173" i="16"/>
  <c r="AZ164" i="16"/>
  <c r="AZ171" i="16"/>
  <c r="AZ170" i="16"/>
  <c r="AZ169" i="16"/>
  <c r="AZ168" i="16"/>
  <c r="AZ156" i="16"/>
  <c r="AZ154" i="16"/>
  <c r="AZ160" i="16"/>
  <c r="AZ163" i="16"/>
  <c r="AZ152" i="16"/>
  <c r="AZ151" i="16"/>
  <c r="AZ149" i="16"/>
  <c r="AZ165" i="16"/>
  <c r="AZ161" i="16"/>
  <c r="AZ162" i="16"/>
  <c r="AZ159" i="16"/>
  <c r="AZ155" i="16"/>
  <c r="AZ167" i="16"/>
  <c r="AZ147" i="16"/>
  <c r="AZ153" i="16"/>
  <c r="AZ148" i="16"/>
  <c r="AZ138" i="16"/>
  <c r="AZ135" i="16"/>
  <c r="AZ136" i="16"/>
  <c r="AZ150" i="16"/>
  <c r="AZ143" i="16"/>
  <c r="AZ146" i="16"/>
  <c r="AZ145" i="16"/>
  <c r="AZ142" i="16"/>
  <c r="AZ139" i="16"/>
  <c r="AZ144" i="16"/>
  <c r="AZ140" i="16"/>
  <c r="AZ141" i="16"/>
  <c r="AZ137" i="16"/>
  <c r="AZ122" i="16"/>
  <c r="AZ121" i="16"/>
  <c r="AZ134" i="16"/>
  <c r="AZ120" i="16"/>
  <c r="AZ105" i="16"/>
  <c r="AZ131" i="16"/>
  <c r="AZ130" i="16"/>
  <c r="AZ129" i="16"/>
  <c r="AZ133" i="16"/>
  <c r="AZ132" i="16"/>
  <c r="AZ128" i="16"/>
  <c r="AZ127" i="16"/>
  <c r="AZ126" i="16"/>
  <c r="AZ125" i="16"/>
  <c r="AZ124" i="16"/>
  <c r="AZ123" i="16"/>
  <c r="AZ99" i="16"/>
  <c r="AZ103" i="16"/>
  <c r="AZ92" i="16"/>
  <c r="AZ118" i="16"/>
  <c r="AZ119" i="16"/>
  <c r="AZ117" i="16"/>
  <c r="AZ116" i="16"/>
  <c r="AZ115" i="16"/>
  <c r="AZ114" i="16"/>
  <c r="AZ113" i="16"/>
  <c r="AZ112" i="16"/>
  <c r="AZ110" i="16"/>
  <c r="AZ111" i="16"/>
  <c r="AZ109" i="16"/>
  <c r="AZ108" i="16"/>
  <c r="AZ96" i="16"/>
  <c r="AZ98" i="16"/>
  <c r="AZ104" i="16"/>
  <c r="AZ102" i="16"/>
  <c r="AZ107" i="16"/>
  <c r="AZ83" i="16"/>
  <c r="AZ97" i="16"/>
  <c r="AZ94" i="16"/>
  <c r="AZ82" i="16"/>
  <c r="AZ80" i="16"/>
  <c r="AZ93" i="16"/>
  <c r="AZ100" i="16"/>
  <c r="AZ79" i="16"/>
  <c r="AZ95" i="16"/>
  <c r="AZ101" i="16"/>
  <c r="AZ77" i="16"/>
  <c r="AZ91" i="16"/>
  <c r="AZ89" i="16"/>
  <c r="AZ88" i="16"/>
  <c r="AZ85" i="16"/>
  <c r="AZ86" i="16"/>
  <c r="AZ90" i="16"/>
  <c r="AZ87" i="16"/>
  <c r="AZ64" i="16"/>
  <c r="AZ78" i="16"/>
  <c r="AZ59" i="16"/>
  <c r="AZ61" i="16"/>
  <c r="AZ84" i="16"/>
  <c r="AZ76" i="16"/>
  <c r="AZ75" i="16"/>
  <c r="AZ81" i="16"/>
  <c r="AZ56" i="16"/>
  <c r="AZ55" i="16"/>
  <c r="AZ54" i="16"/>
  <c r="AZ41" i="16"/>
  <c r="AZ74" i="16"/>
  <c r="AZ71" i="16"/>
  <c r="AZ70" i="16"/>
  <c r="AZ72" i="16"/>
  <c r="AZ73" i="16"/>
  <c r="AZ69" i="16"/>
  <c r="AZ67" i="16"/>
  <c r="AZ37" i="16"/>
  <c r="AZ68" i="16"/>
  <c r="AZ65" i="16"/>
  <c r="AZ62" i="16"/>
  <c r="AZ63" i="16"/>
  <c r="AZ66" i="16"/>
  <c r="AZ60" i="16"/>
  <c r="AZ58" i="16"/>
  <c r="AZ40" i="16"/>
  <c r="AZ39" i="16"/>
  <c r="AZ38" i="16"/>
  <c r="AZ52" i="16"/>
  <c r="AZ36" i="16"/>
  <c r="AZ53" i="16"/>
  <c r="AZ51" i="16"/>
  <c r="AZ50" i="16"/>
  <c r="AZ49" i="16"/>
  <c r="AZ48" i="16"/>
  <c r="AZ47" i="16"/>
  <c r="AZ46" i="16"/>
  <c r="AZ45" i="16"/>
  <c r="AZ43" i="16"/>
  <c r="AZ32" i="16"/>
  <c r="AZ29" i="16"/>
  <c r="AZ42" i="16"/>
  <c r="AZ44" i="16"/>
  <c r="AZ27" i="16"/>
  <c r="AZ25" i="16"/>
  <c r="AZ23" i="16"/>
  <c r="AZ22" i="16"/>
  <c r="AZ35" i="16"/>
  <c r="AZ34" i="16"/>
  <c r="AZ31" i="16"/>
  <c r="AZ33" i="16"/>
  <c r="AZ20" i="16"/>
  <c r="AZ30" i="16"/>
  <c r="AZ17" i="16"/>
  <c r="AZ28" i="16"/>
  <c r="AZ21" i="16"/>
  <c r="AZ26" i="16"/>
  <c r="AZ12" i="16"/>
  <c r="AZ24" i="16"/>
  <c r="AZ2" i="16"/>
  <c r="AZ7" i="16"/>
  <c r="AZ10" i="16"/>
  <c r="AZ16" i="16"/>
  <c r="AZ18" i="16"/>
  <c r="AZ19" i="16"/>
  <c r="AZ13" i="16"/>
  <c r="AZ11" i="16"/>
  <c r="AZ15" i="16"/>
  <c r="AZ14" i="16"/>
  <c r="AZ9" i="16"/>
  <c r="AZ8" i="16"/>
  <c r="AZ6" i="16"/>
  <c r="AZ5" i="16"/>
  <c r="AZ252" i="16"/>
  <c r="AZ236" i="16"/>
  <c r="AZ210" i="16"/>
  <c r="AZ185" i="16"/>
  <c r="AZ106" i="16"/>
  <c r="AZ57" i="16"/>
  <c r="AZ4" i="16"/>
  <c r="K17" i="15"/>
  <c r="K16" i="15"/>
  <c r="K15" i="15"/>
  <c r="K14" i="15"/>
  <c r="K13" i="15"/>
  <c r="K12" i="15"/>
  <c r="K11" i="15"/>
  <c r="R11" i="15"/>
  <c r="R12" i="15"/>
  <c r="R13" i="15"/>
  <c r="H8" i="15"/>
  <c r="H7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11" i="15"/>
  <c r="G11" i="15"/>
  <c r="G10" i="15" s="1"/>
  <c r="G8" i="15"/>
  <c r="G7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40" i="15"/>
  <c r="B10" i="15"/>
  <c r="E10" i="15"/>
  <c r="AW294" i="16" l="1"/>
  <c r="AW185" i="16"/>
  <c r="AW14" i="16"/>
  <c r="AW7" i="16"/>
  <c r="AY7" i="16" s="1"/>
  <c r="AW30" i="16"/>
  <c r="AY30" i="16" s="1"/>
  <c r="AW25" i="16"/>
  <c r="AY25" i="16" s="1"/>
  <c r="AW46" i="16"/>
  <c r="AY46" i="16" s="1"/>
  <c r="AW52" i="16"/>
  <c r="AY52" i="16" s="1"/>
  <c r="AW75" i="16"/>
  <c r="AY75" i="16" s="1"/>
  <c r="AW90" i="16"/>
  <c r="AW95" i="16"/>
  <c r="AW83" i="16"/>
  <c r="AW111" i="16"/>
  <c r="AW119" i="16"/>
  <c r="AY119" i="16" s="1"/>
  <c r="AW126" i="16"/>
  <c r="AY126" i="16" s="1"/>
  <c r="AW105" i="16"/>
  <c r="AY105" i="16" s="1"/>
  <c r="AW135" i="16"/>
  <c r="AY135" i="16" s="1"/>
  <c r="AW162" i="16"/>
  <c r="AW154" i="16"/>
  <c r="AW174" i="16"/>
  <c r="AW177" i="16"/>
  <c r="AY177" i="16" s="1"/>
  <c r="AW179" i="16"/>
  <c r="AW199" i="16"/>
  <c r="AY199" i="16" s="1"/>
  <c r="AW221" i="16"/>
  <c r="AY221" i="16" s="1"/>
  <c r="AW218" i="16"/>
  <c r="AY218" i="16" s="1"/>
  <c r="AW224" i="16"/>
  <c r="AW244" i="16"/>
  <c r="AW246" i="16"/>
  <c r="AY246" i="16" s="1"/>
  <c r="AW258" i="16"/>
  <c r="AW271" i="16"/>
  <c r="AW283" i="16"/>
  <c r="AY283" i="16" s="1"/>
  <c r="AW288" i="16"/>
  <c r="AY288" i="16" s="1"/>
  <c r="AW292" i="16"/>
  <c r="AY292" i="16" s="1"/>
  <c r="AW210" i="16"/>
  <c r="AW15" i="16"/>
  <c r="AW2" i="16"/>
  <c r="AY2" i="16" s="1"/>
  <c r="AW20" i="16"/>
  <c r="AW27" i="16"/>
  <c r="AY27" i="16" s="1"/>
  <c r="AW47" i="16"/>
  <c r="AY47" i="16" s="1"/>
  <c r="AW71" i="16"/>
  <c r="AY71" i="16" s="1"/>
  <c r="AW76" i="16"/>
  <c r="AY76" i="16" s="1"/>
  <c r="AW86" i="16"/>
  <c r="AW79" i="16"/>
  <c r="AW138" i="16"/>
  <c r="AY138" i="16" s="1"/>
  <c r="AW161" i="16"/>
  <c r="AY161" i="16" s="1"/>
  <c r="AW156" i="16"/>
  <c r="AW175" i="16"/>
  <c r="AY175" i="16" s="1"/>
  <c r="AW183" i="16"/>
  <c r="AY183" i="16" s="1"/>
  <c r="AW180" i="16"/>
  <c r="AY180" i="16" s="1"/>
  <c r="AW200" i="16"/>
  <c r="AW223" i="16"/>
  <c r="AW214" i="16"/>
  <c r="AW235" i="16"/>
  <c r="AY235" i="16" s="1"/>
  <c r="AW256" i="16"/>
  <c r="AW249" i="16"/>
  <c r="AY249" i="16" s="1"/>
  <c r="AW261" i="16"/>
  <c r="AY261" i="16" s="1"/>
  <c r="AW272" i="16"/>
  <c r="AY272" i="16" s="1"/>
  <c r="AW273" i="16"/>
  <c r="AY273" i="16" s="1"/>
  <c r="AW286" i="16"/>
  <c r="AW293" i="16"/>
  <c r="AW4" i="16"/>
  <c r="AY4" i="16" s="1"/>
  <c r="AW6" i="16"/>
  <c r="AY6" i="16" s="1"/>
  <c r="AW18" i="16"/>
  <c r="AY18" i="16" s="1"/>
  <c r="AW35" i="16"/>
  <c r="AY35" i="16" s="1"/>
  <c r="AW32" i="16"/>
  <c r="AY32" i="16" s="1"/>
  <c r="AW60" i="16"/>
  <c r="AY60" i="16" s="1"/>
  <c r="AW57" i="16"/>
  <c r="AW8" i="16"/>
  <c r="AW69" i="16"/>
  <c r="AY69" i="16" s="1"/>
  <c r="AW55" i="16"/>
  <c r="AY55" i="16" s="1"/>
  <c r="AW115" i="16"/>
  <c r="AY115" i="16" s="1"/>
  <c r="AW123" i="16"/>
  <c r="AY123" i="16" s="1"/>
  <c r="AW129" i="16"/>
  <c r="AY129" i="16" s="1"/>
  <c r="AW137" i="16"/>
  <c r="AY137" i="16" s="1"/>
  <c r="AW143" i="16"/>
  <c r="AY143" i="16" s="1"/>
  <c r="AW229" i="16"/>
  <c r="AY229" i="16" s="1"/>
  <c r="AW247" i="16"/>
  <c r="AY247" i="16" s="1"/>
  <c r="AW266" i="16"/>
  <c r="AY266" i="16" s="1"/>
  <c r="AW267" i="16"/>
  <c r="AY267" i="16" s="1"/>
  <c r="AW276" i="16"/>
  <c r="AY276" i="16" s="1"/>
  <c r="AW282" i="16"/>
  <c r="AY282" i="16" s="1"/>
  <c r="AW287" i="16"/>
  <c r="AY287" i="16" s="1"/>
  <c r="AW56" i="16"/>
  <c r="AW94" i="16"/>
  <c r="AY94" i="16" s="1"/>
  <c r="AW245" i="16"/>
  <c r="AW251" i="16"/>
  <c r="AW285" i="16"/>
  <c r="AY285" i="16" s="1"/>
  <c r="AW279" i="16"/>
  <c r="AY279" i="16" s="1"/>
  <c r="AW297" i="16"/>
  <c r="AW110" i="16"/>
  <c r="AW84" i="16"/>
  <c r="AW85" i="16"/>
  <c r="AY85" i="16" s="1"/>
  <c r="AW100" i="16"/>
  <c r="AW112" i="16"/>
  <c r="AW92" i="16"/>
  <c r="AY92" i="16" s="1"/>
  <c r="AW128" i="16"/>
  <c r="AY128" i="16" s="1"/>
  <c r="AW134" i="16"/>
  <c r="AY134" i="16" s="1"/>
  <c r="AW142" i="16"/>
  <c r="AY223" i="16"/>
  <c r="AY156" i="16"/>
  <c r="AY86" i="16"/>
  <c r="AY15" i="16"/>
  <c r="AW102" i="16"/>
  <c r="AY102" i="16" s="1"/>
  <c r="AW252" i="16"/>
  <c r="AY252" i="16" s="1"/>
  <c r="AW13" i="16"/>
  <c r="AY13" i="16" s="1"/>
  <c r="AW12" i="16"/>
  <c r="AY12" i="16" s="1"/>
  <c r="AW31" i="16"/>
  <c r="AW42" i="16"/>
  <c r="AY42" i="16" s="1"/>
  <c r="AW49" i="16"/>
  <c r="AY49" i="16" s="1"/>
  <c r="AW40" i="16"/>
  <c r="AY40" i="16" s="1"/>
  <c r="AW37" i="16"/>
  <c r="AY37" i="16" s="1"/>
  <c r="AW41" i="16"/>
  <c r="AY41" i="16" s="1"/>
  <c r="AW61" i="16"/>
  <c r="AW88" i="16"/>
  <c r="AY88" i="16" s="1"/>
  <c r="AW93" i="16"/>
  <c r="AY93" i="16" s="1"/>
  <c r="AW104" i="16"/>
  <c r="AY104" i="16" s="1"/>
  <c r="AW113" i="16"/>
  <c r="AY113" i="16" s="1"/>
  <c r="AW103" i="16"/>
  <c r="AY103" i="16" s="1"/>
  <c r="AW132" i="16"/>
  <c r="AY132" i="16" s="1"/>
  <c r="AW121" i="16"/>
  <c r="AY121" i="16" s="1"/>
  <c r="AW145" i="16"/>
  <c r="AY145" i="16" s="1"/>
  <c r="AY149" i="16"/>
  <c r="AW211" i="16"/>
  <c r="AY211" i="16" s="1"/>
  <c r="AW208" i="16"/>
  <c r="AY208" i="16" s="1"/>
  <c r="AW228" i="16"/>
  <c r="AY228" i="16" s="1"/>
  <c r="AW253" i="16"/>
  <c r="AY253" i="16" s="1"/>
  <c r="AW284" i="16"/>
  <c r="AY284" i="16" s="1"/>
  <c r="AW280" i="16"/>
  <c r="AY280" i="16" s="1"/>
  <c r="AW290" i="16"/>
  <c r="AY290" i="16" s="1"/>
  <c r="AW78" i="16"/>
  <c r="AY78" i="16" s="1"/>
  <c r="AY174" i="16"/>
  <c r="AW34" i="16"/>
  <c r="AY34" i="16" s="1"/>
  <c r="AW50" i="16"/>
  <c r="AY50" i="16" s="1"/>
  <c r="AW67" i="16"/>
  <c r="AY67" i="16" s="1"/>
  <c r="AW54" i="16"/>
  <c r="AY54" i="16" s="1"/>
  <c r="AW118" i="16"/>
  <c r="AW26" i="16"/>
  <c r="AY26" i="16" s="1"/>
  <c r="AW29" i="16"/>
  <c r="AY29" i="16" s="1"/>
  <c r="AW58" i="16"/>
  <c r="AY58" i="16" s="1"/>
  <c r="AW108" i="16"/>
  <c r="AY108" i="16" s="1"/>
  <c r="AW195" i="16"/>
  <c r="AY195" i="16" s="1"/>
  <c r="AW127" i="16"/>
  <c r="AY127" i="16" s="1"/>
  <c r="AW150" i="16"/>
  <c r="AY150" i="16" s="1"/>
  <c r="AW155" i="16"/>
  <c r="AY155" i="16" s="1"/>
  <c r="AW107" i="16"/>
  <c r="AY107" i="16" s="1"/>
  <c r="AW139" i="16"/>
  <c r="AY139" i="16" s="1"/>
  <c r="AW225" i="16"/>
  <c r="AY225" i="16" s="1"/>
  <c r="AW234" i="16"/>
  <c r="AY234" i="16" s="1"/>
  <c r="AW241" i="16"/>
  <c r="AY241" i="16" s="1"/>
  <c r="AW254" i="16"/>
  <c r="AY254" i="16" s="1"/>
  <c r="AW257" i="16"/>
  <c r="AY257" i="16" s="1"/>
  <c r="AW269" i="16"/>
  <c r="AY269" i="16" s="1"/>
  <c r="AW278" i="16"/>
  <c r="AY278" i="16" s="1"/>
  <c r="AW277" i="16"/>
  <c r="AY277" i="16" s="1"/>
  <c r="AW296" i="16"/>
  <c r="AY296" i="16" s="1"/>
  <c r="AW212" i="16"/>
  <c r="AY212" i="16" s="1"/>
  <c r="AY142" i="16"/>
  <c r="AY158" i="16"/>
  <c r="AW106" i="16"/>
  <c r="AY106" i="16" s="1"/>
  <c r="AW72" i="16"/>
  <c r="AY72" i="16" s="1"/>
  <c r="AW81" i="16"/>
  <c r="AY81" i="16" s="1"/>
  <c r="AW109" i="16"/>
  <c r="AY109" i="16" s="1"/>
  <c r="AW136" i="16"/>
  <c r="AY136" i="16" s="1"/>
  <c r="AW173" i="16"/>
  <c r="AY173" i="16" s="1"/>
  <c r="AW222" i="16"/>
  <c r="AY222" i="16" s="1"/>
  <c r="AW243" i="16"/>
  <c r="AY243" i="16" s="1"/>
  <c r="AW265" i="16"/>
  <c r="AY265" i="16" s="1"/>
  <c r="AW19" i="16"/>
  <c r="AY19" i="16" s="1"/>
  <c r="AW62" i="16"/>
  <c r="AY62" i="16" s="1"/>
  <c r="AW70" i="16"/>
  <c r="AY70" i="16" s="1"/>
  <c r="AW144" i="16"/>
  <c r="AY144" i="16" s="1"/>
  <c r="AW205" i="16"/>
  <c r="AY205" i="16" s="1"/>
  <c r="AW230" i="16"/>
  <c r="AY230" i="16" s="1"/>
  <c r="AW263" i="16"/>
  <c r="AY263" i="16" s="1"/>
  <c r="AW38" i="16"/>
  <c r="AY38" i="16" s="1"/>
  <c r="AW65" i="16"/>
  <c r="AY65" i="16" s="1"/>
  <c r="AW120" i="16"/>
  <c r="AY120" i="16" s="1"/>
  <c r="AW182" i="16"/>
  <c r="AY182" i="16" s="1"/>
  <c r="AW215" i="16"/>
  <c r="AY215" i="16" s="1"/>
  <c r="AY3" i="16"/>
  <c r="AY194" i="16"/>
  <c r="AY160" i="16"/>
  <c r="AY125" i="16"/>
  <c r="AY101" i="16"/>
  <c r="AY57" i="16"/>
  <c r="AY8" i="16"/>
  <c r="AY16" i="16"/>
  <c r="AY28" i="16"/>
  <c r="AY22" i="16"/>
  <c r="AY43" i="16"/>
  <c r="AY53" i="16"/>
  <c r="AY66" i="16"/>
  <c r="AY73" i="16"/>
  <c r="AY56" i="16"/>
  <c r="AY64" i="16"/>
  <c r="AY77" i="16"/>
  <c r="AY116" i="16"/>
  <c r="AY124" i="16"/>
  <c r="AY130" i="16"/>
  <c r="AY141" i="16"/>
  <c r="AY163" i="16"/>
  <c r="AY164" i="16"/>
  <c r="AY176" i="16"/>
  <c r="AY190" i="16"/>
  <c r="AY197" i="16"/>
  <c r="AY204" i="16"/>
  <c r="AY207" i="16"/>
  <c r="AY226" i="16"/>
  <c r="AY239" i="16"/>
  <c r="AY245" i="16"/>
  <c r="AY251" i="16"/>
  <c r="AY270" i="16"/>
  <c r="AY268" i="16"/>
  <c r="AY275" i="16"/>
  <c r="AY295" i="16"/>
  <c r="AY186" i="16"/>
  <c r="AY61" i="16"/>
  <c r="AY31" i="16"/>
  <c r="H10" i="15"/>
  <c r="H5" i="15" s="1"/>
  <c r="AY185" i="16"/>
  <c r="AY14" i="16"/>
  <c r="AY90" i="16"/>
  <c r="AY95" i="16"/>
  <c r="AY83" i="16"/>
  <c r="AY111" i="16"/>
  <c r="AY154" i="16"/>
  <c r="AY224" i="16"/>
  <c r="AY244" i="16"/>
  <c r="AY258" i="16"/>
  <c r="AY271" i="16"/>
  <c r="AY238" i="16"/>
  <c r="AY203" i="16"/>
  <c r="AY196" i="16"/>
  <c r="AY189" i="16"/>
  <c r="AY166" i="16"/>
  <c r="AY169" i="16"/>
  <c r="AY153" i="16"/>
  <c r="AY236" i="16"/>
  <c r="AY11" i="16"/>
  <c r="AY24" i="16"/>
  <c r="AY33" i="16"/>
  <c r="AY44" i="16"/>
  <c r="AY48" i="16"/>
  <c r="AY39" i="16"/>
  <c r="AY68" i="16"/>
  <c r="AY74" i="16"/>
  <c r="AY84" i="16"/>
  <c r="AY100" i="16"/>
  <c r="AY112" i="16"/>
  <c r="AY148" i="16"/>
  <c r="AY168" i="16"/>
  <c r="AY184" i="16"/>
  <c r="AY201" i="16"/>
  <c r="AY216" i="16"/>
  <c r="AY220" i="16"/>
  <c r="AY213" i="16"/>
  <c r="AY231" i="16"/>
  <c r="AY237" i="16"/>
  <c r="AY250" i="16"/>
  <c r="AY255" i="16"/>
  <c r="AY262" i="16"/>
  <c r="AY259" i="16"/>
  <c r="AY281" i="16"/>
  <c r="AY289" i="16"/>
  <c r="AY286" i="16"/>
  <c r="AY256" i="16"/>
  <c r="AY214" i="16"/>
  <c r="AY200" i="16"/>
  <c r="AY118" i="16"/>
  <c r="AY110" i="16"/>
  <c r="AY79" i="16"/>
  <c r="AY20" i="16"/>
  <c r="AY210" i="16"/>
  <c r="AY191" i="16"/>
  <c r="AY165" i="16"/>
  <c r="AY179" i="16"/>
  <c r="AY162" i="16"/>
  <c r="AY293" i="16"/>
  <c r="AY294" i="16"/>
  <c r="G5" i="15"/>
  <c r="AW295" i="12"/>
  <c r="AU295" i="12"/>
  <c r="AP295" i="12"/>
  <c r="AI295" i="12"/>
  <c r="AC295" i="12"/>
  <c r="U295" i="12"/>
  <c r="R295" i="12"/>
  <c r="N295" i="12"/>
  <c r="AW296" i="12"/>
  <c r="AU296" i="12"/>
  <c r="AP296" i="12"/>
  <c r="AI296" i="12"/>
  <c r="AC296" i="12"/>
  <c r="U296" i="12"/>
  <c r="R296" i="12"/>
  <c r="N296" i="12"/>
  <c r="AW294" i="12"/>
  <c r="AU294" i="12"/>
  <c r="AP294" i="12"/>
  <c r="AI294" i="12"/>
  <c r="AC294" i="12"/>
  <c r="U294" i="12"/>
  <c r="R294" i="12"/>
  <c r="N294" i="12"/>
  <c r="AW290" i="12"/>
  <c r="AU290" i="12"/>
  <c r="AP290" i="12"/>
  <c r="AI290" i="12"/>
  <c r="AC290" i="12"/>
  <c r="U290" i="12"/>
  <c r="R290" i="12"/>
  <c r="N290" i="12"/>
  <c r="AW289" i="12"/>
  <c r="AU289" i="12"/>
  <c r="AP289" i="12"/>
  <c r="AI289" i="12"/>
  <c r="AC289" i="12"/>
  <c r="U289" i="12"/>
  <c r="R289" i="12"/>
  <c r="N289" i="12"/>
  <c r="AW288" i="12"/>
  <c r="AU288" i="12"/>
  <c r="AP288" i="12"/>
  <c r="AI288" i="12"/>
  <c r="AC288" i="12"/>
  <c r="U288" i="12"/>
  <c r="R288" i="12"/>
  <c r="N288" i="12"/>
  <c r="AW287" i="12"/>
  <c r="AU287" i="12"/>
  <c r="AP287" i="12"/>
  <c r="AI287" i="12"/>
  <c r="AC287" i="12"/>
  <c r="U287" i="12"/>
  <c r="R287" i="12"/>
  <c r="N287" i="12"/>
  <c r="AW293" i="12"/>
  <c r="AU293" i="12"/>
  <c r="AP293" i="12"/>
  <c r="AV293" i="12" s="1"/>
  <c r="AI293" i="12"/>
  <c r="AC293" i="12"/>
  <c r="U293" i="12"/>
  <c r="R293" i="12"/>
  <c r="N293" i="12"/>
  <c r="AW292" i="12"/>
  <c r="AU292" i="12"/>
  <c r="AP292" i="12"/>
  <c r="AI292" i="12"/>
  <c r="AC292" i="12"/>
  <c r="U292" i="12"/>
  <c r="R292" i="12"/>
  <c r="N292" i="12"/>
  <c r="AW291" i="12"/>
  <c r="AU291" i="12"/>
  <c r="AP291" i="12"/>
  <c r="AI291" i="12"/>
  <c r="AC291" i="12"/>
  <c r="U291" i="12"/>
  <c r="R291" i="12"/>
  <c r="N291" i="12"/>
  <c r="AW282" i="12"/>
  <c r="AU282" i="12"/>
  <c r="AP282" i="12"/>
  <c r="AV282" i="12" s="1"/>
  <c r="AI282" i="12"/>
  <c r="AC282" i="12"/>
  <c r="U282" i="12"/>
  <c r="R282" i="12"/>
  <c r="N282" i="12"/>
  <c r="AW286" i="12"/>
  <c r="AU286" i="12"/>
  <c r="AP286" i="12"/>
  <c r="AI286" i="12"/>
  <c r="AC286" i="12"/>
  <c r="U286" i="12"/>
  <c r="R286" i="12"/>
  <c r="N286" i="12"/>
  <c r="AW285" i="12"/>
  <c r="AU285" i="12"/>
  <c r="AP285" i="12"/>
  <c r="AI285" i="12"/>
  <c r="AC285" i="12"/>
  <c r="U285" i="12"/>
  <c r="R285" i="12"/>
  <c r="N285" i="12"/>
  <c r="AW284" i="12"/>
  <c r="AU284" i="12"/>
  <c r="AP284" i="12"/>
  <c r="AI284" i="12"/>
  <c r="AC284" i="12"/>
  <c r="U284" i="12"/>
  <c r="R284" i="12"/>
  <c r="N284" i="12"/>
  <c r="AW281" i="12"/>
  <c r="AU281" i="12"/>
  <c r="AP281" i="12"/>
  <c r="AI281" i="12"/>
  <c r="AC281" i="12"/>
  <c r="U281" i="12"/>
  <c r="R281" i="12"/>
  <c r="N281" i="12"/>
  <c r="AW283" i="12"/>
  <c r="AU283" i="12"/>
  <c r="AP283" i="12"/>
  <c r="AI283" i="12"/>
  <c r="AC283" i="12"/>
  <c r="U283" i="12"/>
  <c r="R283" i="12"/>
  <c r="N283" i="12"/>
  <c r="AW272" i="12"/>
  <c r="AU272" i="12"/>
  <c r="AP272" i="12"/>
  <c r="AI272" i="12"/>
  <c r="AC272" i="12"/>
  <c r="U272" i="12"/>
  <c r="R272" i="12"/>
  <c r="N272" i="12"/>
  <c r="AW280" i="12"/>
  <c r="AU280" i="12"/>
  <c r="AP280" i="12"/>
  <c r="AI280" i="12"/>
  <c r="AC280" i="12"/>
  <c r="U280" i="12"/>
  <c r="R280" i="12"/>
  <c r="N280" i="12"/>
  <c r="AW277" i="12"/>
  <c r="AU277" i="12"/>
  <c r="AP277" i="12"/>
  <c r="AI277" i="12"/>
  <c r="AC277" i="12"/>
  <c r="U277" i="12"/>
  <c r="R277" i="12"/>
  <c r="N277" i="12"/>
  <c r="AW274" i="12"/>
  <c r="AU274" i="12"/>
  <c r="AP274" i="12"/>
  <c r="AI274" i="12"/>
  <c r="AC274" i="12"/>
  <c r="U274" i="12"/>
  <c r="R274" i="12"/>
  <c r="N274" i="12"/>
  <c r="AW275" i="12"/>
  <c r="AU275" i="12"/>
  <c r="AP275" i="12"/>
  <c r="AI275" i="12"/>
  <c r="AC275" i="12"/>
  <c r="U275" i="12"/>
  <c r="R275" i="12"/>
  <c r="N275" i="12"/>
  <c r="AW276" i="12"/>
  <c r="AU276" i="12"/>
  <c r="AP276" i="12"/>
  <c r="AI276" i="12"/>
  <c r="AC276" i="12"/>
  <c r="U276" i="12"/>
  <c r="R276" i="12"/>
  <c r="N276" i="12"/>
  <c r="AW268" i="12"/>
  <c r="AU268" i="12"/>
  <c r="AP268" i="12"/>
  <c r="AI268" i="12"/>
  <c r="AC268" i="12"/>
  <c r="U268" i="12"/>
  <c r="R268" i="12"/>
  <c r="N268" i="12"/>
  <c r="AW278" i="12"/>
  <c r="AU278" i="12"/>
  <c r="AP278" i="12"/>
  <c r="AI278" i="12"/>
  <c r="AC278" i="12"/>
  <c r="U278" i="12"/>
  <c r="R278" i="12"/>
  <c r="N278" i="12"/>
  <c r="AW273" i="12"/>
  <c r="AU273" i="12"/>
  <c r="AP273" i="12"/>
  <c r="AI273" i="12"/>
  <c r="AC273" i="12"/>
  <c r="U273" i="12"/>
  <c r="R273" i="12"/>
  <c r="N273" i="12"/>
  <c r="AW270" i="12"/>
  <c r="AU270" i="12"/>
  <c r="AP270" i="12"/>
  <c r="AI270" i="12"/>
  <c r="AC270" i="12"/>
  <c r="U270" i="12"/>
  <c r="R270" i="12"/>
  <c r="N270" i="12"/>
  <c r="AW271" i="12"/>
  <c r="AU271" i="12"/>
  <c r="AP271" i="12"/>
  <c r="AI271" i="12"/>
  <c r="AC271" i="12"/>
  <c r="U271" i="12"/>
  <c r="R271" i="12"/>
  <c r="N271" i="12"/>
  <c r="AW269" i="12"/>
  <c r="AU269" i="12"/>
  <c r="AP269" i="12"/>
  <c r="AI269" i="12"/>
  <c r="AC269" i="12"/>
  <c r="U269" i="12"/>
  <c r="R269" i="12"/>
  <c r="N269" i="12"/>
  <c r="AW279" i="12"/>
  <c r="AU279" i="12"/>
  <c r="AP279" i="12"/>
  <c r="AI279" i="12"/>
  <c r="AC279" i="12"/>
  <c r="U279" i="12"/>
  <c r="R279" i="12"/>
  <c r="N279" i="12"/>
  <c r="AW254" i="12"/>
  <c r="AU254" i="12"/>
  <c r="AP254" i="12"/>
  <c r="AI254" i="12"/>
  <c r="AC254" i="12"/>
  <c r="U254" i="12"/>
  <c r="R254" i="12"/>
  <c r="N254" i="12"/>
  <c r="AW267" i="12"/>
  <c r="AU267" i="12"/>
  <c r="AP267" i="12"/>
  <c r="AI267" i="12"/>
  <c r="AC267" i="12"/>
  <c r="U267" i="12"/>
  <c r="R267" i="12"/>
  <c r="N267" i="12"/>
  <c r="AW266" i="12"/>
  <c r="AU266" i="12"/>
  <c r="AP266" i="12"/>
  <c r="AI266" i="12"/>
  <c r="AC266" i="12"/>
  <c r="U266" i="12"/>
  <c r="R266" i="12"/>
  <c r="N266" i="12"/>
  <c r="AW264" i="12"/>
  <c r="AU264" i="12"/>
  <c r="AP264" i="12"/>
  <c r="AI264" i="12"/>
  <c r="AC264" i="12"/>
  <c r="U264" i="12"/>
  <c r="R264" i="12"/>
  <c r="N264" i="12"/>
  <c r="AW263" i="12"/>
  <c r="AU263" i="12"/>
  <c r="AP263" i="12"/>
  <c r="AI263" i="12"/>
  <c r="AC263" i="12"/>
  <c r="U263" i="12"/>
  <c r="R263" i="12"/>
  <c r="N263" i="12"/>
  <c r="AW262" i="12"/>
  <c r="AU262" i="12"/>
  <c r="AP262" i="12"/>
  <c r="AI262" i="12"/>
  <c r="AC262" i="12"/>
  <c r="U262" i="12"/>
  <c r="R262" i="12"/>
  <c r="N262" i="12"/>
  <c r="AW255" i="12"/>
  <c r="AU255" i="12"/>
  <c r="AP255" i="12"/>
  <c r="AI255" i="12"/>
  <c r="AC255" i="12"/>
  <c r="U255" i="12"/>
  <c r="R255" i="12"/>
  <c r="N255" i="12"/>
  <c r="AW258" i="12"/>
  <c r="AU258" i="12"/>
  <c r="AP258" i="12"/>
  <c r="AI258" i="12"/>
  <c r="AC258" i="12"/>
  <c r="U258" i="12"/>
  <c r="R258" i="12"/>
  <c r="N258" i="12"/>
  <c r="AW257" i="12"/>
  <c r="AU257" i="12"/>
  <c r="AP257" i="12"/>
  <c r="AI257" i="12"/>
  <c r="AC257" i="12"/>
  <c r="U257" i="12"/>
  <c r="R257" i="12"/>
  <c r="N257" i="12"/>
  <c r="AW256" i="12"/>
  <c r="AU256" i="12"/>
  <c r="AP256" i="12"/>
  <c r="AI256" i="12"/>
  <c r="AC256" i="12"/>
  <c r="U256" i="12"/>
  <c r="R256" i="12"/>
  <c r="N256" i="12"/>
  <c r="AW253" i="12"/>
  <c r="AU253" i="12"/>
  <c r="AP253" i="12"/>
  <c r="AI253" i="12"/>
  <c r="AC253" i="12"/>
  <c r="U253" i="12"/>
  <c r="R253" i="12"/>
  <c r="N253" i="12"/>
  <c r="AW252" i="12"/>
  <c r="AU252" i="12"/>
  <c r="AP252" i="12"/>
  <c r="AI252" i="12"/>
  <c r="AC252" i="12"/>
  <c r="U252" i="12"/>
  <c r="R252" i="12"/>
  <c r="N252" i="12"/>
  <c r="AW265" i="12"/>
  <c r="AU265" i="12"/>
  <c r="AP265" i="12"/>
  <c r="AI265" i="12"/>
  <c r="AC265" i="12"/>
  <c r="U265" i="12"/>
  <c r="R265" i="12"/>
  <c r="N265" i="12"/>
  <c r="AW261" i="12"/>
  <c r="AU261" i="12"/>
  <c r="AP261" i="12"/>
  <c r="AI261" i="12"/>
  <c r="AC261" i="12"/>
  <c r="U261" i="12"/>
  <c r="R261" i="12"/>
  <c r="N261" i="12"/>
  <c r="AW259" i="12"/>
  <c r="AU259" i="12"/>
  <c r="AP259" i="12"/>
  <c r="AI259" i="12"/>
  <c r="AC259" i="12"/>
  <c r="U259" i="12"/>
  <c r="R259" i="12"/>
  <c r="N259" i="12"/>
  <c r="AW260" i="12"/>
  <c r="AU260" i="12"/>
  <c r="AP260" i="12"/>
  <c r="AI260" i="12"/>
  <c r="AC260" i="12"/>
  <c r="U260" i="12"/>
  <c r="R260" i="12"/>
  <c r="N260" i="12"/>
  <c r="AW241" i="12"/>
  <c r="AU241" i="12"/>
  <c r="AP241" i="12"/>
  <c r="AI241" i="12"/>
  <c r="AC241" i="12"/>
  <c r="U241" i="12"/>
  <c r="R241" i="12"/>
  <c r="N241" i="12"/>
  <c r="AW239" i="12"/>
  <c r="AU239" i="12"/>
  <c r="AP239" i="12"/>
  <c r="AI239" i="12"/>
  <c r="AC239" i="12"/>
  <c r="U239" i="12"/>
  <c r="R239" i="12"/>
  <c r="N239" i="12"/>
  <c r="AW238" i="12"/>
  <c r="AU238" i="12"/>
  <c r="AP238" i="12"/>
  <c r="AI238" i="12"/>
  <c r="AC238" i="12"/>
  <c r="U238" i="12"/>
  <c r="R238" i="12"/>
  <c r="N238" i="12"/>
  <c r="AW237" i="12"/>
  <c r="AU237" i="12"/>
  <c r="AP237" i="12"/>
  <c r="AI237" i="12"/>
  <c r="AC237" i="12"/>
  <c r="U237" i="12"/>
  <c r="R237" i="12"/>
  <c r="N237" i="12"/>
  <c r="AW240" i="12"/>
  <c r="AU240" i="12"/>
  <c r="AP240" i="12"/>
  <c r="AI240" i="12"/>
  <c r="AC240" i="12"/>
  <c r="U240" i="12"/>
  <c r="R240" i="12"/>
  <c r="N240" i="12"/>
  <c r="AW231" i="12"/>
  <c r="AU231" i="12"/>
  <c r="AP231" i="12"/>
  <c r="AI231" i="12"/>
  <c r="AC231" i="12"/>
  <c r="U231" i="12"/>
  <c r="R231" i="12"/>
  <c r="N231" i="12"/>
  <c r="AW235" i="12"/>
  <c r="AU235" i="12"/>
  <c r="AP235" i="12"/>
  <c r="AI235" i="12"/>
  <c r="AC235" i="12"/>
  <c r="U235" i="12"/>
  <c r="R235" i="12"/>
  <c r="N235" i="12"/>
  <c r="AW236" i="12"/>
  <c r="AU236" i="12"/>
  <c r="AP236" i="12"/>
  <c r="AI236" i="12"/>
  <c r="AC236" i="12"/>
  <c r="U236" i="12"/>
  <c r="R236" i="12"/>
  <c r="N236" i="12"/>
  <c r="AW234" i="12"/>
  <c r="AU234" i="12"/>
  <c r="AP234" i="12"/>
  <c r="AI234" i="12"/>
  <c r="AC234" i="12"/>
  <c r="U234" i="12"/>
  <c r="R234" i="12"/>
  <c r="N234" i="12"/>
  <c r="AW233" i="12"/>
  <c r="AU233" i="12"/>
  <c r="AP233" i="12"/>
  <c r="AI233" i="12"/>
  <c r="AC233" i="12"/>
  <c r="U233" i="12"/>
  <c r="R233" i="12"/>
  <c r="N233" i="12"/>
  <c r="AW232" i="12"/>
  <c r="AU232" i="12"/>
  <c r="AP232" i="12"/>
  <c r="AI232" i="12"/>
  <c r="AC232" i="12"/>
  <c r="U232" i="12"/>
  <c r="R232" i="12"/>
  <c r="N232" i="12"/>
  <c r="AW230" i="12"/>
  <c r="AU230" i="12"/>
  <c r="AP230" i="12"/>
  <c r="AI230" i="12"/>
  <c r="AC230" i="12"/>
  <c r="U230" i="12"/>
  <c r="R230" i="12"/>
  <c r="N230" i="12"/>
  <c r="AW203" i="12"/>
  <c r="AU203" i="12"/>
  <c r="AP203" i="12"/>
  <c r="AI203" i="12"/>
  <c r="AC203" i="12"/>
  <c r="U203" i="12"/>
  <c r="R203" i="12"/>
  <c r="N203" i="12"/>
  <c r="AW208" i="12"/>
  <c r="AU208" i="12"/>
  <c r="AP208" i="12"/>
  <c r="AI208" i="12"/>
  <c r="AC208" i="12"/>
  <c r="U208" i="12"/>
  <c r="R208" i="12"/>
  <c r="N208" i="12"/>
  <c r="AW210" i="12"/>
  <c r="AU210" i="12"/>
  <c r="AP210" i="12"/>
  <c r="AI210" i="12"/>
  <c r="AC210" i="12"/>
  <c r="U210" i="12"/>
  <c r="R210" i="12"/>
  <c r="N210" i="12"/>
  <c r="AW213" i="12"/>
  <c r="AU213" i="12"/>
  <c r="AP213" i="12"/>
  <c r="AI213" i="12"/>
  <c r="AC213" i="12"/>
  <c r="U213" i="12"/>
  <c r="R213" i="12"/>
  <c r="N213" i="12"/>
  <c r="AW220" i="12"/>
  <c r="AU220" i="12"/>
  <c r="AP220" i="12"/>
  <c r="AI220" i="12"/>
  <c r="AC220" i="12"/>
  <c r="U220" i="12"/>
  <c r="R220" i="12"/>
  <c r="N220" i="12"/>
  <c r="AW219" i="12"/>
  <c r="AU219" i="12"/>
  <c r="AP219" i="12"/>
  <c r="AI219" i="12"/>
  <c r="AC219" i="12"/>
  <c r="U219" i="12"/>
  <c r="R219" i="12"/>
  <c r="N219" i="12"/>
  <c r="AW209" i="12"/>
  <c r="AU209" i="12"/>
  <c r="AP209" i="12"/>
  <c r="AI209" i="12"/>
  <c r="AC209" i="12"/>
  <c r="U209" i="12"/>
  <c r="R209" i="12"/>
  <c r="N209" i="12"/>
  <c r="AW202" i="12"/>
  <c r="AU202" i="12"/>
  <c r="AP202" i="12"/>
  <c r="AI202" i="12"/>
  <c r="AC202" i="12"/>
  <c r="U202" i="12"/>
  <c r="R202" i="12"/>
  <c r="N202" i="12"/>
  <c r="AW201" i="12"/>
  <c r="AU201" i="12"/>
  <c r="AP201" i="12"/>
  <c r="AI201" i="12"/>
  <c r="AC201" i="12"/>
  <c r="U201" i="12"/>
  <c r="R201" i="12"/>
  <c r="N201" i="12"/>
  <c r="AW215" i="12"/>
  <c r="AU215" i="12"/>
  <c r="AP215" i="12"/>
  <c r="AI215" i="12"/>
  <c r="AC215" i="12"/>
  <c r="U215" i="12"/>
  <c r="R215" i="12"/>
  <c r="N215" i="12"/>
  <c r="AW204" i="12"/>
  <c r="AU204" i="12"/>
  <c r="AP204" i="12"/>
  <c r="AI204" i="12"/>
  <c r="AC204" i="12"/>
  <c r="U204" i="12"/>
  <c r="R204" i="12"/>
  <c r="N204" i="12"/>
  <c r="AW206" i="12"/>
  <c r="AU206" i="12"/>
  <c r="AP206" i="12"/>
  <c r="AI206" i="12"/>
  <c r="AC206" i="12"/>
  <c r="U206" i="12"/>
  <c r="R206" i="12"/>
  <c r="N206" i="12"/>
  <c r="AW218" i="12"/>
  <c r="AU218" i="12"/>
  <c r="AP218" i="12"/>
  <c r="AI218" i="12"/>
  <c r="AC218" i="12"/>
  <c r="U218" i="12"/>
  <c r="R218" i="12"/>
  <c r="N218" i="12"/>
  <c r="AW207" i="12"/>
  <c r="AU207" i="12"/>
  <c r="AP207" i="12"/>
  <c r="AI207" i="12"/>
  <c r="AC207" i="12"/>
  <c r="U207" i="12"/>
  <c r="R207" i="12"/>
  <c r="N207" i="12"/>
  <c r="AW216" i="12"/>
  <c r="AU216" i="12"/>
  <c r="AP216" i="12"/>
  <c r="AI216" i="12"/>
  <c r="AC216" i="12"/>
  <c r="U216" i="12"/>
  <c r="R216" i="12"/>
  <c r="N216" i="12"/>
  <c r="AW217" i="12"/>
  <c r="AU217" i="12"/>
  <c r="AP217" i="12"/>
  <c r="AI217" i="12"/>
  <c r="AC217" i="12"/>
  <c r="U217" i="12"/>
  <c r="R217" i="12"/>
  <c r="N217" i="12"/>
  <c r="AW214" i="12"/>
  <c r="AU214" i="12"/>
  <c r="AP214" i="12"/>
  <c r="AI214" i="12"/>
  <c r="AC214" i="12"/>
  <c r="U214" i="12"/>
  <c r="R214" i="12"/>
  <c r="N214" i="12"/>
  <c r="AW211" i="12"/>
  <c r="AU211" i="12"/>
  <c r="AP211" i="12"/>
  <c r="AI211" i="12"/>
  <c r="AC211" i="12"/>
  <c r="U211" i="12"/>
  <c r="R211" i="12"/>
  <c r="N211" i="12"/>
  <c r="AW205" i="12"/>
  <c r="AU205" i="12"/>
  <c r="AP205" i="12"/>
  <c r="AI205" i="12"/>
  <c r="AC205" i="12"/>
  <c r="U205" i="12"/>
  <c r="R205" i="12"/>
  <c r="N205" i="12"/>
  <c r="AW200" i="12"/>
  <c r="AU200" i="12"/>
  <c r="AP200" i="12"/>
  <c r="AI200" i="12"/>
  <c r="AC200" i="12"/>
  <c r="U200" i="12"/>
  <c r="R200" i="12"/>
  <c r="N200" i="12"/>
  <c r="AW212" i="12"/>
  <c r="AU212" i="12"/>
  <c r="AP212" i="12"/>
  <c r="AI212" i="12"/>
  <c r="AC212" i="12"/>
  <c r="U212" i="12"/>
  <c r="R212" i="12"/>
  <c r="N212" i="12"/>
  <c r="AW199" i="12"/>
  <c r="AU199" i="12"/>
  <c r="AP199" i="12"/>
  <c r="AI199" i="12"/>
  <c r="AC199" i="12"/>
  <c r="U199" i="12"/>
  <c r="R199" i="12"/>
  <c r="N199" i="12"/>
  <c r="AW250" i="12"/>
  <c r="AU250" i="12"/>
  <c r="AP250" i="12"/>
  <c r="AI250" i="12"/>
  <c r="AC250" i="12"/>
  <c r="U250" i="12"/>
  <c r="R250" i="12"/>
  <c r="N250" i="12"/>
  <c r="AW244" i="12"/>
  <c r="AU244" i="12"/>
  <c r="AP244" i="12"/>
  <c r="AI244" i="12"/>
  <c r="AC244" i="12"/>
  <c r="U244" i="12"/>
  <c r="R244" i="12"/>
  <c r="N244" i="12"/>
  <c r="AW247" i="12"/>
  <c r="AU247" i="12"/>
  <c r="AP247" i="12"/>
  <c r="AI247" i="12"/>
  <c r="AC247" i="12"/>
  <c r="U247" i="12"/>
  <c r="R247" i="12"/>
  <c r="N247" i="12"/>
  <c r="AW249" i="12"/>
  <c r="AU249" i="12"/>
  <c r="AP249" i="12"/>
  <c r="AI249" i="12"/>
  <c r="AC249" i="12"/>
  <c r="U249" i="12"/>
  <c r="R249" i="12"/>
  <c r="N249" i="12"/>
  <c r="AW246" i="12"/>
  <c r="AU246" i="12"/>
  <c r="AP246" i="12"/>
  <c r="AI246" i="12"/>
  <c r="AC246" i="12"/>
  <c r="U246" i="12"/>
  <c r="R246" i="12"/>
  <c r="N246" i="12"/>
  <c r="AW242" i="12"/>
  <c r="AU242" i="12"/>
  <c r="AP242" i="12"/>
  <c r="AI242" i="12"/>
  <c r="AC242" i="12"/>
  <c r="U242" i="12"/>
  <c r="R242" i="12"/>
  <c r="N242" i="12"/>
  <c r="AW243" i="12"/>
  <c r="AU243" i="12"/>
  <c r="AP243" i="12"/>
  <c r="AI243" i="12"/>
  <c r="AC243" i="12"/>
  <c r="U243" i="12"/>
  <c r="R243" i="12"/>
  <c r="N243" i="12"/>
  <c r="AW248" i="12"/>
  <c r="AU248" i="12"/>
  <c r="AP248" i="12"/>
  <c r="AI248" i="12"/>
  <c r="AC248" i="12"/>
  <c r="U248" i="12"/>
  <c r="R248" i="12"/>
  <c r="N248" i="12"/>
  <c r="AW245" i="12"/>
  <c r="AU245" i="12"/>
  <c r="AP245" i="12"/>
  <c r="AI245" i="12"/>
  <c r="AC245" i="12"/>
  <c r="U245" i="12"/>
  <c r="R245" i="12"/>
  <c r="N245" i="12"/>
  <c r="AW251" i="12"/>
  <c r="AU251" i="12"/>
  <c r="AP251" i="12"/>
  <c r="AI251" i="12"/>
  <c r="AC251" i="12"/>
  <c r="U251" i="12"/>
  <c r="R251" i="12"/>
  <c r="N251" i="12"/>
  <c r="AW228" i="12"/>
  <c r="AU228" i="12"/>
  <c r="AP228" i="12"/>
  <c r="AI228" i="12"/>
  <c r="AC228" i="12"/>
  <c r="U228" i="12"/>
  <c r="R228" i="12"/>
  <c r="N228" i="12"/>
  <c r="AW225" i="12"/>
  <c r="AU225" i="12"/>
  <c r="AP225" i="12"/>
  <c r="AI225" i="12"/>
  <c r="AC225" i="12"/>
  <c r="U225" i="12"/>
  <c r="R225" i="12"/>
  <c r="N225" i="12"/>
  <c r="AW226" i="12"/>
  <c r="AU226" i="12"/>
  <c r="AP226" i="12"/>
  <c r="AI226" i="12"/>
  <c r="AC226" i="12"/>
  <c r="U226" i="12"/>
  <c r="R226" i="12"/>
  <c r="N226" i="12"/>
  <c r="AW227" i="12"/>
  <c r="AU227" i="12"/>
  <c r="AP227" i="12"/>
  <c r="AI227" i="12"/>
  <c r="AC227" i="12"/>
  <c r="U227" i="12"/>
  <c r="R227" i="12"/>
  <c r="N227" i="12"/>
  <c r="AW223" i="12"/>
  <c r="AU223" i="12"/>
  <c r="AP223" i="12"/>
  <c r="AI223" i="12"/>
  <c r="AC223" i="12"/>
  <c r="U223" i="12"/>
  <c r="R223" i="12"/>
  <c r="N223" i="12"/>
  <c r="AW229" i="12"/>
  <c r="AU229" i="12"/>
  <c r="AP229" i="12"/>
  <c r="AI229" i="12"/>
  <c r="AC229" i="12"/>
  <c r="U229" i="12"/>
  <c r="R229" i="12"/>
  <c r="N229" i="12"/>
  <c r="AW221" i="12"/>
  <c r="AU221" i="12"/>
  <c r="AP221" i="12"/>
  <c r="AI221" i="12"/>
  <c r="AC221" i="12"/>
  <c r="U221" i="12"/>
  <c r="R221" i="12"/>
  <c r="N221" i="12"/>
  <c r="AW224" i="12"/>
  <c r="AU224" i="12"/>
  <c r="AP224" i="12"/>
  <c r="AI224" i="12"/>
  <c r="AC224" i="12"/>
  <c r="U224" i="12"/>
  <c r="R224" i="12"/>
  <c r="N224" i="12"/>
  <c r="AW222" i="12"/>
  <c r="AU222" i="12"/>
  <c r="AP222" i="12"/>
  <c r="AI222" i="12"/>
  <c r="AC222" i="12"/>
  <c r="U222" i="12"/>
  <c r="R222" i="12"/>
  <c r="N222" i="12"/>
  <c r="AW186" i="12"/>
  <c r="AU186" i="12"/>
  <c r="AP186" i="12"/>
  <c r="AI186" i="12"/>
  <c r="AC186" i="12"/>
  <c r="U186" i="12"/>
  <c r="R186" i="12"/>
  <c r="N186" i="12"/>
  <c r="AW188" i="12"/>
  <c r="AU188" i="12"/>
  <c r="AP188" i="12"/>
  <c r="AI188" i="12"/>
  <c r="AC188" i="12"/>
  <c r="U188" i="12"/>
  <c r="R188" i="12"/>
  <c r="N188" i="12"/>
  <c r="AW185" i="12"/>
  <c r="AU185" i="12"/>
  <c r="AP185" i="12"/>
  <c r="AI185" i="12"/>
  <c r="AC185" i="12"/>
  <c r="U185" i="12"/>
  <c r="R185" i="12"/>
  <c r="N185" i="12"/>
  <c r="AW184" i="12"/>
  <c r="AU184" i="12"/>
  <c r="AP184" i="12"/>
  <c r="AI184" i="12"/>
  <c r="AC184" i="12"/>
  <c r="U184" i="12"/>
  <c r="R184" i="12"/>
  <c r="N184" i="12"/>
  <c r="AW189" i="12"/>
  <c r="AU189" i="12"/>
  <c r="AP189" i="12"/>
  <c r="AI189" i="12"/>
  <c r="AC189" i="12"/>
  <c r="U189" i="12"/>
  <c r="R189" i="12"/>
  <c r="N189" i="12"/>
  <c r="AW187" i="12"/>
  <c r="AU187" i="12"/>
  <c r="AP187" i="12"/>
  <c r="AI187" i="12"/>
  <c r="AC187" i="12"/>
  <c r="U187" i="12"/>
  <c r="R187" i="12"/>
  <c r="N187" i="12"/>
  <c r="AW190" i="12"/>
  <c r="AU190" i="12"/>
  <c r="AP190" i="12"/>
  <c r="AI190" i="12"/>
  <c r="AC190" i="12"/>
  <c r="U190" i="12"/>
  <c r="R190" i="12"/>
  <c r="N190" i="12"/>
  <c r="AW182" i="12"/>
  <c r="AU182" i="12"/>
  <c r="AP182" i="12"/>
  <c r="AI182" i="12"/>
  <c r="AC182" i="12"/>
  <c r="U182" i="12"/>
  <c r="R182" i="12"/>
  <c r="N182" i="12"/>
  <c r="AW183" i="12"/>
  <c r="AU183" i="12"/>
  <c r="AP183" i="12"/>
  <c r="AI183" i="12"/>
  <c r="AC183" i="12"/>
  <c r="U183" i="12"/>
  <c r="R183" i="12"/>
  <c r="N183" i="12"/>
  <c r="AW181" i="12"/>
  <c r="AU181" i="12"/>
  <c r="AP181" i="12"/>
  <c r="AI181" i="12"/>
  <c r="AC181" i="12"/>
  <c r="U181" i="12"/>
  <c r="R181" i="12"/>
  <c r="N181" i="12"/>
  <c r="AW180" i="12"/>
  <c r="AU180" i="12"/>
  <c r="AP180" i="12"/>
  <c r="AI180" i="12"/>
  <c r="AC180" i="12"/>
  <c r="U180" i="12"/>
  <c r="R180" i="12"/>
  <c r="N180" i="12"/>
  <c r="AW179" i="12"/>
  <c r="AU179" i="12"/>
  <c r="AP179" i="12"/>
  <c r="AI179" i="12"/>
  <c r="AC179" i="12"/>
  <c r="U179" i="12"/>
  <c r="R179" i="12"/>
  <c r="N179" i="12"/>
  <c r="AW178" i="12"/>
  <c r="AU178" i="12"/>
  <c r="AP178" i="12"/>
  <c r="AI178" i="12"/>
  <c r="AC178" i="12"/>
  <c r="U178" i="12"/>
  <c r="R178" i="12"/>
  <c r="N178" i="12"/>
  <c r="AW177" i="12"/>
  <c r="AU177" i="12"/>
  <c r="AP177" i="12"/>
  <c r="AI177" i="12"/>
  <c r="AC177" i="12"/>
  <c r="U177" i="12"/>
  <c r="R177" i="12"/>
  <c r="N177" i="12"/>
  <c r="AW176" i="12"/>
  <c r="AU176" i="12"/>
  <c r="AP176" i="12"/>
  <c r="AI176" i="12"/>
  <c r="AC176" i="12"/>
  <c r="U176" i="12"/>
  <c r="R176" i="12"/>
  <c r="N176" i="12"/>
  <c r="AW175" i="12"/>
  <c r="AU175" i="12"/>
  <c r="AP175" i="12"/>
  <c r="AI175" i="12"/>
  <c r="AC175" i="12"/>
  <c r="U175" i="12"/>
  <c r="R175" i="12"/>
  <c r="N175" i="12"/>
  <c r="AW174" i="12"/>
  <c r="AU174" i="12"/>
  <c r="AP174" i="12"/>
  <c r="AI174" i="12"/>
  <c r="AC174" i="12"/>
  <c r="U174" i="12"/>
  <c r="R174" i="12"/>
  <c r="N174" i="12"/>
  <c r="AW173" i="12"/>
  <c r="AU173" i="12"/>
  <c r="AP173" i="12"/>
  <c r="AI173" i="12"/>
  <c r="AC173" i="12"/>
  <c r="U173" i="12"/>
  <c r="R173" i="12"/>
  <c r="N173" i="12"/>
  <c r="AW172" i="12"/>
  <c r="AU172" i="12"/>
  <c r="AP172" i="12"/>
  <c r="AI172" i="12"/>
  <c r="AC172" i="12"/>
  <c r="U172" i="12"/>
  <c r="R172" i="12"/>
  <c r="N172" i="12"/>
  <c r="AW171" i="12"/>
  <c r="AU171" i="12"/>
  <c r="AP171" i="12"/>
  <c r="AI171" i="12"/>
  <c r="AC171" i="12"/>
  <c r="U171" i="12"/>
  <c r="R171" i="12"/>
  <c r="N171" i="12"/>
  <c r="AW170" i="12"/>
  <c r="AU170" i="12"/>
  <c r="AP170" i="12"/>
  <c r="AI170" i="12"/>
  <c r="AC170" i="12"/>
  <c r="U170" i="12"/>
  <c r="R170" i="12"/>
  <c r="N170" i="12"/>
  <c r="AW169" i="12"/>
  <c r="AU169" i="12"/>
  <c r="AP169" i="12"/>
  <c r="AI169" i="12"/>
  <c r="AC169" i="12"/>
  <c r="U169" i="12"/>
  <c r="R169" i="12"/>
  <c r="N169" i="12"/>
  <c r="AW168" i="12"/>
  <c r="AU168" i="12"/>
  <c r="AP168" i="12"/>
  <c r="AI168" i="12"/>
  <c r="AC168" i="12"/>
  <c r="U168" i="12"/>
  <c r="R168" i="12"/>
  <c r="N168" i="12"/>
  <c r="AW167" i="12"/>
  <c r="AU167" i="12"/>
  <c r="AP167" i="12"/>
  <c r="AI167" i="12"/>
  <c r="AC167" i="12"/>
  <c r="U167" i="12"/>
  <c r="R167" i="12"/>
  <c r="N167" i="12"/>
  <c r="AW151" i="12"/>
  <c r="AU151" i="12"/>
  <c r="AP151" i="12"/>
  <c r="AI151" i="12"/>
  <c r="AC151" i="12"/>
  <c r="U151" i="12"/>
  <c r="R151" i="12"/>
  <c r="N151" i="12"/>
  <c r="AW150" i="12"/>
  <c r="AU150" i="12"/>
  <c r="AP150" i="12"/>
  <c r="AI150" i="12"/>
  <c r="AC150" i="12"/>
  <c r="U150" i="12"/>
  <c r="R150" i="12"/>
  <c r="N150" i="12"/>
  <c r="AW149" i="12"/>
  <c r="AU149" i="12"/>
  <c r="AP149" i="12"/>
  <c r="AI149" i="12"/>
  <c r="AC149" i="12"/>
  <c r="U149" i="12"/>
  <c r="R149" i="12"/>
  <c r="N149" i="12"/>
  <c r="AW148" i="12"/>
  <c r="AU148" i="12"/>
  <c r="AP148" i="12"/>
  <c r="AI148" i="12"/>
  <c r="AC148" i="12"/>
  <c r="U148" i="12"/>
  <c r="R148" i="12"/>
  <c r="N148" i="12"/>
  <c r="AW146" i="12"/>
  <c r="AU146" i="12"/>
  <c r="AP146" i="12"/>
  <c r="AI146" i="12"/>
  <c r="AC146" i="12"/>
  <c r="U146" i="12"/>
  <c r="R146" i="12"/>
  <c r="N146" i="12"/>
  <c r="AW144" i="12"/>
  <c r="AU144" i="12"/>
  <c r="AP144" i="12"/>
  <c r="AI144" i="12"/>
  <c r="AC144" i="12"/>
  <c r="U144" i="12"/>
  <c r="R144" i="12"/>
  <c r="N144" i="12"/>
  <c r="AW147" i="12"/>
  <c r="AU147" i="12"/>
  <c r="AP147" i="12"/>
  <c r="AI147" i="12"/>
  <c r="AC147" i="12"/>
  <c r="U147" i="12"/>
  <c r="R147" i="12"/>
  <c r="N147" i="12"/>
  <c r="AW145" i="12"/>
  <c r="AU145" i="12"/>
  <c r="AP145" i="12"/>
  <c r="AI145" i="12"/>
  <c r="AC145" i="12"/>
  <c r="U145" i="12"/>
  <c r="R145" i="12"/>
  <c r="N145" i="12"/>
  <c r="AW143" i="12"/>
  <c r="AU143" i="12"/>
  <c r="AP143" i="12"/>
  <c r="AI143" i="12"/>
  <c r="AC143" i="12"/>
  <c r="U143" i="12"/>
  <c r="R143" i="12"/>
  <c r="N143" i="12"/>
  <c r="AW142" i="12"/>
  <c r="AU142" i="12"/>
  <c r="AP142" i="12"/>
  <c r="AI142" i="12"/>
  <c r="AC142" i="12"/>
  <c r="U142" i="12"/>
  <c r="R142" i="12"/>
  <c r="N142" i="12"/>
  <c r="AW154" i="12"/>
  <c r="AU154" i="12"/>
  <c r="AP154" i="12"/>
  <c r="AI154" i="12"/>
  <c r="AC154" i="12"/>
  <c r="U154" i="12"/>
  <c r="R154" i="12"/>
  <c r="N154" i="12"/>
  <c r="AW163" i="12"/>
  <c r="AU163" i="12"/>
  <c r="AP163" i="12"/>
  <c r="AI163" i="12"/>
  <c r="AC163" i="12"/>
  <c r="U163" i="12"/>
  <c r="R163" i="12"/>
  <c r="N163" i="12"/>
  <c r="AW153" i="12"/>
  <c r="AU153" i="12"/>
  <c r="AP153" i="12"/>
  <c r="AI153" i="12"/>
  <c r="AC153" i="12"/>
  <c r="U153" i="12"/>
  <c r="R153" i="12"/>
  <c r="N153" i="12"/>
  <c r="AW155" i="12"/>
  <c r="AU155" i="12"/>
  <c r="AP155" i="12"/>
  <c r="AI155" i="12"/>
  <c r="AC155" i="12"/>
  <c r="U155" i="12"/>
  <c r="R155" i="12"/>
  <c r="N155" i="12"/>
  <c r="AW157" i="12"/>
  <c r="AU157" i="12"/>
  <c r="AP157" i="12"/>
  <c r="AI157" i="12"/>
  <c r="AC157" i="12"/>
  <c r="U157" i="12"/>
  <c r="R157" i="12"/>
  <c r="N157" i="12"/>
  <c r="AW160" i="12"/>
  <c r="AU160" i="12"/>
  <c r="AP160" i="12"/>
  <c r="AI160" i="12"/>
  <c r="AC160" i="12"/>
  <c r="U160" i="12"/>
  <c r="R160" i="12"/>
  <c r="N160" i="12"/>
  <c r="AW161" i="12"/>
  <c r="AU161" i="12"/>
  <c r="AP161" i="12"/>
  <c r="AI161" i="12"/>
  <c r="AC161" i="12"/>
  <c r="U161" i="12"/>
  <c r="R161" i="12"/>
  <c r="N161" i="12"/>
  <c r="AW166" i="12"/>
  <c r="AU166" i="12"/>
  <c r="AP166" i="12"/>
  <c r="AI166" i="12"/>
  <c r="AC166" i="12"/>
  <c r="U166" i="12"/>
  <c r="R166" i="12"/>
  <c r="N166" i="12"/>
  <c r="AW165" i="12"/>
  <c r="AU165" i="12"/>
  <c r="AP165" i="12"/>
  <c r="AI165" i="12"/>
  <c r="AC165" i="12"/>
  <c r="U165" i="12"/>
  <c r="R165" i="12"/>
  <c r="N165" i="12"/>
  <c r="AW162" i="12"/>
  <c r="AU162" i="12"/>
  <c r="AP162" i="12"/>
  <c r="AI162" i="12"/>
  <c r="AC162" i="12"/>
  <c r="U162" i="12"/>
  <c r="R162" i="12"/>
  <c r="N162" i="12"/>
  <c r="AW158" i="12"/>
  <c r="AU158" i="12"/>
  <c r="AP158" i="12"/>
  <c r="AI158" i="12"/>
  <c r="AC158" i="12"/>
  <c r="U158" i="12"/>
  <c r="R158" i="12"/>
  <c r="N158" i="12"/>
  <c r="AW159" i="12"/>
  <c r="AU159" i="12"/>
  <c r="AP159" i="12"/>
  <c r="AI159" i="12"/>
  <c r="AC159" i="12"/>
  <c r="U159" i="12"/>
  <c r="R159" i="12"/>
  <c r="N159" i="12"/>
  <c r="AW156" i="12"/>
  <c r="AU156" i="12"/>
  <c r="AP156" i="12"/>
  <c r="AI156" i="12"/>
  <c r="AC156" i="12"/>
  <c r="U156" i="12"/>
  <c r="R156" i="12"/>
  <c r="N156" i="12"/>
  <c r="AW152" i="12"/>
  <c r="AU152" i="12"/>
  <c r="AP152" i="12"/>
  <c r="AI152" i="12"/>
  <c r="AC152" i="12"/>
  <c r="U152" i="12"/>
  <c r="R152" i="12"/>
  <c r="N152" i="12"/>
  <c r="AW164" i="12"/>
  <c r="AU164" i="12"/>
  <c r="AP164" i="12"/>
  <c r="AI164" i="12"/>
  <c r="AC164" i="12"/>
  <c r="U164" i="12"/>
  <c r="R164" i="12"/>
  <c r="N164" i="12"/>
  <c r="AW191" i="12"/>
  <c r="AU191" i="12"/>
  <c r="AP191" i="12"/>
  <c r="AI191" i="12"/>
  <c r="AC191" i="12"/>
  <c r="U191" i="12"/>
  <c r="R191" i="12"/>
  <c r="N191" i="12"/>
  <c r="AW192" i="12"/>
  <c r="AU192" i="12"/>
  <c r="AP192" i="12"/>
  <c r="AI192" i="12"/>
  <c r="AC192" i="12"/>
  <c r="U192" i="12"/>
  <c r="R192" i="12"/>
  <c r="N192" i="12"/>
  <c r="AW193" i="12"/>
  <c r="AU193" i="12"/>
  <c r="AP193" i="12"/>
  <c r="AI193" i="12"/>
  <c r="AC193" i="12"/>
  <c r="U193" i="12"/>
  <c r="R193" i="12"/>
  <c r="N193" i="12"/>
  <c r="AW194" i="12"/>
  <c r="AU194" i="12"/>
  <c r="AP194" i="12"/>
  <c r="AI194" i="12"/>
  <c r="AC194" i="12"/>
  <c r="U194" i="12"/>
  <c r="R194" i="12"/>
  <c r="N194" i="12"/>
  <c r="AW195" i="12"/>
  <c r="AU195" i="12"/>
  <c r="AP195" i="12"/>
  <c r="AI195" i="12"/>
  <c r="AC195" i="12"/>
  <c r="U195" i="12"/>
  <c r="R195" i="12"/>
  <c r="N195" i="12"/>
  <c r="AW196" i="12"/>
  <c r="AU196" i="12"/>
  <c r="AP196" i="12"/>
  <c r="AI196" i="12"/>
  <c r="AC196" i="12"/>
  <c r="U196" i="12"/>
  <c r="R196" i="12"/>
  <c r="N196" i="12"/>
  <c r="AW197" i="12"/>
  <c r="AU197" i="12"/>
  <c r="AP197" i="12"/>
  <c r="AI197" i="12"/>
  <c r="AC197" i="12"/>
  <c r="U197" i="12"/>
  <c r="R197" i="12"/>
  <c r="N197" i="12"/>
  <c r="AW198" i="12"/>
  <c r="AU198" i="12"/>
  <c r="AP198" i="12"/>
  <c r="AI198" i="12"/>
  <c r="AC198" i="12"/>
  <c r="U198" i="12"/>
  <c r="R198" i="12"/>
  <c r="N198" i="12"/>
  <c r="AW124" i="12"/>
  <c r="AU124" i="12"/>
  <c r="AP124" i="12"/>
  <c r="AI124" i="12"/>
  <c r="AC124" i="12"/>
  <c r="U124" i="12"/>
  <c r="R124" i="12"/>
  <c r="N124" i="12"/>
  <c r="AW123" i="12"/>
  <c r="AU123" i="12"/>
  <c r="AP123" i="12"/>
  <c r="AI123" i="12"/>
  <c r="AC123" i="12"/>
  <c r="U123" i="12"/>
  <c r="R123" i="12"/>
  <c r="N123" i="12"/>
  <c r="AW122" i="12"/>
  <c r="AU122" i="12"/>
  <c r="AP122" i="12"/>
  <c r="AI122" i="12"/>
  <c r="AC122" i="12"/>
  <c r="U122" i="12"/>
  <c r="R122" i="12"/>
  <c r="N122" i="12"/>
  <c r="AW121" i="12"/>
  <c r="AU121" i="12"/>
  <c r="AP121" i="12"/>
  <c r="AI121" i="12"/>
  <c r="AC121" i="12"/>
  <c r="U121" i="12"/>
  <c r="R121" i="12"/>
  <c r="N121" i="12"/>
  <c r="AW120" i="12"/>
  <c r="AU120" i="12"/>
  <c r="AP120" i="12"/>
  <c r="AI120" i="12"/>
  <c r="AC120" i="12"/>
  <c r="U120" i="12"/>
  <c r="R120" i="12"/>
  <c r="N120" i="12"/>
  <c r="AW119" i="12"/>
  <c r="AU119" i="12"/>
  <c r="AP119" i="12"/>
  <c r="AI119" i="12"/>
  <c r="AC119" i="12"/>
  <c r="U119" i="12"/>
  <c r="R119" i="12"/>
  <c r="N119" i="12"/>
  <c r="AW118" i="12"/>
  <c r="AU118" i="12"/>
  <c r="AP118" i="12"/>
  <c r="AI118" i="12"/>
  <c r="AC118" i="12"/>
  <c r="U118" i="12"/>
  <c r="R118" i="12"/>
  <c r="N118" i="12"/>
  <c r="AW117" i="12"/>
  <c r="AU117" i="12"/>
  <c r="AP117" i="12"/>
  <c r="AI117" i="12"/>
  <c r="AC117" i="12"/>
  <c r="U117" i="12"/>
  <c r="R117" i="12"/>
  <c r="N117" i="12"/>
  <c r="AW115" i="12"/>
  <c r="AU115" i="12"/>
  <c r="AP115" i="12"/>
  <c r="AI115" i="12"/>
  <c r="AC115" i="12"/>
  <c r="U115" i="12"/>
  <c r="R115" i="12"/>
  <c r="N115" i="12"/>
  <c r="AW116" i="12"/>
  <c r="AU116" i="12"/>
  <c r="AP116" i="12"/>
  <c r="AI116" i="12"/>
  <c r="AC116" i="12"/>
  <c r="U116" i="12"/>
  <c r="R116" i="12"/>
  <c r="N116" i="12"/>
  <c r="AW114" i="12"/>
  <c r="AU114" i="12"/>
  <c r="AP114" i="12"/>
  <c r="AI114" i="12"/>
  <c r="AC114" i="12"/>
  <c r="U114" i="12"/>
  <c r="R114" i="12"/>
  <c r="N114" i="12"/>
  <c r="AW113" i="12"/>
  <c r="AU113" i="12"/>
  <c r="AP113" i="12"/>
  <c r="AI113" i="12"/>
  <c r="AC113" i="12"/>
  <c r="U113" i="12"/>
  <c r="R113" i="12"/>
  <c r="N113" i="12"/>
  <c r="AW112" i="12"/>
  <c r="AU112" i="12"/>
  <c r="AP112" i="12"/>
  <c r="AI112" i="12"/>
  <c r="AC112" i="12"/>
  <c r="U112" i="12"/>
  <c r="R112" i="12"/>
  <c r="N112" i="12"/>
  <c r="AW111" i="12"/>
  <c r="AU111" i="12"/>
  <c r="AP111" i="12"/>
  <c r="AI111" i="12"/>
  <c r="AC111" i="12"/>
  <c r="U111" i="12"/>
  <c r="R111" i="12"/>
  <c r="N111" i="12"/>
  <c r="AW110" i="12"/>
  <c r="AU110" i="12"/>
  <c r="AP110" i="12"/>
  <c r="AI110" i="12"/>
  <c r="AC110" i="12"/>
  <c r="U110" i="12"/>
  <c r="R110" i="12"/>
  <c r="N110" i="12"/>
  <c r="AW128" i="12"/>
  <c r="AU128" i="12"/>
  <c r="AP128" i="12"/>
  <c r="AI128" i="12"/>
  <c r="AC128" i="12"/>
  <c r="U128" i="12"/>
  <c r="R128" i="12"/>
  <c r="N128" i="12"/>
  <c r="AW127" i="12"/>
  <c r="AU127" i="12"/>
  <c r="AP127" i="12"/>
  <c r="AI127" i="12"/>
  <c r="AC127" i="12"/>
  <c r="U127" i="12"/>
  <c r="R127" i="12"/>
  <c r="N127" i="12"/>
  <c r="AW126" i="12"/>
  <c r="AU126" i="12"/>
  <c r="AP126" i="12"/>
  <c r="AI126" i="12"/>
  <c r="AC126" i="12"/>
  <c r="U126" i="12"/>
  <c r="R126" i="12"/>
  <c r="N126" i="12"/>
  <c r="AW130" i="12"/>
  <c r="AU130" i="12"/>
  <c r="AP130" i="12"/>
  <c r="AI130" i="12"/>
  <c r="AC130" i="12"/>
  <c r="U130" i="12"/>
  <c r="R130" i="12"/>
  <c r="N130" i="12"/>
  <c r="AW129" i="12"/>
  <c r="AU129" i="12"/>
  <c r="AP129" i="12"/>
  <c r="AI129" i="12"/>
  <c r="AC129" i="12"/>
  <c r="U129" i="12"/>
  <c r="R129" i="12"/>
  <c r="N129" i="12"/>
  <c r="AW125" i="12"/>
  <c r="AU125" i="12"/>
  <c r="AP125" i="12"/>
  <c r="AI125" i="12"/>
  <c r="AC125" i="12"/>
  <c r="U125" i="12"/>
  <c r="R125" i="12"/>
  <c r="N125" i="12"/>
  <c r="AW139" i="12"/>
  <c r="AU139" i="12"/>
  <c r="AP139" i="12"/>
  <c r="AI139" i="12"/>
  <c r="AC139" i="12"/>
  <c r="U139" i="12"/>
  <c r="R139" i="12"/>
  <c r="N139" i="12"/>
  <c r="AW136" i="12"/>
  <c r="AU136" i="12"/>
  <c r="AP136" i="12"/>
  <c r="AI136" i="12"/>
  <c r="AC136" i="12"/>
  <c r="U136" i="12"/>
  <c r="R136" i="12"/>
  <c r="N136" i="12"/>
  <c r="AW141" i="12"/>
  <c r="AU141" i="12"/>
  <c r="AP141" i="12"/>
  <c r="AI141" i="12"/>
  <c r="AC141" i="12"/>
  <c r="U141" i="12"/>
  <c r="R141" i="12"/>
  <c r="N141" i="12"/>
  <c r="AW137" i="12"/>
  <c r="AU137" i="12"/>
  <c r="AP137" i="12"/>
  <c r="AI137" i="12"/>
  <c r="AC137" i="12"/>
  <c r="U137" i="12"/>
  <c r="R137" i="12"/>
  <c r="N137" i="12"/>
  <c r="AW135" i="12"/>
  <c r="AU135" i="12"/>
  <c r="AP135" i="12"/>
  <c r="AI135" i="12"/>
  <c r="AC135" i="12"/>
  <c r="U135" i="12"/>
  <c r="R135" i="12"/>
  <c r="N135" i="12"/>
  <c r="AW132" i="12"/>
  <c r="AU132" i="12"/>
  <c r="AP132" i="12"/>
  <c r="AI132" i="12"/>
  <c r="AC132" i="12"/>
  <c r="U132" i="12"/>
  <c r="R132" i="12"/>
  <c r="N132" i="12"/>
  <c r="AW133" i="12"/>
  <c r="AU133" i="12"/>
  <c r="AP133" i="12"/>
  <c r="AI133" i="12"/>
  <c r="AC133" i="12"/>
  <c r="U133" i="12"/>
  <c r="R133" i="12"/>
  <c r="N133" i="12"/>
  <c r="AW140" i="12"/>
  <c r="AU140" i="12"/>
  <c r="AP140" i="12"/>
  <c r="AI140" i="12"/>
  <c r="AC140" i="12"/>
  <c r="U140" i="12"/>
  <c r="R140" i="12"/>
  <c r="N140" i="12"/>
  <c r="AW131" i="12"/>
  <c r="AU131" i="12"/>
  <c r="AP131" i="12"/>
  <c r="AI131" i="12"/>
  <c r="AC131" i="12"/>
  <c r="U131" i="12"/>
  <c r="R131" i="12"/>
  <c r="N131" i="12"/>
  <c r="AW138" i="12"/>
  <c r="AU138" i="12"/>
  <c r="AP138" i="12"/>
  <c r="AI138" i="12"/>
  <c r="AC138" i="12"/>
  <c r="U138" i="12"/>
  <c r="R138" i="12"/>
  <c r="N138" i="12"/>
  <c r="AW134" i="12"/>
  <c r="AU134" i="12"/>
  <c r="AP134" i="12"/>
  <c r="AI134" i="12"/>
  <c r="AC134" i="12"/>
  <c r="U134" i="12"/>
  <c r="R134" i="12"/>
  <c r="N134" i="12"/>
  <c r="AW109" i="12"/>
  <c r="AU109" i="12"/>
  <c r="AP109" i="12"/>
  <c r="AI109" i="12"/>
  <c r="AC109" i="12"/>
  <c r="U109" i="12"/>
  <c r="R109" i="12"/>
  <c r="N109" i="12"/>
  <c r="AW107" i="12"/>
  <c r="AU107" i="12"/>
  <c r="AP107" i="12"/>
  <c r="AI107" i="12"/>
  <c r="AC107" i="12"/>
  <c r="U107" i="12"/>
  <c r="R107" i="12"/>
  <c r="N107" i="12"/>
  <c r="AW108" i="12"/>
  <c r="AU108" i="12"/>
  <c r="AP108" i="12"/>
  <c r="AI108" i="12"/>
  <c r="AC108" i="12"/>
  <c r="U108" i="12"/>
  <c r="R108" i="12"/>
  <c r="N108" i="12"/>
  <c r="AW106" i="12"/>
  <c r="AU106" i="12"/>
  <c r="AP106" i="12"/>
  <c r="AI106" i="12"/>
  <c r="AC106" i="12"/>
  <c r="U106" i="12"/>
  <c r="R106" i="12"/>
  <c r="N106" i="12"/>
  <c r="AW105" i="12"/>
  <c r="AU105" i="12"/>
  <c r="AP105" i="12"/>
  <c r="AI105" i="12"/>
  <c r="AC105" i="12"/>
  <c r="U105" i="12"/>
  <c r="R105" i="12"/>
  <c r="N105" i="12"/>
  <c r="AW95" i="12"/>
  <c r="AU95" i="12"/>
  <c r="AP95" i="12"/>
  <c r="AI95" i="12"/>
  <c r="AC95" i="12"/>
  <c r="U95" i="12"/>
  <c r="R95" i="12"/>
  <c r="N95" i="12"/>
  <c r="AW101" i="12"/>
  <c r="AU101" i="12"/>
  <c r="AP101" i="12"/>
  <c r="AI101" i="12"/>
  <c r="AC101" i="12"/>
  <c r="U101" i="12"/>
  <c r="R101" i="12"/>
  <c r="N101" i="12"/>
  <c r="AW99" i="12"/>
  <c r="AU99" i="12"/>
  <c r="AP99" i="12"/>
  <c r="AI99" i="12"/>
  <c r="AC99" i="12"/>
  <c r="U99" i="12"/>
  <c r="R99" i="12"/>
  <c r="N99" i="12"/>
  <c r="AW104" i="12"/>
  <c r="AU104" i="12"/>
  <c r="AP104" i="12"/>
  <c r="AI104" i="12"/>
  <c r="AC104" i="12"/>
  <c r="U104" i="12"/>
  <c r="R104" i="12"/>
  <c r="N104" i="12"/>
  <c r="AW103" i="12"/>
  <c r="AU103" i="12"/>
  <c r="AP103" i="12"/>
  <c r="AI103" i="12"/>
  <c r="AC103" i="12"/>
  <c r="U103" i="12"/>
  <c r="R103" i="12"/>
  <c r="N103" i="12"/>
  <c r="AW94" i="12"/>
  <c r="AU94" i="12"/>
  <c r="AP94" i="12"/>
  <c r="AI94" i="12"/>
  <c r="AC94" i="12"/>
  <c r="U94" i="12"/>
  <c r="R94" i="12"/>
  <c r="N94" i="12"/>
  <c r="AW92" i="12"/>
  <c r="AU92" i="12"/>
  <c r="AP92" i="12"/>
  <c r="AI92" i="12"/>
  <c r="AC92" i="12"/>
  <c r="U92" i="12"/>
  <c r="R92" i="12"/>
  <c r="N92" i="12"/>
  <c r="AW102" i="12"/>
  <c r="AU102" i="12"/>
  <c r="AP102" i="12"/>
  <c r="AI102" i="12"/>
  <c r="AC102" i="12"/>
  <c r="U102" i="12"/>
  <c r="R102" i="12"/>
  <c r="N102" i="12"/>
  <c r="AW96" i="12"/>
  <c r="AU96" i="12"/>
  <c r="AP96" i="12"/>
  <c r="AI96" i="12"/>
  <c r="AC96" i="12"/>
  <c r="U96" i="12"/>
  <c r="R96" i="12"/>
  <c r="N96" i="12"/>
  <c r="AW91" i="12"/>
  <c r="AU91" i="12"/>
  <c r="AP91" i="12"/>
  <c r="AI91" i="12"/>
  <c r="AC91" i="12"/>
  <c r="U91" i="12"/>
  <c r="R91" i="12"/>
  <c r="N91" i="12"/>
  <c r="AW97" i="12"/>
  <c r="AU97" i="12"/>
  <c r="AP97" i="12"/>
  <c r="AI97" i="12"/>
  <c r="AC97" i="12"/>
  <c r="U97" i="12"/>
  <c r="R97" i="12"/>
  <c r="N97" i="12"/>
  <c r="AW100" i="12"/>
  <c r="AU100" i="12"/>
  <c r="AP100" i="12"/>
  <c r="AI100" i="12"/>
  <c r="AC100" i="12"/>
  <c r="U100" i="12"/>
  <c r="R100" i="12"/>
  <c r="N100" i="12"/>
  <c r="AW93" i="12"/>
  <c r="AU93" i="12"/>
  <c r="AP93" i="12"/>
  <c r="AI93" i="12"/>
  <c r="AC93" i="12"/>
  <c r="U93" i="12"/>
  <c r="R93" i="12"/>
  <c r="N93" i="12"/>
  <c r="AW98" i="12"/>
  <c r="AU98" i="12"/>
  <c r="AP98" i="12"/>
  <c r="AI98" i="12"/>
  <c r="AC98" i="12"/>
  <c r="U98" i="12"/>
  <c r="R98" i="12"/>
  <c r="N98" i="12"/>
  <c r="AW90" i="12"/>
  <c r="AU90" i="12"/>
  <c r="AP90" i="12"/>
  <c r="AI90" i="12"/>
  <c r="AC90" i="12"/>
  <c r="U90" i="12"/>
  <c r="R90" i="12"/>
  <c r="N90" i="12"/>
  <c r="AW88" i="12"/>
  <c r="AU88" i="12"/>
  <c r="AP88" i="12"/>
  <c r="AI88" i="12"/>
  <c r="AC88" i="12"/>
  <c r="U88" i="12"/>
  <c r="R88" i="12"/>
  <c r="N88" i="12"/>
  <c r="AW87" i="12"/>
  <c r="AU87" i="12"/>
  <c r="AP87" i="12"/>
  <c r="AI87" i="12"/>
  <c r="AC87" i="12"/>
  <c r="U87" i="12"/>
  <c r="R87" i="12"/>
  <c r="N87" i="12"/>
  <c r="AW84" i="12"/>
  <c r="AU84" i="12"/>
  <c r="AP84" i="12"/>
  <c r="AI84" i="12"/>
  <c r="AC84" i="12"/>
  <c r="U84" i="12"/>
  <c r="R84" i="12"/>
  <c r="N84" i="12"/>
  <c r="AW85" i="12"/>
  <c r="AU85" i="12"/>
  <c r="AP85" i="12"/>
  <c r="AI85" i="12"/>
  <c r="AC85" i="12"/>
  <c r="U85" i="12"/>
  <c r="R85" i="12"/>
  <c r="N85" i="12"/>
  <c r="AW89" i="12"/>
  <c r="AU89" i="12"/>
  <c r="AP89" i="12"/>
  <c r="AI89" i="12"/>
  <c r="AC89" i="12"/>
  <c r="U89" i="12"/>
  <c r="R89" i="12"/>
  <c r="N89" i="12"/>
  <c r="AW86" i="12"/>
  <c r="AU86" i="12"/>
  <c r="AP86" i="12"/>
  <c r="AI86" i="12"/>
  <c r="AC86" i="12"/>
  <c r="U86" i="12"/>
  <c r="R86" i="12"/>
  <c r="N86" i="12"/>
  <c r="AW77" i="12"/>
  <c r="AU77" i="12"/>
  <c r="AP77" i="12"/>
  <c r="AI77" i="12"/>
  <c r="AC77" i="12"/>
  <c r="U77" i="12"/>
  <c r="R77" i="12"/>
  <c r="N77" i="12"/>
  <c r="AW59" i="12"/>
  <c r="AU59" i="12"/>
  <c r="AP59" i="12"/>
  <c r="AI59" i="12"/>
  <c r="AC59" i="12"/>
  <c r="U59" i="12"/>
  <c r="R59" i="12"/>
  <c r="N59" i="12"/>
  <c r="AW63" i="12"/>
  <c r="AU63" i="12"/>
  <c r="AP63" i="12"/>
  <c r="AI63" i="12"/>
  <c r="AC63" i="12"/>
  <c r="U63" i="12"/>
  <c r="R63" i="12"/>
  <c r="N63" i="12"/>
  <c r="AW83" i="12"/>
  <c r="AU83" i="12"/>
  <c r="AP83" i="12"/>
  <c r="AI83" i="12"/>
  <c r="AC83" i="12"/>
  <c r="U83" i="12"/>
  <c r="R83" i="12"/>
  <c r="N83" i="12"/>
  <c r="AW82" i="12"/>
  <c r="AU82" i="12"/>
  <c r="AP82" i="12"/>
  <c r="AI82" i="12"/>
  <c r="AC82" i="12"/>
  <c r="U82" i="12"/>
  <c r="R82" i="12"/>
  <c r="N82" i="12"/>
  <c r="AW81" i="12"/>
  <c r="AU81" i="12"/>
  <c r="AP81" i="12"/>
  <c r="AI81" i="12"/>
  <c r="AC81" i="12"/>
  <c r="U81" i="12"/>
  <c r="R81" i="12"/>
  <c r="N81" i="12"/>
  <c r="AW80" i="12"/>
  <c r="AU80" i="12"/>
  <c r="AP80" i="12"/>
  <c r="AI80" i="12"/>
  <c r="AC80" i="12"/>
  <c r="U80" i="12"/>
  <c r="R80" i="12"/>
  <c r="N80" i="12"/>
  <c r="AW79" i="12"/>
  <c r="AU79" i="12"/>
  <c r="AP79" i="12"/>
  <c r="AI79" i="12"/>
  <c r="AC79" i="12"/>
  <c r="U79" i="12"/>
  <c r="R79" i="12"/>
  <c r="N79" i="12"/>
  <c r="AW78" i="12"/>
  <c r="AU78" i="12"/>
  <c r="AP78" i="12"/>
  <c r="AI78" i="12"/>
  <c r="AC78" i="12"/>
  <c r="U78" i="12"/>
  <c r="R78" i="12"/>
  <c r="N78" i="12"/>
  <c r="AW76" i="12"/>
  <c r="AU76" i="12"/>
  <c r="AP76" i="12"/>
  <c r="AI76" i="12"/>
  <c r="AC76" i="12"/>
  <c r="U76" i="12"/>
  <c r="R76" i="12"/>
  <c r="N76" i="12"/>
  <c r="AW75" i="12"/>
  <c r="AU75" i="12"/>
  <c r="AP75" i="12"/>
  <c r="AI75" i="12"/>
  <c r="AC75" i="12"/>
  <c r="U75" i="12"/>
  <c r="R75" i="12"/>
  <c r="N75" i="12"/>
  <c r="AW73" i="12"/>
  <c r="AU73" i="12"/>
  <c r="AP73" i="12"/>
  <c r="AI73" i="12"/>
  <c r="AC73" i="12"/>
  <c r="U73" i="12"/>
  <c r="R73" i="12"/>
  <c r="N73" i="12"/>
  <c r="AW71" i="12"/>
  <c r="AU71" i="12"/>
  <c r="AP71" i="12"/>
  <c r="AI71" i="12"/>
  <c r="AC71" i="12"/>
  <c r="U71" i="12"/>
  <c r="R71" i="12"/>
  <c r="N71" i="12"/>
  <c r="AW70" i="12"/>
  <c r="AU70" i="12"/>
  <c r="AP70" i="12"/>
  <c r="AI70" i="12"/>
  <c r="AC70" i="12"/>
  <c r="U70" i="12"/>
  <c r="R70" i="12"/>
  <c r="N70" i="12"/>
  <c r="AW69" i="12"/>
  <c r="AU69" i="12"/>
  <c r="AP69" i="12"/>
  <c r="AI69" i="12"/>
  <c r="AC69" i="12"/>
  <c r="U69" i="12"/>
  <c r="R69" i="12"/>
  <c r="N69" i="12"/>
  <c r="AW72" i="12"/>
  <c r="AU72" i="12"/>
  <c r="AP72" i="12"/>
  <c r="AI72" i="12"/>
  <c r="AC72" i="12"/>
  <c r="U72" i="12"/>
  <c r="R72" i="12"/>
  <c r="N72" i="12"/>
  <c r="AW68" i="12"/>
  <c r="AU68" i="12"/>
  <c r="AP68" i="12"/>
  <c r="AI68" i="12"/>
  <c r="AC68" i="12"/>
  <c r="U68" i="12"/>
  <c r="R68" i="12"/>
  <c r="N68" i="12"/>
  <c r="AW66" i="12"/>
  <c r="AU66" i="12"/>
  <c r="AP66" i="12"/>
  <c r="AI66" i="12"/>
  <c r="AC66" i="12"/>
  <c r="U66" i="12"/>
  <c r="R66" i="12"/>
  <c r="N66" i="12"/>
  <c r="AW74" i="12"/>
  <c r="AU74" i="12"/>
  <c r="AP74" i="12"/>
  <c r="AI74" i="12"/>
  <c r="AC74" i="12"/>
  <c r="U74" i="12"/>
  <c r="R74" i="12"/>
  <c r="N74" i="12"/>
  <c r="AW67" i="12"/>
  <c r="AU67" i="12"/>
  <c r="AP67" i="12"/>
  <c r="AI67" i="12"/>
  <c r="AC67" i="12"/>
  <c r="U67" i="12"/>
  <c r="R67" i="12"/>
  <c r="N67" i="12"/>
  <c r="AW64" i="12"/>
  <c r="AU64" i="12"/>
  <c r="AP64" i="12"/>
  <c r="AI64" i="12"/>
  <c r="AC64" i="12"/>
  <c r="U64" i="12"/>
  <c r="R64" i="12"/>
  <c r="N64" i="12"/>
  <c r="AW61" i="12"/>
  <c r="AU61" i="12"/>
  <c r="AP61" i="12"/>
  <c r="AI61" i="12"/>
  <c r="AC61" i="12"/>
  <c r="U61" i="12"/>
  <c r="R61" i="12"/>
  <c r="N61" i="12"/>
  <c r="AW62" i="12"/>
  <c r="AU62" i="12"/>
  <c r="AP62" i="12"/>
  <c r="AI62" i="12"/>
  <c r="AC62" i="12"/>
  <c r="U62" i="12"/>
  <c r="R62" i="12"/>
  <c r="N62" i="12"/>
  <c r="AW65" i="12"/>
  <c r="AU65" i="12"/>
  <c r="AP65" i="12"/>
  <c r="AI65" i="12"/>
  <c r="AC65" i="12"/>
  <c r="U65" i="12"/>
  <c r="R65" i="12"/>
  <c r="N65" i="12"/>
  <c r="AW60" i="12"/>
  <c r="AU60" i="12"/>
  <c r="AP60" i="12"/>
  <c r="AI60" i="12"/>
  <c r="AC60" i="12"/>
  <c r="U60" i="12"/>
  <c r="R60" i="12"/>
  <c r="N60" i="12"/>
  <c r="AW58" i="12"/>
  <c r="AU58" i="12"/>
  <c r="AP58" i="12"/>
  <c r="AI58" i="12"/>
  <c r="AC58" i="12"/>
  <c r="U58" i="12"/>
  <c r="R58" i="12"/>
  <c r="N58" i="12"/>
  <c r="AW57" i="12"/>
  <c r="AU57" i="12"/>
  <c r="AP57" i="12"/>
  <c r="AI57" i="12"/>
  <c r="AC57" i="12"/>
  <c r="U57" i="12"/>
  <c r="R57" i="12"/>
  <c r="N57" i="12"/>
  <c r="AW56" i="12"/>
  <c r="AU56" i="12"/>
  <c r="AP56" i="12"/>
  <c r="AI56" i="12"/>
  <c r="AC56" i="12"/>
  <c r="U56" i="12"/>
  <c r="R56" i="12"/>
  <c r="N56" i="12"/>
  <c r="AW55" i="12"/>
  <c r="AU55" i="12"/>
  <c r="AP55" i="12"/>
  <c r="AI55" i="12"/>
  <c r="AC55" i="12"/>
  <c r="U55" i="12"/>
  <c r="R55" i="12"/>
  <c r="N55" i="12"/>
  <c r="AW52" i="12"/>
  <c r="AU52" i="12"/>
  <c r="AP52" i="12"/>
  <c r="AI52" i="12"/>
  <c r="AC52" i="12"/>
  <c r="U52" i="12"/>
  <c r="R52" i="12"/>
  <c r="N52" i="12"/>
  <c r="AW54" i="12"/>
  <c r="AU54" i="12"/>
  <c r="AP54" i="12"/>
  <c r="AI54" i="12"/>
  <c r="AC54" i="12"/>
  <c r="U54" i="12"/>
  <c r="R54" i="12"/>
  <c r="N54" i="12"/>
  <c r="AW53" i="12"/>
  <c r="AU53" i="12"/>
  <c r="AP53" i="12"/>
  <c r="AI53" i="12"/>
  <c r="AC53" i="12"/>
  <c r="U53" i="12"/>
  <c r="R53" i="12"/>
  <c r="N53" i="12"/>
  <c r="AW51" i="12"/>
  <c r="AU51" i="12"/>
  <c r="AP51" i="12"/>
  <c r="AI51" i="12"/>
  <c r="AC51" i="12"/>
  <c r="U51" i="12"/>
  <c r="R51" i="12"/>
  <c r="N51" i="12"/>
  <c r="AW50" i="12"/>
  <c r="AU50" i="12"/>
  <c r="AP50" i="12"/>
  <c r="AI50" i="12"/>
  <c r="AC50" i="12"/>
  <c r="U50" i="12"/>
  <c r="R50" i="12"/>
  <c r="N50" i="12"/>
  <c r="AW49" i="12"/>
  <c r="AU49" i="12"/>
  <c r="AP49" i="12"/>
  <c r="AI49" i="12"/>
  <c r="AC49" i="12"/>
  <c r="U49" i="12"/>
  <c r="R49" i="12"/>
  <c r="N49" i="12"/>
  <c r="AW48" i="12"/>
  <c r="AU48" i="12"/>
  <c r="AP48" i="12"/>
  <c r="AI48" i="12"/>
  <c r="AC48" i="12"/>
  <c r="U48" i="12"/>
  <c r="R48" i="12"/>
  <c r="N48" i="12"/>
  <c r="AW47" i="12"/>
  <c r="AU47" i="12"/>
  <c r="AP47" i="12"/>
  <c r="AI47" i="12"/>
  <c r="AC47" i="12"/>
  <c r="U47" i="12"/>
  <c r="R47" i="12"/>
  <c r="N47" i="12"/>
  <c r="AW46" i="12"/>
  <c r="AU46" i="12"/>
  <c r="AP46" i="12"/>
  <c r="AI46" i="12"/>
  <c r="AC46" i="12"/>
  <c r="U46" i="12"/>
  <c r="R46" i="12"/>
  <c r="N46" i="12"/>
  <c r="AW45" i="12"/>
  <c r="AU45" i="12"/>
  <c r="AP45" i="12"/>
  <c r="AI45" i="12"/>
  <c r="AC45" i="12"/>
  <c r="U45" i="12"/>
  <c r="R45" i="12"/>
  <c r="N45" i="12"/>
  <c r="AW43" i="12"/>
  <c r="AU43" i="12"/>
  <c r="AP43" i="12"/>
  <c r="AI43" i="12"/>
  <c r="AC43" i="12"/>
  <c r="U43" i="12"/>
  <c r="R43" i="12"/>
  <c r="N43" i="12"/>
  <c r="AW41" i="12"/>
  <c r="AU41" i="12"/>
  <c r="AP41" i="12"/>
  <c r="AI41" i="12"/>
  <c r="AC41" i="12"/>
  <c r="U41" i="12"/>
  <c r="R41" i="12"/>
  <c r="N41" i="12"/>
  <c r="AW37" i="12"/>
  <c r="AU37" i="12"/>
  <c r="AP37" i="12"/>
  <c r="AI37" i="12"/>
  <c r="AC37" i="12"/>
  <c r="U37" i="12"/>
  <c r="R37" i="12"/>
  <c r="N37" i="12"/>
  <c r="AW42" i="12"/>
  <c r="AU42" i="12"/>
  <c r="AP42" i="12"/>
  <c r="AI42" i="12"/>
  <c r="AC42" i="12"/>
  <c r="U42" i="12"/>
  <c r="R42" i="12"/>
  <c r="N42" i="12"/>
  <c r="AW44" i="12"/>
  <c r="AU44" i="12"/>
  <c r="AP44" i="12"/>
  <c r="AI44" i="12"/>
  <c r="AC44" i="12"/>
  <c r="U44" i="12"/>
  <c r="R44" i="12"/>
  <c r="N44" i="12"/>
  <c r="AW40" i="12"/>
  <c r="AU40" i="12"/>
  <c r="AP40" i="12"/>
  <c r="AI40" i="12"/>
  <c r="AC40" i="12"/>
  <c r="U40" i="12"/>
  <c r="R40" i="12"/>
  <c r="N40" i="12"/>
  <c r="AW39" i="12"/>
  <c r="AU39" i="12"/>
  <c r="AP39" i="12"/>
  <c r="AI39" i="12"/>
  <c r="AC39" i="12"/>
  <c r="U39" i="12"/>
  <c r="R39" i="12"/>
  <c r="N39" i="12"/>
  <c r="AW38" i="12"/>
  <c r="AU38" i="12"/>
  <c r="AP38" i="12"/>
  <c r="AI38" i="12"/>
  <c r="AC38" i="12"/>
  <c r="U38" i="12"/>
  <c r="R38" i="12"/>
  <c r="N38" i="12"/>
  <c r="AW34" i="12"/>
  <c r="AU34" i="12"/>
  <c r="AP34" i="12"/>
  <c r="AI34" i="12"/>
  <c r="AC34" i="12"/>
  <c r="U34" i="12"/>
  <c r="R34" i="12"/>
  <c r="N34" i="12"/>
  <c r="AW36" i="12"/>
  <c r="AU36" i="12"/>
  <c r="AP36" i="12"/>
  <c r="AI36" i="12"/>
  <c r="AC36" i="12"/>
  <c r="U36" i="12"/>
  <c r="R36" i="12"/>
  <c r="N36" i="12"/>
  <c r="AW35" i="12"/>
  <c r="AU35" i="12"/>
  <c r="AP35" i="12"/>
  <c r="AI35" i="12"/>
  <c r="AC35" i="12"/>
  <c r="U35" i="12"/>
  <c r="R35" i="12"/>
  <c r="N35" i="12"/>
  <c r="AW23" i="12"/>
  <c r="AU23" i="12"/>
  <c r="AP23" i="12"/>
  <c r="AI23" i="12"/>
  <c r="AC23" i="12"/>
  <c r="U23" i="12"/>
  <c r="R23" i="12"/>
  <c r="N23" i="12"/>
  <c r="AW29" i="12"/>
  <c r="AU29" i="12"/>
  <c r="AP29" i="12"/>
  <c r="AI29" i="12"/>
  <c r="AC29" i="12"/>
  <c r="U29" i="12"/>
  <c r="R29" i="12"/>
  <c r="N29" i="12"/>
  <c r="AW30" i="12"/>
  <c r="AU30" i="12"/>
  <c r="AP30" i="12"/>
  <c r="AI30" i="12"/>
  <c r="AC30" i="12"/>
  <c r="U30" i="12"/>
  <c r="R30" i="12"/>
  <c r="N30" i="12"/>
  <c r="AW28" i="12"/>
  <c r="AU28" i="12"/>
  <c r="AP28" i="12"/>
  <c r="AI28" i="12"/>
  <c r="AC28" i="12"/>
  <c r="U28" i="12"/>
  <c r="R28" i="12"/>
  <c r="N28" i="12"/>
  <c r="AW26" i="12"/>
  <c r="AU26" i="12"/>
  <c r="AP26" i="12"/>
  <c r="AI26" i="12"/>
  <c r="AC26" i="12"/>
  <c r="U26" i="12"/>
  <c r="R26" i="12"/>
  <c r="N26" i="12"/>
  <c r="AW27" i="12"/>
  <c r="AU27" i="12"/>
  <c r="AP27" i="12"/>
  <c r="AI27" i="12"/>
  <c r="AC27" i="12"/>
  <c r="U27" i="12"/>
  <c r="R27" i="12"/>
  <c r="N27" i="12"/>
  <c r="AW24" i="12"/>
  <c r="AU24" i="12"/>
  <c r="AP24" i="12"/>
  <c r="AI24" i="12"/>
  <c r="AC24" i="12"/>
  <c r="U24" i="12"/>
  <c r="R24" i="12"/>
  <c r="N24" i="12"/>
  <c r="AW25" i="12"/>
  <c r="AU25" i="12"/>
  <c r="AP25" i="12"/>
  <c r="AI25" i="12"/>
  <c r="AC25" i="12"/>
  <c r="U25" i="12"/>
  <c r="R25" i="12"/>
  <c r="N25" i="12"/>
  <c r="AW31" i="12"/>
  <c r="AU31" i="12"/>
  <c r="AP31" i="12"/>
  <c r="AI31" i="12"/>
  <c r="AC31" i="12"/>
  <c r="U31" i="12"/>
  <c r="R31" i="12"/>
  <c r="N31" i="12"/>
  <c r="AW33" i="12"/>
  <c r="AU33" i="12"/>
  <c r="AP33" i="12"/>
  <c r="AI33" i="12"/>
  <c r="AC33" i="12"/>
  <c r="U33" i="12"/>
  <c r="R33" i="12"/>
  <c r="N33" i="12"/>
  <c r="AW32" i="12"/>
  <c r="AU32" i="12"/>
  <c r="AP32" i="12"/>
  <c r="AI32" i="12"/>
  <c r="AC32" i="12"/>
  <c r="U32" i="12"/>
  <c r="R32" i="12"/>
  <c r="N32" i="12"/>
  <c r="AW22" i="12"/>
  <c r="AU22" i="12"/>
  <c r="AP22" i="12"/>
  <c r="AI22" i="12"/>
  <c r="AC22" i="12"/>
  <c r="U22" i="12"/>
  <c r="R22" i="12"/>
  <c r="N22" i="12"/>
  <c r="AW20" i="12"/>
  <c r="AU20" i="12"/>
  <c r="AP20" i="12"/>
  <c r="AI20" i="12"/>
  <c r="AC20" i="12"/>
  <c r="U20" i="12"/>
  <c r="R20" i="12"/>
  <c r="N20" i="12"/>
  <c r="AW16" i="12"/>
  <c r="AU16" i="12"/>
  <c r="AP16" i="12"/>
  <c r="AI16" i="12"/>
  <c r="AC16" i="12"/>
  <c r="U16" i="12"/>
  <c r="R16" i="12"/>
  <c r="N16" i="12"/>
  <c r="AW18" i="12"/>
  <c r="AU18" i="12"/>
  <c r="AP18" i="12"/>
  <c r="AI18" i="12"/>
  <c r="AC18" i="12"/>
  <c r="U18" i="12"/>
  <c r="R18" i="12"/>
  <c r="N18" i="12"/>
  <c r="AW19" i="12"/>
  <c r="AU19" i="12"/>
  <c r="AP19" i="12"/>
  <c r="AI19" i="12"/>
  <c r="AC19" i="12"/>
  <c r="U19" i="12"/>
  <c r="R19" i="12"/>
  <c r="N19" i="12"/>
  <c r="AW17" i="12"/>
  <c r="AU17" i="12"/>
  <c r="AP17" i="12"/>
  <c r="AI17" i="12"/>
  <c r="AC17" i="12"/>
  <c r="U17" i="12"/>
  <c r="R17" i="12"/>
  <c r="N17" i="12"/>
  <c r="AW21" i="12"/>
  <c r="AU21" i="12"/>
  <c r="AP21" i="12"/>
  <c r="AI21" i="12"/>
  <c r="AC21" i="12"/>
  <c r="U21" i="12"/>
  <c r="R21" i="12"/>
  <c r="N21" i="12"/>
  <c r="AW15" i="12"/>
  <c r="AU15" i="12"/>
  <c r="AP15" i="12"/>
  <c r="AI15" i="12"/>
  <c r="AC15" i="12"/>
  <c r="U15" i="12"/>
  <c r="R15" i="12"/>
  <c r="N15" i="12"/>
  <c r="AW14" i="12"/>
  <c r="AU14" i="12"/>
  <c r="AP14" i="12"/>
  <c r="AI14" i="12"/>
  <c r="AC14" i="12"/>
  <c r="U14" i="12"/>
  <c r="R14" i="12"/>
  <c r="N14" i="12"/>
  <c r="AW12" i="12"/>
  <c r="AU12" i="12"/>
  <c r="AP12" i="12"/>
  <c r="AI12" i="12"/>
  <c r="AC12" i="12"/>
  <c r="U12" i="12"/>
  <c r="R12" i="12"/>
  <c r="N12" i="12"/>
  <c r="AW2" i="12"/>
  <c r="AU2" i="12"/>
  <c r="AP2" i="12"/>
  <c r="AI2" i="12"/>
  <c r="AC2" i="12"/>
  <c r="U2" i="12"/>
  <c r="R2" i="12"/>
  <c r="N2" i="12"/>
  <c r="AW7" i="12"/>
  <c r="AU7" i="12"/>
  <c r="AP7" i="12"/>
  <c r="AI7" i="12"/>
  <c r="AC7" i="12"/>
  <c r="U7" i="12"/>
  <c r="R7" i="12"/>
  <c r="N7" i="12"/>
  <c r="AW10" i="12"/>
  <c r="AU10" i="12"/>
  <c r="AP10" i="12"/>
  <c r="AI10" i="12"/>
  <c r="AC10" i="12"/>
  <c r="U10" i="12"/>
  <c r="R10" i="12"/>
  <c r="N10" i="12"/>
  <c r="AW13" i="12"/>
  <c r="AU13" i="12"/>
  <c r="AP13" i="12"/>
  <c r="AI13" i="12"/>
  <c r="AC13" i="12"/>
  <c r="U13" i="12"/>
  <c r="R13" i="12"/>
  <c r="N13" i="12"/>
  <c r="AW11" i="12"/>
  <c r="AU11" i="12"/>
  <c r="AP11" i="12"/>
  <c r="AI11" i="12"/>
  <c r="AC11" i="12"/>
  <c r="U11" i="12"/>
  <c r="R11" i="12"/>
  <c r="N11" i="12"/>
  <c r="AW9" i="12"/>
  <c r="AU9" i="12"/>
  <c r="AP9" i="12"/>
  <c r="AI9" i="12"/>
  <c r="AC9" i="12"/>
  <c r="U9" i="12"/>
  <c r="R9" i="12"/>
  <c r="N9" i="12"/>
  <c r="AW8" i="12"/>
  <c r="AU8" i="12"/>
  <c r="AP8" i="12"/>
  <c r="AI8" i="12"/>
  <c r="AC8" i="12"/>
  <c r="U8" i="12"/>
  <c r="R8" i="12"/>
  <c r="N8" i="12"/>
  <c r="AW6" i="12"/>
  <c r="AU6" i="12"/>
  <c r="AP6" i="12"/>
  <c r="AI6" i="12"/>
  <c r="AC6" i="12"/>
  <c r="U6" i="12"/>
  <c r="R6" i="12"/>
  <c r="N6" i="12"/>
  <c r="AW5" i="12"/>
  <c r="AU5" i="12"/>
  <c r="AP5" i="12"/>
  <c r="AI5" i="12"/>
  <c r="AC5" i="12"/>
  <c r="U5" i="12"/>
  <c r="R5" i="12"/>
  <c r="N5" i="12"/>
  <c r="AW4" i="12"/>
  <c r="AU4" i="12"/>
  <c r="AP4" i="12"/>
  <c r="AI4" i="12"/>
  <c r="AC4" i="12"/>
  <c r="U4" i="12"/>
  <c r="R4" i="12"/>
  <c r="N4" i="12"/>
  <c r="AW3" i="12"/>
  <c r="AU3" i="12"/>
  <c r="AP3" i="12"/>
  <c r="AI3" i="12"/>
  <c r="AC3" i="12"/>
  <c r="U3" i="12"/>
  <c r="R3" i="12"/>
  <c r="N3" i="12"/>
  <c r="C3" i="12"/>
  <c r="B3" i="12"/>
  <c r="AV236" i="12" l="1"/>
  <c r="AV277" i="12"/>
  <c r="AV287" i="12"/>
  <c r="AX287" i="12" s="1"/>
  <c r="AV275" i="12"/>
  <c r="AX275" i="12" s="1"/>
  <c r="AV286" i="12"/>
  <c r="AV288" i="12"/>
  <c r="AX288" i="12" s="1"/>
  <c r="AV289" i="12"/>
  <c r="AX289" i="12" s="1"/>
  <c r="AV290" i="12"/>
  <c r="AX290" i="12" s="1"/>
  <c r="AV294" i="12"/>
  <c r="AX294" i="12" s="1"/>
  <c r="AV4" i="12"/>
  <c r="AX4" i="12" s="1"/>
  <c r="AV5" i="12"/>
  <c r="AX5" i="12" s="1"/>
  <c r="AV8" i="12"/>
  <c r="AX8" i="12" s="1"/>
  <c r="AV10" i="12"/>
  <c r="AX10" i="12" s="1"/>
  <c r="AV7" i="12"/>
  <c r="AX7" i="12" s="1"/>
  <c r="AV2" i="12"/>
  <c r="AX2" i="12" s="1"/>
  <c r="AV14" i="12"/>
  <c r="AX14" i="12" s="1"/>
  <c r="AV15" i="12"/>
  <c r="AX15" i="12" s="1"/>
  <c r="AV21" i="12"/>
  <c r="AX21" i="12" s="1"/>
  <c r="AV16" i="12"/>
  <c r="AX16" i="12" s="1"/>
  <c r="AV33" i="12"/>
  <c r="AX33" i="12" s="1"/>
  <c r="AV36" i="12"/>
  <c r="AX36" i="12" s="1"/>
  <c r="AV34" i="12"/>
  <c r="AX34" i="12" s="1"/>
  <c r="AV39" i="12"/>
  <c r="AX39" i="12" s="1"/>
  <c r="AV37" i="12"/>
  <c r="AX37" i="12" s="1"/>
  <c r="AV41" i="12"/>
  <c r="AX41" i="12" s="1"/>
  <c r="AV43" i="12"/>
  <c r="AX43" i="12" s="1"/>
  <c r="AV46" i="12"/>
  <c r="AX46" i="12" s="1"/>
  <c r="AV47" i="12"/>
  <c r="AX47" i="12" s="1"/>
  <c r="AV48" i="12"/>
  <c r="AX48" i="12" s="1"/>
  <c r="AV59" i="12"/>
  <c r="AX59" i="12" s="1"/>
  <c r="AV186" i="12"/>
  <c r="AX186" i="12" s="1"/>
  <c r="AV53" i="12"/>
  <c r="AX53" i="12" s="1"/>
  <c r="AV52" i="12"/>
  <c r="AX52" i="12" s="1"/>
  <c r="AV56" i="12"/>
  <c r="AX56" i="12" s="1"/>
  <c r="AV86" i="12"/>
  <c r="AX86" i="12" s="1"/>
  <c r="AX277" i="12"/>
  <c r="AX286" i="12"/>
  <c r="AV225" i="12"/>
  <c r="AX225" i="12" s="1"/>
  <c r="AV199" i="12"/>
  <c r="AX199" i="12" s="1"/>
  <c r="AV206" i="12"/>
  <c r="AX206" i="12" s="1"/>
  <c r="AV231" i="12"/>
  <c r="AX231" i="12" s="1"/>
  <c r="AV90" i="12"/>
  <c r="AX90" i="12" s="1"/>
  <c r="AV106" i="12"/>
  <c r="AX106" i="12" s="1"/>
  <c r="AV107" i="12"/>
  <c r="AX107" i="12" s="1"/>
  <c r="AV135" i="12"/>
  <c r="AX135" i="12" s="1"/>
  <c r="AV261" i="12"/>
  <c r="AX261" i="12" s="1"/>
  <c r="AV258" i="12"/>
  <c r="AX258" i="12" s="1"/>
  <c r="AV264" i="12"/>
  <c r="AX264" i="12" s="1"/>
  <c r="AV279" i="12"/>
  <c r="AX279" i="12" s="1"/>
  <c r="AV269" i="12"/>
  <c r="AX269" i="12" s="1"/>
  <c r="AV67" i="12"/>
  <c r="AX67" i="12" s="1"/>
  <c r="AV73" i="12"/>
  <c r="AX73" i="12" s="1"/>
  <c r="AV83" i="12"/>
  <c r="AX83" i="12" s="1"/>
  <c r="AV141" i="12"/>
  <c r="AX141" i="12" s="1"/>
  <c r="AV111" i="12"/>
  <c r="AX111" i="12" s="1"/>
  <c r="AV112" i="12"/>
  <c r="AX112" i="12" s="1"/>
  <c r="AV113" i="12"/>
  <c r="AX113" i="12" s="1"/>
  <c r="AV117" i="12"/>
  <c r="AX117" i="12" s="1"/>
  <c r="AV196" i="12"/>
  <c r="AX196" i="12" s="1"/>
  <c r="AV195" i="12"/>
  <c r="AX195" i="12" s="1"/>
  <c r="AV194" i="12"/>
  <c r="AX194" i="12" s="1"/>
  <c r="AV164" i="12"/>
  <c r="AX164" i="12" s="1"/>
  <c r="AV165" i="12"/>
  <c r="AX165" i="12" s="1"/>
  <c r="AV161" i="12"/>
  <c r="AX161" i="12" s="1"/>
  <c r="AV147" i="12"/>
  <c r="AX147" i="12" s="1"/>
  <c r="AV144" i="12"/>
  <c r="AX144" i="12" s="1"/>
  <c r="AV146" i="12"/>
  <c r="AX146" i="12" s="1"/>
  <c r="AV150" i="12"/>
  <c r="AX150" i="12" s="1"/>
  <c r="AV151" i="12"/>
  <c r="AX151" i="12" s="1"/>
  <c r="AV172" i="12"/>
  <c r="AX172" i="12" s="1"/>
  <c r="AV174" i="12"/>
  <c r="AX174" i="12" s="1"/>
  <c r="AV178" i="12"/>
  <c r="AX178" i="12" s="1"/>
  <c r="AV185" i="12"/>
  <c r="AX185" i="12" s="1"/>
  <c r="AV211" i="12"/>
  <c r="AX211" i="12" s="1"/>
  <c r="AV216" i="12"/>
  <c r="AX216" i="12" s="1"/>
  <c r="AV204" i="12"/>
  <c r="AX204" i="12" s="1"/>
  <c r="AV215" i="12"/>
  <c r="AX215" i="12" s="1"/>
  <c r="AV202" i="12"/>
  <c r="AX202" i="12" s="1"/>
  <c r="AV209" i="12"/>
  <c r="AX209" i="12" s="1"/>
  <c r="AV219" i="12"/>
  <c r="AX219" i="12" s="1"/>
  <c r="AV220" i="12"/>
  <c r="AX220" i="12" s="1"/>
  <c r="AV213" i="12"/>
  <c r="AX213" i="12" s="1"/>
  <c r="AV233" i="12"/>
  <c r="AX233" i="12" s="1"/>
  <c r="AV271" i="12"/>
  <c r="AX271" i="12" s="1"/>
  <c r="AV262" i="12"/>
  <c r="AX262" i="12" s="1"/>
  <c r="AV3" i="12"/>
  <c r="AX3" i="12" s="1"/>
  <c r="AV11" i="12"/>
  <c r="AX11" i="12" s="1"/>
  <c r="AV19" i="12"/>
  <c r="AX19" i="12" s="1"/>
  <c r="AV22" i="12"/>
  <c r="AX22" i="12" s="1"/>
  <c r="AV210" i="12"/>
  <c r="AX210" i="12" s="1"/>
  <c r="AV267" i="12"/>
  <c r="AX267" i="12" s="1"/>
  <c r="AV29" i="12"/>
  <c r="AX29" i="12" s="1"/>
  <c r="AV44" i="12"/>
  <c r="AX44" i="12" s="1"/>
  <c r="AV50" i="12"/>
  <c r="AX50" i="12" s="1"/>
  <c r="AV128" i="12"/>
  <c r="AX128" i="12" s="1"/>
  <c r="AV198" i="12"/>
  <c r="AX198" i="12" s="1"/>
  <c r="AV192" i="12"/>
  <c r="AX192" i="12" s="1"/>
  <c r="AV68" i="12"/>
  <c r="AX68" i="12" s="1"/>
  <c r="AV72" i="12"/>
  <c r="AX72" i="12" s="1"/>
  <c r="AV70" i="12"/>
  <c r="AX70" i="12" s="1"/>
  <c r="AV76" i="12"/>
  <c r="AX76" i="12" s="1"/>
  <c r="AV79" i="12"/>
  <c r="AX79" i="12" s="1"/>
  <c r="AV80" i="12"/>
  <c r="AX80" i="12" s="1"/>
  <c r="AV157" i="12"/>
  <c r="AX157" i="12" s="1"/>
  <c r="AV143" i="12"/>
  <c r="AX143" i="12" s="1"/>
  <c r="AV176" i="12"/>
  <c r="AX176" i="12" s="1"/>
  <c r="AX236" i="12"/>
  <c r="AV238" i="12"/>
  <c r="AX238" i="12" s="1"/>
  <c r="AV259" i="12"/>
  <c r="AX259" i="12" s="1"/>
  <c r="AV252" i="12"/>
  <c r="AX252" i="12" s="1"/>
  <c r="AV253" i="12"/>
  <c r="AX253" i="12" s="1"/>
  <c r="AV256" i="12"/>
  <c r="AX256" i="12" s="1"/>
  <c r="AV295" i="12"/>
  <c r="AX295" i="12" s="1"/>
  <c r="AV100" i="12"/>
  <c r="AX100" i="12" s="1"/>
  <c r="AV96" i="12"/>
  <c r="AX96" i="12" s="1"/>
  <c r="AV102" i="12"/>
  <c r="AX102" i="12" s="1"/>
  <c r="AV92" i="12"/>
  <c r="AX92" i="12" s="1"/>
  <c r="AV103" i="12"/>
  <c r="AX103" i="12" s="1"/>
  <c r="AV104" i="12"/>
  <c r="AX104" i="12" s="1"/>
  <c r="AV99" i="12"/>
  <c r="AX99" i="12" s="1"/>
  <c r="AV95" i="12"/>
  <c r="AX95" i="12" s="1"/>
  <c r="AV109" i="12"/>
  <c r="AX109" i="12" s="1"/>
  <c r="AV131" i="12"/>
  <c r="AX131" i="12" s="1"/>
  <c r="AV251" i="12"/>
  <c r="AX251" i="12" s="1"/>
  <c r="AV245" i="12"/>
  <c r="AX245" i="12" s="1"/>
  <c r="AV243" i="12"/>
  <c r="AX243" i="12" s="1"/>
  <c r="AV242" i="12"/>
  <c r="AX242" i="12" s="1"/>
  <c r="AV249" i="12"/>
  <c r="AX249" i="12" s="1"/>
  <c r="AV247" i="12"/>
  <c r="AX247" i="12" s="1"/>
  <c r="AV244" i="12"/>
  <c r="AX244" i="12" s="1"/>
  <c r="AV207" i="12"/>
  <c r="AX207" i="12" s="1"/>
  <c r="AV35" i="12"/>
  <c r="AX35" i="12" s="1"/>
  <c r="AV25" i="12"/>
  <c r="AX25" i="12" s="1"/>
  <c r="AV24" i="12"/>
  <c r="AX24" i="12" s="1"/>
  <c r="AV27" i="12"/>
  <c r="AX27" i="12" s="1"/>
  <c r="AV28" i="12"/>
  <c r="AX28" i="12" s="1"/>
  <c r="AV30" i="12"/>
  <c r="AX30" i="12" s="1"/>
  <c r="AV58" i="12"/>
  <c r="AX58" i="12" s="1"/>
  <c r="AV60" i="12"/>
  <c r="AX60" i="12" s="1"/>
  <c r="AV65" i="12"/>
  <c r="AX65" i="12" s="1"/>
  <c r="AV61" i="12"/>
  <c r="AX61" i="12" s="1"/>
  <c r="AV64" i="12"/>
  <c r="AX64" i="12" s="1"/>
  <c r="AV89" i="12"/>
  <c r="AX89" i="12" s="1"/>
  <c r="AV87" i="12"/>
  <c r="AX87" i="12" s="1"/>
  <c r="AV88" i="12"/>
  <c r="AX88" i="12" s="1"/>
  <c r="AV139" i="12"/>
  <c r="AX139" i="12" s="1"/>
  <c r="AV125" i="12"/>
  <c r="AX125" i="12" s="1"/>
  <c r="AV129" i="12"/>
  <c r="AX129" i="12" s="1"/>
  <c r="AV126" i="12"/>
  <c r="AX126" i="12" s="1"/>
  <c r="AV155" i="12"/>
  <c r="AX155" i="12" s="1"/>
  <c r="AV153" i="12"/>
  <c r="AX153" i="12" s="1"/>
  <c r="AV163" i="12"/>
  <c r="AX163" i="12" s="1"/>
  <c r="AV154" i="12"/>
  <c r="AX154" i="12" s="1"/>
  <c r="AV224" i="12"/>
  <c r="AX224" i="12" s="1"/>
  <c r="AV221" i="12"/>
  <c r="AX221" i="12" s="1"/>
  <c r="AV229" i="12"/>
  <c r="AX229" i="12" s="1"/>
  <c r="AV223" i="12"/>
  <c r="AX223" i="12" s="1"/>
  <c r="AV227" i="12"/>
  <c r="AX227" i="12" s="1"/>
  <c r="AV226" i="12"/>
  <c r="AX226" i="12" s="1"/>
  <c r="AV237" i="12"/>
  <c r="AX237" i="12" s="1"/>
  <c r="AV239" i="12"/>
  <c r="AX239" i="12" s="1"/>
  <c r="AV241" i="12"/>
  <c r="AX241" i="12" s="1"/>
  <c r="AV260" i="12"/>
  <c r="AX260" i="12" s="1"/>
  <c r="AV266" i="12"/>
  <c r="AX266" i="12" s="1"/>
  <c r="AV283" i="12"/>
  <c r="AX283" i="12" s="1"/>
  <c r="AV281" i="12"/>
  <c r="AX281" i="12" s="1"/>
  <c r="AV248" i="12"/>
  <c r="AX248" i="12" s="1"/>
  <c r="AV93" i="12"/>
  <c r="AX93" i="12" s="1"/>
  <c r="AV116" i="12"/>
  <c r="AX116" i="12" s="1"/>
  <c r="AV119" i="12"/>
  <c r="AX119" i="12" s="1"/>
  <c r="AV120" i="12"/>
  <c r="AX120" i="12" s="1"/>
  <c r="AV121" i="12"/>
  <c r="AX121" i="12" s="1"/>
  <c r="AV123" i="12"/>
  <c r="AX123" i="12" s="1"/>
  <c r="AV149" i="12"/>
  <c r="AX149" i="12" s="1"/>
  <c r="AV168" i="12"/>
  <c r="AX168" i="12" s="1"/>
  <c r="AV169" i="12"/>
  <c r="AX169" i="12" s="1"/>
  <c r="AV170" i="12"/>
  <c r="AX170" i="12" s="1"/>
  <c r="AV171" i="12"/>
  <c r="AX171" i="12" s="1"/>
  <c r="AV200" i="12"/>
  <c r="AX200" i="12" s="1"/>
  <c r="AV205" i="12"/>
  <c r="AX205" i="12" s="1"/>
  <c r="AV66" i="12"/>
  <c r="AX66" i="12" s="1"/>
  <c r="AV18" i="12"/>
  <c r="AX18" i="12" s="1"/>
  <c r="AV51" i="12"/>
  <c r="AX51" i="12" s="1"/>
  <c r="AV133" i="12"/>
  <c r="AX133" i="12" s="1"/>
  <c r="AV177" i="12"/>
  <c r="AX177" i="12" s="1"/>
  <c r="AV217" i="12"/>
  <c r="AX217" i="12" s="1"/>
  <c r="AV208" i="12"/>
  <c r="AX208" i="12" s="1"/>
  <c r="AV203" i="12"/>
  <c r="AX203" i="12" s="1"/>
  <c r="AV230" i="12"/>
  <c r="AX230" i="12" s="1"/>
  <c r="AV232" i="12"/>
  <c r="AX232" i="12" s="1"/>
  <c r="AV156" i="12"/>
  <c r="AX156" i="12" s="1"/>
  <c r="AV159" i="12"/>
  <c r="AX159" i="12" s="1"/>
  <c r="AV158" i="12"/>
  <c r="AX158" i="12" s="1"/>
  <c r="AV162" i="12"/>
  <c r="AX162" i="12" s="1"/>
  <c r="AV180" i="12"/>
  <c r="AX180" i="12" s="1"/>
  <c r="AV181" i="12"/>
  <c r="AX181" i="12" s="1"/>
  <c r="AV183" i="12"/>
  <c r="AX183" i="12" s="1"/>
  <c r="AV190" i="12"/>
  <c r="AX190" i="12" s="1"/>
  <c r="AV187" i="12"/>
  <c r="AX187" i="12" s="1"/>
  <c r="AV189" i="12"/>
  <c r="AX189" i="12" s="1"/>
  <c r="AV184" i="12"/>
  <c r="AX184" i="12" s="1"/>
  <c r="AV273" i="12"/>
  <c r="AX273" i="12" s="1"/>
  <c r="AV278" i="12"/>
  <c r="AX278" i="12" s="1"/>
  <c r="AV268" i="12"/>
  <c r="AX268" i="12" s="1"/>
  <c r="AV276" i="12"/>
  <c r="AX276" i="12" s="1"/>
  <c r="AX293" i="12"/>
  <c r="AV235" i="12"/>
  <c r="AX235" i="12" s="1"/>
  <c r="AV13" i="12"/>
  <c r="AX13" i="12" s="1"/>
  <c r="AV31" i="12"/>
  <c r="AX31" i="12" s="1"/>
  <c r="AV42" i="12"/>
  <c r="AX42" i="12" s="1"/>
  <c r="AV57" i="12"/>
  <c r="AX57" i="12" s="1"/>
  <c r="AV75" i="12"/>
  <c r="AX75" i="12" s="1"/>
  <c r="AV136" i="12"/>
  <c r="AX136" i="12" s="1"/>
  <c r="AV118" i="12"/>
  <c r="AX118" i="12" s="1"/>
  <c r="AV152" i="12"/>
  <c r="AX152" i="12" s="1"/>
  <c r="AV167" i="12"/>
  <c r="AX167" i="12" s="1"/>
  <c r="AV179" i="12"/>
  <c r="AX179" i="12" s="1"/>
  <c r="AV222" i="12"/>
  <c r="AX222" i="12" s="1"/>
  <c r="AV246" i="12"/>
  <c r="AX246" i="12" s="1"/>
  <c r="AV201" i="12"/>
  <c r="AX201" i="12" s="1"/>
  <c r="AV270" i="12"/>
  <c r="AX270" i="12" s="1"/>
  <c r="AV280" i="12"/>
  <c r="AX280" i="12" s="1"/>
  <c r="AV272" i="12"/>
  <c r="AX272" i="12" s="1"/>
  <c r="AV12" i="12"/>
  <c r="AX12" i="12" s="1"/>
  <c r="AV26" i="12"/>
  <c r="AX26" i="12" s="1"/>
  <c r="AV45" i="12"/>
  <c r="AX45" i="12" s="1"/>
  <c r="AV62" i="12"/>
  <c r="AX62" i="12" s="1"/>
  <c r="AV85" i="12"/>
  <c r="AX85" i="12" s="1"/>
  <c r="AV134" i="12"/>
  <c r="AX134" i="12" s="1"/>
  <c r="AV138" i="12"/>
  <c r="AX138" i="12" s="1"/>
  <c r="AV130" i="12"/>
  <c r="AX130" i="12" s="1"/>
  <c r="AV122" i="12"/>
  <c r="AX122" i="12" s="1"/>
  <c r="AV142" i="12"/>
  <c r="AX142" i="12" s="1"/>
  <c r="AV182" i="12"/>
  <c r="AX182" i="12" s="1"/>
  <c r="AV250" i="12"/>
  <c r="AX250" i="12" s="1"/>
  <c r="AV218" i="12"/>
  <c r="AX218" i="12" s="1"/>
  <c r="AV257" i="12"/>
  <c r="AX257" i="12" s="1"/>
  <c r="AV254" i="12"/>
  <c r="AX254" i="12" s="1"/>
  <c r="AV284" i="12"/>
  <c r="AX284" i="12" s="1"/>
  <c r="AV285" i="12"/>
  <c r="AX285" i="12" s="1"/>
  <c r="AV17" i="12"/>
  <c r="AX17" i="12" s="1"/>
  <c r="AV23" i="12"/>
  <c r="AX23" i="12" s="1"/>
  <c r="AV49" i="12"/>
  <c r="AX49" i="12" s="1"/>
  <c r="AV74" i="12"/>
  <c r="AX74" i="12" s="1"/>
  <c r="AV81" i="12"/>
  <c r="AX81" i="12" s="1"/>
  <c r="AV82" i="12"/>
  <c r="AX82" i="12" s="1"/>
  <c r="AV140" i="12"/>
  <c r="AX140" i="12" s="1"/>
  <c r="AV110" i="12"/>
  <c r="AX110" i="12" s="1"/>
  <c r="AV197" i="12"/>
  <c r="AX197" i="12" s="1"/>
  <c r="AV166" i="12"/>
  <c r="AX166" i="12" s="1"/>
  <c r="AV145" i="12"/>
  <c r="AX145" i="12" s="1"/>
  <c r="AV173" i="12"/>
  <c r="AX173" i="12" s="1"/>
  <c r="AV228" i="12"/>
  <c r="AX228" i="12" s="1"/>
  <c r="AV212" i="12"/>
  <c r="AX212" i="12" s="1"/>
  <c r="AV240" i="12"/>
  <c r="AX240" i="12" s="1"/>
  <c r="AV255" i="12"/>
  <c r="AX255" i="12" s="1"/>
  <c r="AV296" i="12"/>
  <c r="AX296" i="12" s="1"/>
  <c r="AV6" i="12"/>
  <c r="AX6" i="12" s="1"/>
  <c r="AV20" i="12"/>
  <c r="AX20" i="12" s="1"/>
  <c r="AV38" i="12"/>
  <c r="AX38" i="12" s="1"/>
  <c r="AV54" i="12"/>
  <c r="AX54" i="12" s="1"/>
  <c r="AV69" i="12"/>
  <c r="AX69" i="12" s="1"/>
  <c r="AV63" i="12"/>
  <c r="AX63" i="12" s="1"/>
  <c r="AV105" i="12"/>
  <c r="AX105" i="12" s="1"/>
  <c r="AV114" i="12"/>
  <c r="AX114" i="12" s="1"/>
  <c r="AV193" i="12"/>
  <c r="AX193" i="12" s="1"/>
  <c r="AV160" i="12"/>
  <c r="AX160" i="12" s="1"/>
  <c r="AV148" i="12"/>
  <c r="AX148" i="12" s="1"/>
  <c r="AV175" i="12"/>
  <c r="AX175" i="12" s="1"/>
  <c r="AV188" i="12"/>
  <c r="AX188" i="12" s="1"/>
  <c r="AV214" i="12"/>
  <c r="AX214" i="12" s="1"/>
  <c r="AV265" i="12"/>
  <c r="AX265" i="12" s="1"/>
  <c r="AV263" i="12"/>
  <c r="AX263" i="12" s="1"/>
  <c r="AV274" i="12"/>
  <c r="AX274" i="12" s="1"/>
  <c r="AV291" i="12"/>
  <c r="AX291" i="12" s="1"/>
  <c r="AV292" i="12"/>
  <c r="AX292" i="12" s="1"/>
  <c r="AV9" i="12"/>
  <c r="AX9" i="12" s="1"/>
  <c r="AV32" i="12"/>
  <c r="AX32" i="12" s="1"/>
  <c r="AV40" i="12"/>
  <c r="AX40" i="12" s="1"/>
  <c r="AV55" i="12"/>
  <c r="AX55" i="12" s="1"/>
  <c r="AV97" i="12"/>
  <c r="AX97" i="12" s="1"/>
  <c r="AV91" i="12"/>
  <c r="AX91" i="12" s="1"/>
  <c r="AV234" i="12"/>
  <c r="AX234" i="12" s="1"/>
  <c r="AX282" i="12"/>
  <c r="AV77" i="12"/>
  <c r="AX77" i="12" s="1"/>
  <c r="AV94" i="12"/>
  <c r="AX94" i="12" s="1"/>
  <c r="AV132" i="12"/>
  <c r="AX132" i="12" s="1"/>
  <c r="AV137" i="12"/>
  <c r="AX137" i="12" s="1"/>
  <c r="AV127" i="12"/>
  <c r="AX127" i="12" s="1"/>
  <c r="AV115" i="12"/>
  <c r="AX115" i="12" s="1"/>
  <c r="AV124" i="12"/>
  <c r="AX124" i="12" s="1"/>
  <c r="AV191" i="12"/>
  <c r="AX191" i="12" s="1"/>
  <c r="AV78" i="12"/>
  <c r="AX78" i="12" s="1"/>
  <c r="AV98" i="12"/>
  <c r="AX98" i="12" s="1"/>
  <c r="AV108" i="12"/>
  <c r="AX108" i="12" s="1"/>
  <c r="AV71" i="12"/>
  <c r="AX71" i="12" s="1"/>
  <c r="AV84" i="12"/>
  <c r="AX84" i="12" s="1"/>
  <c r="AV101" i="12"/>
  <c r="AX101" i="12" s="1"/>
  <c r="J11" i="8" l="1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J5" i="8"/>
  <c r="B5" i="8"/>
  <c r="AP5" i="4" l="1"/>
  <c r="AP6" i="4"/>
  <c r="AP8" i="4"/>
  <c r="AP9" i="4"/>
  <c r="AP11" i="4"/>
  <c r="AP13" i="4"/>
  <c r="AP10" i="4"/>
  <c r="AP7" i="4"/>
  <c r="AP2" i="4"/>
  <c r="AP12" i="4"/>
  <c r="AP14" i="4"/>
  <c r="AP19" i="4"/>
  <c r="AP17" i="4"/>
  <c r="AP15" i="4"/>
  <c r="AP22" i="4"/>
  <c r="AP21" i="4"/>
  <c r="AP20" i="4"/>
  <c r="AP16" i="4"/>
  <c r="AP18" i="4"/>
  <c r="AP23" i="4"/>
  <c r="AP27" i="4"/>
  <c r="AP24" i="4"/>
  <c r="AP28" i="4"/>
  <c r="AP25" i="4"/>
  <c r="AP29" i="4"/>
  <c r="AP26" i="4"/>
  <c r="AP30" i="4"/>
  <c r="AP31" i="4"/>
  <c r="AP33" i="4"/>
  <c r="AP32" i="4"/>
  <c r="AP40" i="4"/>
  <c r="AP41" i="4"/>
  <c r="AP34" i="4"/>
  <c r="AP36" i="4"/>
  <c r="AP37" i="4"/>
  <c r="AP38" i="4"/>
  <c r="AP44" i="4"/>
  <c r="AP42" i="4"/>
  <c r="AP35" i="4"/>
  <c r="AP39" i="4"/>
  <c r="AP43" i="4"/>
  <c r="AP45" i="4"/>
  <c r="AP46" i="4"/>
  <c r="AP50" i="4"/>
  <c r="AP51" i="4"/>
  <c r="AP52" i="4"/>
  <c r="AP53" i="4"/>
  <c r="AP54" i="4"/>
  <c r="AP56" i="4"/>
  <c r="AP47" i="4"/>
  <c r="AP55" i="4"/>
  <c r="AP48" i="4"/>
  <c r="AP49" i="4"/>
  <c r="AP57" i="4"/>
  <c r="AP58" i="4"/>
  <c r="AP68" i="4"/>
  <c r="AP74" i="4"/>
  <c r="AP71" i="4"/>
  <c r="AP70" i="4"/>
  <c r="AP73" i="4"/>
  <c r="AP76" i="4"/>
  <c r="AP59" i="4"/>
  <c r="AP75" i="4"/>
  <c r="AP77" i="4"/>
  <c r="AP81" i="4"/>
  <c r="AP80" i="4"/>
  <c r="AP78" i="4"/>
  <c r="AP79" i="4"/>
  <c r="AP82" i="4"/>
  <c r="AP60" i="4"/>
  <c r="AP61" i="4"/>
  <c r="AP63" i="4"/>
  <c r="AP64" i="4"/>
  <c r="AP83" i="4"/>
  <c r="AP65" i="4"/>
  <c r="AP66" i="4"/>
  <c r="AP84" i="4"/>
  <c r="AP69" i="4"/>
  <c r="AP67" i="4"/>
  <c r="AP62" i="4"/>
  <c r="AP72" i="4"/>
  <c r="AP85" i="4"/>
  <c r="AP90" i="4"/>
  <c r="AP87" i="4"/>
  <c r="AP86" i="4"/>
  <c r="AP88" i="4"/>
  <c r="AP89" i="4"/>
  <c r="AP91" i="4"/>
  <c r="AP92" i="4"/>
  <c r="AP103" i="4"/>
  <c r="AP98" i="4"/>
  <c r="AP94" i="4"/>
  <c r="AP102" i="4"/>
  <c r="AP96" i="4"/>
  <c r="AP93" i="4"/>
  <c r="AP95" i="4"/>
  <c r="AP97" i="4"/>
  <c r="AP100" i="4"/>
  <c r="AP106" i="4"/>
  <c r="AP107" i="4"/>
  <c r="AP104" i="4"/>
  <c r="AP105" i="4"/>
  <c r="AP101" i="4"/>
  <c r="AP99" i="4"/>
  <c r="AP108" i="4"/>
  <c r="AP109" i="4"/>
  <c r="AP111" i="4"/>
  <c r="AP110" i="4"/>
  <c r="AP112" i="4"/>
  <c r="AP116" i="4"/>
  <c r="AP117" i="4"/>
  <c r="AP118" i="4"/>
  <c r="AP119" i="4"/>
  <c r="AP120" i="4"/>
  <c r="AP122" i="4"/>
  <c r="AP121" i="4"/>
  <c r="AP113" i="4"/>
  <c r="AP114" i="4"/>
  <c r="AP115" i="4"/>
  <c r="AP123" i="4"/>
  <c r="AP124" i="4"/>
  <c r="AP125" i="4"/>
  <c r="AP126" i="4"/>
  <c r="AP127" i="4"/>
  <c r="AP128" i="4"/>
  <c r="AP129" i="4"/>
  <c r="AP133" i="4"/>
  <c r="AP130" i="4"/>
  <c r="AP131" i="4"/>
  <c r="AP132" i="4"/>
  <c r="AP136" i="4"/>
  <c r="AP140" i="4"/>
  <c r="AP143" i="4"/>
  <c r="AP141" i="4"/>
  <c r="AP135" i="4"/>
  <c r="AP134" i="4"/>
  <c r="AP137" i="4"/>
  <c r="AP139" i="4"/>
  <c r="AP142" i="4"/>
  <c r="AP138" i="4"/>
  <c r="AP144" i="4"/>
  <c r="AP151" i="4"/>
  <c r="AP152" i="4"/>
  <c r="AP146" i="4"/>
  <c r="AP153" i="4"/>
  <c r="AP145" i="4"/>
  <c r="AP147" i="4"/>
  <c r="AP148" i="4"/>
  <c r="AP149" i="4"/>
  <c r="AP154" i="4"/>
  <c r="AP150" i="4"/>
  <c r="AP169" i="4"/>
  <c r="AP165" i="4"/>
  <c r="AP166" i="4"/>
  <c r="AP159" i="4"/>
  <c r="AP158" i="4"/>
  <c r="AP168" i="4"/>
  <c r="AP163" i="4"/>
  <c r="AP164" i="4"/>
  <c r="AP161" i="4"/>
  <c r="AP160" i="4"/>
  <c r="AP167" i="4"/>
  <c r="AP157" i="4"/>
  <c r="AP155" i="4"/>
  <c r="AP162" i="4"/>
  <c r="AP156" i="4"/>
  <c r="AP177" i="4"/>
  <c r="AP178" i="4"/>
  <c r="AP170" i="4"/>
  <c r="AP179" i="4"/>
  <c r="AP180" i="4"/>
  <c r="AP181" i="4"/>
  <c r="AP171" i="4"/>
  <c r="AP172" i="4"/>
  <c r="AP173" i="4"/>
  <c r="AP174" i="4"/>
  <c r="AP175" i="4"/>
  <c r="AP182" i="4"/>
  <c r="AP176" i="4"/>
  <c r="AP183" i="4"/>
  <c r="AP184" i="4"/>
  <c r="AP189" i="4"/>
  <c r="AP188" i="4"/>
  <c r="AP195" i="4"/>
  <c r="AP187" i="4"/>
  <c r="AP194" i="4"/>
  <c r="AP185" i="4"/>
  <c r="AP186" i="4"/>
  <c r="AP191" i="4"/>
  <c r="AP190" i="4"/>
  <c r="AP192" i="4"/>
  <c r="AP193" i="4"/>
  <c r="AP199" i="4"/>
  <c r="AP200" i="4"/>
  <c r="AP201" i="4"/>
  <c r="AP196" i="4"/>
  <c r="AP202" i="4"/>
  <c r="AP198" i="4"/>
  <c r="AP203" i="4"/>
  <c r="AP197" i="4"/>
  <c r="AP219" i="4"/>
  <c r="AP211" i="4"/>
  <c r="AP220" i="4"/>
  <c r="AP222" i="4"/>
  <c r="AP224" i="4"/>
  <c r="AP213" i="4"/>
  <c r="AP215" i="4"/>
  <c r="AP214" i="4"/>
  <c r="AP223" i="4"/>
  <c r="AP216" i="4"/>
  <c r="AP207" i="4"/>
  <c r="AP206" i="4"/>
  <c r="AP225" i="4"/>
  <c r="AP204" i="4"/>
  <c r="AP205" i="4"/>
  <c r="AP209" i="4"/>
  <c r="AP217" i="4"/>
  <c r="AP218" i="4"/>
  <c r="AP212" i="4"/>
  <c r="AP210" i="4"/>
  <c r="AP208" i="4"/>
  <c r="AP221" i="4"/>
  <c r="AP232" i="4"/>
  <c r="AP227" i="4"/>
  <c r="AP231" i="4"/>
  <c r="AP234" i="4"/>
  <c r="AP226" i="4"/>
  <c r="AP229" i="4"/>
  <c r="AP233" i="4"/>
  <c r="AP228" i="4"/>
  <c r="AP230" i="4"/>
  <c r="AP240" i="4"/>
  <c r="AP239" i="4"/>
  <c r="AP241" i="4"/>
  <c r="AP236" i="4"/>
  <c r="AP235" i="4"/>
  <c r="AP237" i="4"/>
  <c r="AP238" i="4"/>
  <c r="AP244" i="4"/>
  <c r="AP246" i="4"/>
  <c r="AP242" i="4"/>
  <c r="AP243" i="4"/>
  <c r="AP245" i="4"/>
  <c r="AP256" i="4"/>
  <c r="AP250" i="4"/>
  <c r="AP253" i="4"/>
  <c r="AP248" i="4"/>
  <c r="AP247" i="4"/>
  <c r="AP251" i="4"/>
  <c r="AP254" i="4"/>
  <c r="AP252" i="4"/>
  <c r="AP249" i="4"/>
  <c r="AP255" i="4"/>
  <c r="AP258" i="4"/>
  <c r="AP257" i="4"/>
  <c r="AP259" i="4"/>
  <c r="AP260" i="4"/>
  <c r="AP261" i="4"/>
  <c r="AP262" i="4"/>
  <c r="AP265" i="4"/>
  <c r="AP266" i="4"/>
  <c r="AP267" i="4"/>
  <c r="AP264" i="4"/>
  <c r="AP268" i="4"/>
  <c r="AP269" i="4"/>
  <c r="AP270" i="4"/>
  <c r="AP271" i="4"/>
  <c r="AP272" i="4"/>
  <c r="AP263" i="4"/>
  <c r="AP285" i="4"/>
  <c r="AP273" i="4"/>
  <c r="AP275" i="4"/>
  <c r="AP274" i="4"/>
  <c r="AP283" i="4"/>
  <c r="AP279" i="4"/>
  <c r="AP281" i="4"/>
  <c r="AP278" i="4"/>
  <c r="AP277" i="4"/>
  <c r="AP276" i="4"/>
  <c r="AP284" i="4"/>
  <c r="AP280" i="4"/>
  <c r="AP282" i="4"/>
  <c r="AP287" i="4"/>
  <c r="AP291" i="4"/>
  <c r="AP292" i="4"/>
  <c r="AP293" i="4"/>
  <c r="AP288" i="4"/>
  <c r="AP286" i="4"/>
  <c r="AP290" i="4"/>
  <c r="AP296" i="4"/>
  <c r="AP294" i="4"/>
  <c r="AP295" i="4"/>
  <c r="AP289" i="4"/>
  <c r="AP299" i="4"/>
  <c r="AP297" i="4"/>
  <c r="AP298" i="4"/>
  <c r="AP3" i="4"/>
</calcChain>
</file>

<file path=xl/sharedStrings.xml><?xml version="1.0" encoding="utf-8"?>
<sst xmlns="http://schemas.openxmlformats.org/spreadsheetml/2006/main" count="27975" uniqueCount="1678">
  <si>
    <t>UF</t>
  </si>
  <si>
    <t>Estatal</t>
  </si>
  <si>
    <t>Sigla</t>
  </si>
  <si>
    <t>CNPJ</t>
  </si>
  <si>
    <t>Situação</t>
  </si>
  <si>
    <t>Setor</t>
  </si>
  <si>
    <t>Espécie</t>
  </si>
  <si>
    <t>Organização jurídica</t>
  </si>
  <si>
    <t>Tipo de Capital</t>
  </si>
  <si>
    <t>Listada em Bolsa</t>
  </si>
  <si>
    <t>É Subsidiária</t>
  </si>
  <si>
    <t>Dependência</t>
  </si>
  <si>
    <t>Número de Empregados (incluindo temporários e terceirizados)</t>
  </si>
  <si>
    <t>Possui Conselho de Administração</t>
  </si>
  <si>
    <t>Possui Conselho Fiscal</t>
  </si>
  <si>
    <t>Possui Comitê de Autidoria</t>
  </si>
  <si>
    <t>Link Carta Anual</t>
  </si>
  <si>
    <t>Receita Líquida Operacional</t>
  </si>
  <si>
    <t>Despesa com Pessoal, incluindo temporários e terceirizados (por competência)</t>
  </si>
  <si>
    <t>Despesa Total (por competência)</t>
  </si>
  <si>
    <t>Investimento (por competência)</t>
  </si>
  <si>
    <t>Foi Distribuído PLR ou RVA no exercício</t>
  </si>
  <si>
    <t>Remuneração bruta total paga no ano (empregado que recebeu a maior remuneração)</t>
  </si>
  <si>
    <t>PLR ou RVA pagos no ano (empregado que recebeu a maior remuneração)</t>
  </si>
  <si>
    <t>Indenizações pagas no ano (empregado que recebeu a maior remuneração)</t>
  </si>
  <si>
    <t>Lucro / Prejuízo Líquido do Exercício</t>
  </si>
  <si>
    <t>Patrimônio Líquido</t>
  </si>
  <si>
    <t>Valor de Mercado</t>
  </si>
  <si>
    <t>Dividendos e Juros sobre Capital Próprio pagos ao Tesouro Estadual / Municipal (pago)</t>
  </si>
  <si>
    <t>Subvenções - Exercício anterior</t>
  </si>
  <si>
    <t xml:space="preserve"> Subvenções - Exercício</t>
  </si>
  <si>
    <t>Passivos - Exercício anterior</t>
  </si>
  <si>
    <t>Passivos - exercício</t>
  </si>
  <si>
    <t>Reforço de Capital - Exercício anterior</t>
  </si>
  <si>
    <t>Reforço de Capital - Exercício</t>
  </si>
  <si>
    <t>Ações ou cotas - Exercício anterior</t>
  </si>
  <si>
    <t>Ações ou cotas - Exercício</t>
  </si>
  <si>
    <t>Capital Social Integralizado - Exercício anterior</t>
  </si>
  <si>
    <t>Capital Social Integralizado - Exercício</t>
  </si>
  <si>
    <t>Capital Social a Integralizar -Exercício anterior</t>
  </si>
  <si>
    <t xml:space="preserve"> Capital Social a Integralizar - Exercício</t>
  </si>
  <si>
    <t>Rentabilidade</t>
  </si>
  <si>
    <t>AC</t>
  </si>
  <si>
    <t>Empresa de Processamento de Dados do Acre - ACREDATA</t>
  </si>
  <si>
    <t>ACREDATA</t>
  </si>
  <si>
    <t>04.088.985/0001-00</t>
  </si>
  <si>
    <t>ATIVA</t>
  </si>
  <si>
    <t>INFORMÁTICA E TECNOLOGIA DA INFORMAÇÃO</t>
  </si>
  <si>
    <t>EMPRESA PÚBLICA</t>
  </si>
  <si>
    <t>S.A.</t>
  </si>
  <si>
    <t>FECHADO</t>
  </si>
  <si>
    <t>NÃO</t>
  </si>
  <si>
    <t>DEPENDENTE</t>
  </si>
  <si>
    <t>84</t>
  </si>
  <si>
    <t>SIM</t>
  </si>
  <si>
    <t/>
  </si>
  <si>
    <t>Agencia de Negócios do Estado do Acre - ANAC</t>
  </si>
  <si>
    <t>ANAC</t>
  </si>
  <si>
    <t>05.899.982/0001-19</t>
  </si>
  <si>
    <t>OUTROS</t>
  </si>
  <si>
    <t>SOCIEDADE DE ECONOMIA MISTA</t>
  </si>
  <si>
    <t>12</t>
  </si>
  <si>
    <t>Administradora da Zona de Processamento de Exportação do Acre - AZPE/AC</t>
  </si>
  <si>
    <t>AZPE</t>
  </si>
  <si>
    <t>12.467.990/0001-51</t>
  </si>
  <si>
    <t>DESENVOLVIMENTO REGIONAL</t>
  </si>
  <si>
    <t>0</t>
  </si>
  <si>
    <t>Banco do Estado do Acre - BANACRE</t>
  </si>
  <si>
    <t>BANACRE</t>
  </si>
  <si>
    <t>04.064.077/0001-86</t>
  </si>
  <si>
    <t>EM LIQUIDAÇÃO</t>
  </si>
  <si>
    <t>FINANCEIRO</t>
  </si>
  <si>
    <t>Companhia de Armazéns e Entrepostos do Acre - CAGEACRE</t>
  </si>
  <si>
    <t>CAGEACRE</t>
  </si>
  <si>
    <t>04.043.493/0001-06</t>
  </si>
  <si>
    <t>ABASTECIMENTO DE ALIMENTOS E OUTROS INSUMOS</t>
  </si>
  <si>
    <t>OUTRAS</t>
  </si>
  <si>
    <t>155</t>
  </si>
  <si>
    <t>Companhia Agência de Desenvolvimento e Serviços Ambientais do Estado do Acre - CDSA</t>
  </si>
  <si>
    <t>CDSA</t>
  </si>
  <si>
    <t>16.864.341/0001-45</t>
  </si>
  <si>
    <t>13</t>
  </si>
  <si>
    <t>Companhia Industrial de Laticínios do Acre - CILA</t>
  </si>
  <si>
    <t>CILA</t>
  </si>
  <si>
    <t>04.061.693/0001-83</t>
  </si>
  <si>
    <t>29</t>
  </si>
  <si>
    <t>Companhia de Desenvolvimento Industrial do Acre - CODISACRE</t>
  </si>
  <si>
    <t>CODISACRE</t>
  </si>
  <si>
    <t>04.039.277/0001-89</t>
  </si>
  <si>
    <t>37</t>
  </si>
  <si>
    <t>Companhia de Habitação do Acre - COHAB/ACRE</t>
  </si>
  <si>
    <t>COHAB</t>
  </si>
  <si>
    <t>04.066.007/0001-67</t>
  </si>
  <si>
    <t>HABITAÇÃO E URBANIZAÇÃO</t>
  </si>
  <si>
    <t>63</t>
  </si>
  <si>
    <t>Companhia de Colonização do Acre - COLONACRE</t>
  </si>
  <si>
    <t>COLONACRE</t>
  </si>
  <si>
    <t>04.039.673/0001-06</t>
  </si>
  <si>
    <t>17</t>
  </si>
  <si>
    <t>Empresa de Assistência Técnica e Extensão Rural do Acre - EMATER</t>
  </si>
  <si>
    <t>EMATER</t>
  </si>
  <si>
    <t>04.044.244/0001-27</t>
  </si>
  <si>
    <t>PESQUISA E ASSISTÊNCIA TÉCNICA AGROPECUÁRIA</t>
  </si>
  <si>
    <t>152</t>
  </si>
  <si>
    <t>Companhia de Saneamento do Acre - SANACRE</t>
  </si>
  <si>
    <t>SANACRE</t>
  </si>
  <si>
    <t>04.003.232/0001-54</t>
  </si>
  <si>
    <t>SANEAMENTO</t>
  </si>
  <si>
    <t>189</t>
  </si>
  <si>
    <t>AL</t>
  </si>
  <si>
    <t>Agência de Fomento de Alagoas - Desenvolve</t>
  </si>
  <si>
    <t>AFAL</t>
  </si>
  <si>
    <t>10.769.660/0001-95</t>
  </si>
  <si>
    <t>57</t>
  </si>
  <si>
    <t>Companhia Alagoana de Recursos Humanos e Patrimoniais</t>
  </si>
  <si>
    <t>CARHP</t>
  </si>
  <si>
    <t>12.291.274/0001-66</t>
  </si>
  <si>
    <t>1</t>
  </si>
  <si>
    <t>Laboratório Industrial Farmacêutico</t>
  </si>
  <si>
    <t>LIFAL</t>
  </si>
  <si>
    <t>12.343.158/0001-43</t>
  </si>
  <si>
    <t>SAÚDE</t>
  </si>
  <si>
    <t>Banco do Estado de Alagoas S.A</t>
  </si>
  <si>
    <t>PRODUBAN</t>
  </si>
  <si>
    <t>12.275.749/0001-20</t>
  </si>
  <si>
    <t>3</t>
  </si>
  <si>
    <t>Serviços de Engenharia de Alagoas S.A</t>
  </si>
  <si>
    <t>SERVEAL</t>
  </si>
  <si>
    <t>12.318.887/0001-40</t>
  </si>
  <si>
    <t>5</t>
  </si>
  <si>
    <t>Alagoas Ativos S.A</t>
  </si>
  <si>
    <t>ALAtivos</t>
  </si>
  <si>
    <t>29.218.037/0001-72</t>
  </si>
  <si>
    <t>GESTÃO DE ATIVOS</t>
  </si>
  <si>
    <t>NÃO DEPENDENTE</t>
  </si>
  <si>
    <t>19</t>
  </si>
  <si>
    <t>Gás de Alagoas S.A</t>
  </si>
  <si>
    <t>ALGÁS</t>
  </si>
  <si>
    <t>69.983.484/0001-32</t>
  </si>
  <si>
    <t>GÁS E DERIVADOS</t>
  </si>
  <si>
    <t>161</t>
  </si>
  <si>
    <t>https://governanca,algas,com,br/carta-anual-de-politicas-publicas-e-governanca-corporativa</t>
  </si>
  <si>
    <t>Companhia de Saneamento de Alagoas</t>
  </si>
  <si>
    <t>CASAL</t>
  </si>
  <si>
    <t>12.294.708/0001-81</t>
  </si>
  <si>
    <t>856</t>
  </si>
  <si>
    <t>https://www,casal,al,gov,br/arquivos/carta-anual-de-politicas-publicas-e-governanca-corporativa-2024/</t>
  </si>
  <si>
    <t>Companhia de Edição Impressão e Publicação de Alagoas</t>
  </si>
  <si>
    <t>CEPAL</t>
  </si>
  <si>
    <t>04.308.836/0001-09</t>
  </si>
  <si>
    <t>COMUNICAÇÃO</t>
  </si>
  <si>
    <t>119</t>
  </si>
  <si>
    <t>https://www,imprensaoficial,al,gov,br/storage/files/2025/04/Carta_Anual_de_Políticas_Públicas_CEPAL_Aprovada_Conselho_2024,pdf</t>
  </si>
  <si>
    <t>AM</t>
  </si>
  <si>
    <t>Agência de Desenvolvimento Sustentável do Amazonas</t>
  </si>
  <si>
    <t>ADS</t>
  </si>
  <si>
    <t>05.867.581/0001-87</t>
  </si>
  <si>
    <t>83</t>
  </si>
  <si>
    <t>Não possui</t>
  </si>
  <si>
    <t>Empresa Estadual de Turismo</t>
  </si>
  <si>
    <t>AMAZONASTUR</t>
  </si>
  <si>
    <t>05.662.046/0001-90</t>
  </si>
  <si>
    <t>TURISMO</t>
  </si>
  <si>
    <t>144</t>
  </si>
  <si>
    <t>https://www,amazonastur,am,gov,br/wpcontent/ uploads/2024/10/amazonastur-cartaservicos- 2024,pdf</t>
  </si>
  <si>
    <t>Cia. de Desenvolvimento do Estado do Amazonas</t>
  </si>
  <si>
    <t>CIAMA</t>
  </si>
  <si>
    <t>00.624.961/0001-77</t>
  </si>
  <si>
    <t>191</t>
  </si>
  <si>
    <t>www,ciama,am,gov,br</t>
  </si>
  <si>
    <t>Cia. de Saneamento do Amazonas</t>
  </si>
  <si>
    <t>COSAMA</t>
  </si>
  <si>
    <t>04.406.195/0001-25</t>
  </si>
  <si>
    <t>522</t>
  </si>
  <si>
    <t>Não foi publicada carta anual,</t>
  </si>
  <si>
    <t>Agência de Fomento do Estado do Amazonas</t>
  </si>
  <si>
    <t>AFEAM</t>
  </si>
  <si>
    <t>03.183.937/0001-38</t>
  </si>
  <si>
    <t>253</t>
  </si>
  <si>
    <t>https://www,afeam,am,gov,br/wpcontent/ uploads/2025/04/CARTAANUAL¿ 2024,pdf</t>
  </si>
  <si>
    <t>Cia. Amazonense de Desenvolvimento e Mobilização de Ativos</t>
  </si>
  <si>
    <t>CADA</t>
  </si>
  <si>
    <t>40.182.478/0001-02</t>
  </si>
  <si>
    <t>26</t>
  </si>
  <si>
    <t>https://www,cada,am,gov,br/wpcontent/uploads/2025/02/Carta-Anual-2025-Data-Base-2024,pdf</t>
  </si>
  <si>
    <t>Cia. de Gás do Amazonas</t>
  </si>
  <si>
    <t>CIGAS</t>
  </si>
  <si>
    <t>00.624.964/0001-00</t>
  </si>
  <si>
    <t>230</t>
  </si>
  <si>
    <t>https://www,cigas-am,com,br/relatorio-de-sustentabilidade</t>
  </si>
  <si>
    <t>Processamento de Dados do Amazonas</t>
  </si>
  <si>
    <t>PRODAM</t>
  </si>
  <si>
    <t>04.407.920/0001-80</t>
  </si>
  <si>
    <t>446</t>
  </si>
  <si>
    <t>https://prodam,am,gov,br/acesso-a-informacao/carta-de-governanca-2024/</t>
  </si>
  <si>
    <t>AP</t>
  </si>
  <si>
    <t>COMPANHIA DE ÁGUA E ESGOTO DO AMAPÁ</t>
  </si>
  <si>
    <t>CAESA</t>
  </si>
  <si>
    <t>05.976.311/0001-04</t>
  </si>
  <si>
    <t>298</t>
  </si>
  <si>
    <t>caesa,portal,ap,gov,br</t>
  </si>
  <si>
    <t>AGÊNCIA DE FOMENTO POPULAR</t>
  </si>
  <si>
    <t>AFAP</t>
  </si>
  <si>
    <t>02.929.977/0001-13</t>
  </si>
  <si>
    <t>99</t>
  </si>
  <si>
    <t>COMPANHIA DE GÁS DO AMAPÁ</t>
  </si>
  <si>
    <t>GASAP</t>
  </si>
  <si>
    <t>05.943.400/0001-54</t>
  </si>
  <si>
    <t>2</t>
  </si>
  <si>
    <t>https://gasap,com,br/acesso-a-informacao/governanca/carta-anual-de-governanca</t>
  </si>
  <si>
    <t>BA</t>
  </si>
  <si>
    <t>BAHIA PESCA S.A.</t>
  </si>
  <si>
    <t>BAHIAPESCA</t>
  </si>
  <si>
    <t>13.187.745/0001-53</t>
  </si>
  <si>
    <t>110</t>
  </si>
  <si>
    <t>https://www,ba,gov,br/bahiapesca/sites/site-bahiapesca/files/2024-12/Carta%20Anual%20exerc%C3%ADcio%202023,pdf</t>
  </si>
  <si>
    <t>COMPANHA DE DESENVOLVIMENTO E AÇÃO REGIONAL</t>
  </si>
  <si>
    <t>CAR</t>
  </si>
  <si>
    <t>13.221.247/0001-80</t>
  </si>
  <si>
    <t>375</t>
  </si>
  <si>
    <t>https://www,car,ba,gov,br/sites/default/files/2025-01/Carta%20Anual%202025,pdf</t>
  </si>
  <si>
    <t>COMPANHIA BAIANA DE PESQUISA MINERAL</t>
  </si>
  <si>
    <t>CBPM</t>
  </si>
  <si>
    <t>13.554.910/0001-68</t>
  </si>
  <si>
    <t>MINERAÇÃO</t>
  </si>
  <si>
    <t>141</t>
  </si>
  <si>
    <t>http://www,cbpm,ba,gov,br/transparencia/carta-anual-de-politicas-publicas-e-governanca-corporativa/</t>
  </si>
  <si>
    <t>COMPANHIA DE ENGENHARIA HÍDRICA E DE SANEAMENTO DA BAHIA</t>
  </si>
  <si>
    <t>CERB</t>
  </si>
  <si>
    <t>13.529.136/0001-35</t>
  </si>
  <si>
    <t>1055</t>
  </si>
  <si>
    <t>http://www,cerb,ba,gov,br/sites/www,cerb,ba,gov,br/files/a_cerb/nosso_papel/page/files/CARTA_ANUAL_2024_VF,pdf</t>
  </si>
  <si>
    <t>COMPANHIA DE DESENVOLVIMENTO URBANO DO ESTADO DA BAHIA</t>
  </si>
  <si>
    <t>CONDER</t>
  </si>
  <si>
    <t>13.595.251/0001-08</t>
  </si>
  <si>
    <t>347</t>
  </si>
  <si>
    <t>https://www,conder,ba,gov,br/sites/default/files/2024-04/CARTA GOVERNANÇA 2024_0,pdf</t>
  </si>
  <si>
    <t>COMPANHIA DE TRANSPORTE DO ESTADO DA BAHIA</t>
  </si>
  <si>
    <t>CTB</t>
  </si>
  <si>
    <t>03.231.999/0001-78</t>
  </si>
  <si>
    <t>TRANSPORTE</t>
  </si>
  <si>
    <t>82</t>
  </si>
  <si>
    <t>COMPANHIA DE GÁS DA BAHIA</t>
  </si>
  <si>
    <t>BAHIAGÁS</t>
  </si>
  <si>
    <t>34.432.153/0001-20</t>
  </si>
  <si>
    <t>611</t>
  </si>
  <si>
    <t>https://www,bahiagas,com,br/sobre-a-bahiagas/cartas-anuais</t>
  </si>
  <si>
    <t>EMPRESA BAIANA DE ATIVOS S.A.</t>
  </si>
  <si>
    <t>BAHIAINVESTE</t>
  </si>
  <si>
    <t>26.310.070/0001-30</t>
  </si>
  <si>
    <t>36</t>
  </si>
  <si>
    <t>CARTA-ANUAL-BI-2024_2025_28_04_25-Assinada-compactado,pdf</t>
  </si>
  <si>
    <t>AGÊNCIA DE FOMENTO DO ESTADO DA BAHIA</t>
  </si>
  <si>
    <t>DESENBAHIA</t>
  </si>
  <si>
    <t>15.163.587/0001-27</t>
  </si>
  <si>
    <t>249</t>
  </si>
  <si>
    <t>https://www,desenbahia,ba,gov,br/wp-content/uploads/2024/05/carta-anual-politicas-publicas-e-governanca-corporativa-2023-revfinal,pdf</t>
  </si>
  <si>
    <t>EMPRESA GRÁFICA DA BAHIA</t>
  </si>
  <si>
    <t>EGBA</t>
  </si>
  <si>
    <t>15.257.819/0001-06</t>
  </si>
  <si>
    <t>159</t>
  </si>
  <si>
    <t>EMPRESA BAIANA DE ÁGUAS E SANEAMENTO</t>
  </si>
  <si>
    <t>EMBASA</t>
  </si>
  <si>
    <t>13.504.675/0001-10</t>
  </si>
  <si>
    <t>4837</t>
  </si>
  <si>
    <t>https://www,embasa,ba,gov,br/a-embasa/quem-somos/governanca/carta-anual-de-politicas-publicas-de-governanca-corporativa</t>
  </si>
  <si>
    <t>COMPANHIA DE PROCESSAMENTO DE DADOS DO ESTADO DA BAHIA</t>
  </si>
  <si>
    <t>PRODEB</t>
  </si>
  <si>
    <t>13.579.586/0001-32</t>
  </si>
  <si>
    <t>691</t>
  </si>
  <si>
    <t>https://www,prodeb,ba,gov,br/transparencia/governanca-corporativa/carta-anual-de-politicas-publicas-e-governanca-corporativa</t>
  </si>
  <si>
    <t>HABITAÇÃO E URBANIZAÇÃO DA BAHIA S.A.</t>
  </si>
  <si>
    <t>URBIS</t>
  </si>
  <si>
    <t>15.171.101/0001-00</t>
  </si>
  <si>
    <t>51</t>
  </si>
  <si>
    <t>CE</t>
  </si>
  <si>
    <t>Companhia de Habitação do Ceará</t>
  </si>
  <si>
    <t>07.121.536/0001-04</t>
  </si>
  <si>
    <t>45</t>
  </si>
  <si>
    <t>Empresa de Assistência Técnica e Extensão Rural do Ceará</t>
  </si>
  <si>
    <t>EMATERCE</t>
  </si>
  <si>
    <t>05.371.711/0001-96</t>
  </si>
  <si>
    <t>743</t>
  </si>
  <si>
    <t>Empresa de Tecnologia da Informação do Ceará</t>
  </si>
  <si>
    <t>ETICE</t>
  </si>
  <si>
    <t>03.773.788/0001-67</t>
  </si>
  <si>
    <t>193</t>
  </si>
  <si>
    <t>https://www,etice,ce,gov,br/cartas-anuais-de-politicas-publicas-e-governanca-corporativa/</t>
  </si>
  <si>
    <t>Agência de Desenvolvimento do Estado do Ceará S/A</t>
  </si>
  <si>
    <t>ADECE</t>
  </si>
  <si>
    <t>09.100.913/0001-54</t>
  </si>
  <si>
    <t>139</t>
  </si>
  <si>
    <t>Companhia de Água e Esgoto do Ceará</t>
  </si>
  <si>
    <t>CAGECE</t>
  </si>
  <si>
    <t>07.040.108/0001-57</t>
  </si>
  <si>
    <t>5769</t>
  </si>
  <si>
    <t>https://www,cagece,com,br/wp-content/uploads/PDF/Governanca/Documentos/DocumentosdeRegulacaoInterna/CartaAnual/Carta-Anual-de-Politicas-Publicas-e-Governanca-Corporativa-2023,pdf</t>
  </si>
  <si>
    <t>Companhia de Participação de Ativos do Ceará</t>
  </si>
  <si>
    <t>CEARAPAR</t>
  </si>
  <si>
    <t>44.062.163/0001-74</t>
  </si>
  <si>
    <t>22</t>
  </si>
  <si>
    <t>https://cppub,cepart,com,br/upload/docInst/Carta_Anual_2023_cearapar,pdf</t>
  </si>
  <si>
    <t>Centrais de Abastecimento do Ceará S/A</t>
  </si>
  <si>
    <t>CEASA</t>
  </si>
  <si>
    <t>07.029.051/0001-95</t>
  </si>
  <si>
    <t>265</t>
  </si>
  <si>
    <t>Companhia de Gás do Ceará</t>
  </si>
  <si>
    <t>CEGAS</t>
  </si>
  <si>
    <t>73.759.185/0001-96</t>
  </si>
  <si>
    <t>143</t>
  </si>
  <si>
    <t>https://www,cegas,com,br</t>
  </si>
  <si>
    <t>Companhia de Desenvolvimento do Complexo Industrial e Portuário do Pecém - CIPP S/A</t>
  </si>
  <si>
    <t>CIPP</t>
  </si>
  <si>
    <t>01.256.678/0001-00</t>
  </si>
  <si>
    <t>PORTOS E HIDROVIAS</t>
  </si>
  <si>
    <t>https://www,complexodopecem,com,br/wp-content/uploads/2021/10/Carta-Anual-2024,pdf</t>
  </si>
  <si>
    <t>Companhia de Gestão dos Recursos Hídricos</t>
  </si>
  <si>
    <t>COGERH</t>
  </si>
  <si>
    <t>74.075.938/0001-07</t>
  </si>
  <si>
    <t>952</t>
  </si>
  <si>
    <t>https://portal,cogerh,com,br/wp-content/uploads/2024/10/ASGRC%202024%20CARTA%20ANUAL%20ano%20base%202023%20,pdf</t>
  </si>
  <si>
    <t>Companhia Cearense de Transportes Metropolitanos</t>
  </si>
  <si>
    <t>METROFOR</t>
  </si>
  <si>
    <t>02.003.575/0001-93</t>
  </si>
  <si>
    <t>1114</t>
  </si>
  <si>
    <t>https://www,metrofor,ce,gov,br/wp-content/uploads/sites/32/2022/03/Carta_Poli%CC%81ticas_Pu%CC%81blicasGovernanc%CC%A7a-2021,pdf</t>
  </si>
  <si>
    <t>ZPE Ceará</t>
  </si>
  <si>
    <t>ZPE</t>
  </si>
  <si>
    <t>13.006.170/0001-25</t>
  </si>
  <si>
    <t>https://zpeceara,com,br/wp-content/uploads/2024/05/Carta-Anual-2023_ZPE,pdf</t>
  </si>
  <si>
    <t>DF</t>
  </si>
  <si>
    <t>Companhia de Planejamento do Distrito Federal</t>
  </si>
  <si>
    <t>CODEPLAN</t>
  </si>
  <si>
    <t>00.046.060/0001-45</t>
  </si>
  <si>
    <t>Companhia de Desenvolvimento Habitacional do Distrito Federal</t>
  </si>
  <si>
    <t>CODHAB/DF</t>
  </si>
  <si>
    <t>09.335.575/0001-30</t>
  </si>
  <si>
    <t>457</t>
  </si>
  <si>
    <t>Empresa de Assistência Técnica e Extensão Rural do Distrito Federal</t>
  </si>
  <si>
    <t>EMATER-DF</t>
  </si>
  <si>
    <t>00.509.612/0001-04</t>
  </si>
  <si>
    <t>309</t>
  </si>
  <si>
    <t>https://emater,df,gov,br/category/carta-de-servicos/</t>
  </si>
  <si>
    <t>Empresa de Regularização de Terras Rurais</t>
  </si>
  <si>
    <t>ETR S.A.</t>
  </si>
  <si>
    <t>50.698.494/0001-06</t>
  </si>
  <si>
    <t>44</t>
  </si>
  <si>
    <t>Companhia do Metropolitano do Distrito Federal</t>
  </si>
  <si>
    <t>METRÔ-DF</t>
  </si>
  <si>
    <t>38.070.074/0001-77</t>
  </si>
  <si>
    <t>1201</t>
  </si>
  <si>
    <t>https://metro,df,gov,br/?page_id=37077</t>
  </si>
  <si>
    <t>Companhia Urbanizadora da Nova Capital do Brasil</t>
  </si>
  <si>
    <t>NOVACAP</t>
  </si>
  <si>
    <t>00.037.457/0001-70</t>
  </si>
  <si>
    <t>992</t>
  </si>
  <si>
    <t>Sociedade de Abastecimento de Brasília</t>
  </si>
  <si>
    <t>SAB</t>
  </si>
  <si>
    <t>00.037.226/0001-67</t>
  </si>
  <si>
    <t>113</t>
  </si>
  <si>
    <t>Sociedade de Transportes Coletivos de Brasília</t>
  </si>
  <si>
    <t>TCB</t>
  </si>
  <si>
    <t>00.037.127/0001-85</t>
  </si>
  <si>
    <t>LTDA</t>
  </si>
  <si>
    <t>552</t>
  </si>
  <si>
    <t>BIOTIC S.A.</t>
  </si>
  <si>
    <t>BIOTIC</t>
  </si>
  <si>
    <t>29.580.134/0001-00</t>
  </si>
  <si>
    <t>69</t>
  </si>
  <si>
    <t>https://www,bioticsa,com,br/pdf/Carta_governanca_Bioti</t>
  </si>
  <si>
    <t>Banco Regional de Brasília</t>
  </si>
  <si>
    <t>BRB</t>
  </si>
  <si>
    <t>00.000.208/0001-00</t>
  </si>
  <si>
    <t>ABERTO</t>
  </si>
  <si>
    <t>3359</t>
  </si>
  <si>
    <t>https://ri,brb,com,br/pt/carta-anual-de-politicas-publicas-e-governanca-corporativa</t>
  </si>
  <si>
    <t>BRB - Administradora e Corretora de Seguros S/A</t>
  </si>
  <si>
    <t>BRB Administradora</t>
  </si>
  <si>
    <t>42.597.575/0001-83</t>
  </si>
  <si>
    <t>BRB Distribuidora de Títulos e Valores Mobiliários</t>
  </si>
  <si>
    <t>BRB DVTM</t>
  </si>
  <si>
    <t>33.850.686/0001-69</t>
  </si>
  <si>
    <t>38</t>
  </si>
  <si>
    <t>BRB Crédito, Financiamento e Investimento</t>
  </si>
  <si>
    <t>BRB Investimento</t>
  </si>
  <si>
    <t>33.136.888/0001-43</t>
  </si>
  <si>
    <t>BRB Participacoes</t>
  </si>
  <si>
    <t>BRB PAR</t>
  </si>
  <si>
    <t>13.431.899/0001-49</t>
  </si>
  <si>
    <t>BRB Serviços</t>
  </si>
  <si>
    <t>12.875.569/0001-80</t>
  </si>
  <si>
    <t>1166</t>
  </si>
  <si>
    <t>Cartão BRB</t>
  </si>
  <si>
    <t>BRBCARD</t>
  </si>
  <si>
    <t>01.984.199/0001-00</t>
  </si>
  <si>
    <t>263</t>
  </si>
  <si>
    <t>https://www,brbcard,com,br/wp-content/uploads/2024/09/Carta-Anual-Poli4cas-Publicas-Gov-Corpora4va-2023-vf,pdf</t>
  </si>
  <si>
    <t>Companhia de Saneamento Ambiental do Distrito Federal</t>
  </si>
  <si>
    <t>CAESB</t>
  </si>
  <si>
    <t>00.082.024/0001-37</t>
  </si>
  <si>
    <t>1997</t>
  </si>
  <si>
    <t>https://www,caesb,df,gov,br/empresa/governanca-corporativa/carta-anual,html</t>
  </si>
  <si>
    <t>Centrais de Abastecimento do Distrito Federal</t>
  </si>
  <si>
    <t>CEASA DF</t>
  </si>
  <si>
    <t>00.314.310/0001-80</t>
  </si>
  <si>
    <t>60</t>
  </si>
  <si>
    <t>Companhia Energética de Brasília</t>
  </si>
  <si>
    <t>CEB</t>
  </si>
  <si>
    <t>00.070.698/0001-11</t>
  </si>
  <si>
    <t>ENERGIA</t>
  </si>
  <si>
    <t>120</t>
  </si>
  <si>
    <t>https://www,ceb,com,br/Download,aspx?Arquivo=8AtZ9IcMZPUukeHBXSgE3w==&amp;IdCanal=D0mlLqYnKldOCQKkP4Skqg==</t>
  </si>
  <si>
    <t>CEB Iluminação Pública e Serviços</t>
  </si>
  <si>
    <t>CEB IPES</t>
  </si>
  <si>
    <t>39.683.726/0001-01</t>
  </si>
  <si>
    <t>77</t>
  </si>
  <si>
    <t>CEB Lajeado</t>
  </si>
  <si>
    <t>CEB L</t>
  </si>
  <si>
    <t>03.677.638/0001-50</t>
  </si>
  <si>
    <t>16</t>
  </si>
  <si>
    <t>CEB Geração</t>
  </si>
  <si>
    <t>CEBG</t>
  </si>
  <si>
    <t>04.232.314/0001-70</t>
  </si>
  <si>
    <t>https://www,ceb,com,br/Documentos,aspx?IdCanal=hD8pqKNE+C5Xrd39y4J+Tg==</t>
  </si>
  <si>
    <t>Companhia Brasiliense de Gás</t>
  </si>
  <si>
    <t>CEBGAS</t>
  </si>
  <si>
    <t>04.363.670/0001-23</t>
  </si>
  <si>
    <t>CEB Participações</t>
  </si>
  <si>
    <t>CEBPAR</t>
  </si>
  <si>
    <t>03.682.014/0001-20</t>
  </si>
  <si>
    <t>18</t>
  </si>
  <si>
    <t>PROFLORA</t>
  </si>
  <si>
    <t>00.338.079/0001-65</t>
  </si>
  <si>
    <t>7</t>
  </si>
  <si>
    <t>Companhia Imobiliária de Brasília</t>
  </si>
  <si>
    <t>Terracap</t>
  </si>
  <si>
    <t>00.359.877/0001-73</t>
  </si>
  <si>
    <t>1100</t>
  </si>
  <si>
    <t>https://www,terracap,df,gov,br/index,php/carta-deservico/imprimaaqui-a-carta-deservico</t>
  </si>
  <si>
    <t>ES</t>
  </si>
  <si>
    <t>Ceasa - Centrais de Abastecimento do Espirito Santo S/A</t>
  </si>
  <si>
    <t>27.064.062/0001-13</t>
  </si>
  <si>
    <t>158</t>
  </si>
  <si>
    <t>https://ioes,dio,es,gov,br/portal/visualizacoes/pdf/10176#/p:47/e:10176?find=ceasa</t>
  </si>
  <si>
    <t>Bandes - Banco de Desenvolvimento do Espírito Santo S/A</t>
  </si>
  <si>
    <t>BANDES</t>
  </si>
  <si>
    <t>28.145.829/0001-00</t>
  </si>
  <si>
    <t>190</t>
  </si>
  <si>
    <t>https://www,bandes,com,br/Site/Dinamico/Show/933/Governanca-Corporativa#</t>
  </si>
  <si>
    <t>Banestes - Banco do Estado do Espirito Santo</t>
  </si>
  <si>
    <t>BANESTES</t>
  </si>
  <si>
    <t>28.127.603/0001-78</t>
  </si>
  <si>
    <t>2164</t>
  </si>
  <si>
    <t>https://ri,banestes,com,br</t>
  </si>
  <si>
    <t>Cesan - Companhia Espirito Santense de Saneamento</t>
  </si>
  <si>
    <t>CESAN</t>
  </si>
  <si>
    <t>28.151.363/0001-47</t>
  </si>
  <si>
    <t>1274</t>
  </si>
  <si>
    <t>https://www,cesan,com,br/wp-content/uploads/2024/07/Carta-Anual-de-Politicas-Publicas-3,pdf</t>
  </si>
  <si>
    <t>Ceturb - Companhia Estadual de Transportes Coletivos de Passageiros do Espirito Santo</t>
  </si>
  <si>
    <t>CETURB</t>
  </si>
  <si>
    <t>28.503.894/0001-51</t>
  </si>
  <si>
    <t>244</t>
  </si>
  <si>
    <t>https://centraldebalancos,estaleiro,serpro,gov,br/centraldebalancos/#/ver-demonstracao/212163</t>
  </si>
  <si>
    <t>COHAB - Companhia de Habitação e Urbanização do Estado do Espirito Santo - Em Liquidação</t>
  </si>
  <si>
    <t>28.139.012/0001-10</t>
  </si>
  <si>
    <t>20</t>
  </si>
  <si>
    <t>https://seger,es,gov,br/autarquias</t>
  </si>
  <si>
    <t>Fundação Carmelia Maria de Souza Cultura e Comunicação Pública</t>
  </si>
  <si>
    <t>FUNDAÇÃO CARMELIA</t>
  </si>
  <si>
    <t>54.715.094/0001-04</t>
  </si>
  <si>
    <t>30</t>
  </si>
  <si>
    <t>não se aplica</t>
  </si>
  <si>
    <t>GO</t>
  </si>
  <si>
    <t>Agência Goiana de Habitação S/A</t>
  </si>
  <si>
    <t>AGEHAB</t>
  </si>
  <si>
    <t>01.274.240/0001-47</t>
  </si>
  <si>
    <t>400</t>
  </si>
  <si>
    <t>https://goias,gov,br/agehab/carta-anual-de-governanca-corporativa/</t>
  </si>
  <si>
    <t>Goiás Telecomunicções S/A</t>
  </si>
  <si>
    <t>GOIAS TELECOM</t>
  </si>
  <si>
    <t>10.268.439/0001-53</t>
  </si>
  <si>
    <t>43</t>
  </si>
  <si>
    <t>https://goiastelecom,go,gov,br</t>
  </si>
  <si>
    <t>Indústria Química do Estado de Goiás</t>
  </si>
  <si>
    <t>IQUEGO</t>
  </si>
  <si>
    <t>01.541.283/0001-41</t>
  </si>
  <si>
    <t>https://goias,gov,br/iquego/balancos-contabeis/</t>
  </si>
  <si>
    <t>Metrobus Transporte Coletivo S/A</t>
  </si>
  <si>
    <t>METROBUS</t>
  </si>
  <si>
    <t>02.392.459/0001-03</t>
  </si>
  <si>
    <t>633</t>
  </si>
  <si>
    <t>https://goias,gov,br/metrobus/</t>
  </si>
  <si>
    <t>Caixa Econômica do Estado de Goiás</t>
  </si>
  <si>
    <t>CAIXEGO</t>
  </si>
  <si>
    <t>01.600.204/0001-26</t>
  </si>
  <si>
    <t>Centrais de Abastecimento de Goiás S/A</t>
  </si>
  <si>
    <t>CEASA-GO</t>
  </si>
  <si>
    <t>01.098.797/0001-74</t>
  </si>
  <si>
    <t>93</t>
  </si>
  <si>
    <t>https://goias,gov,br/ceasa/carta-anual-de-governanca-corporativa/</t>
  </si>
  <si>
    <t>Companhia Celg de Participações</t>
  </si>
  <si>
    <t>CELGPAR</t>
  </si>
  <si>
    <t>08.560.444/0001-93</t>
  </si>
  <si>
    <t>https://ri,celgpar,com/BuscaPagina,aspx?ID={41799EC4-9CB4-4F81-BC75-64087B8BE678}</t>
  </si>
  <si>
    <t>Companhia Metropolitana de Transportes Coletivos</t>
  </si>
  <si>
    <t>CMTC</t>
  </si>
  <si>
    <t>05.787.273/0001-41</t>
  </si>
  <si>
    <t>94</t>
  </si>
  <si>
    <t>https://cmtcrmg,com,br/pasta/prestacao-de-contas/</t>
  </si>
  <si>
    <t>Companhia de Desenvolvimento Econômico de Goiás</t>
  </si>
  <si>
    <t>CODEGO</t>
  </si>
  <si>
    <t>01.285.170/0001-22</t>
  </si>
  <si>
    <t>414</t>
  </si>
  <si>
    <t>https://www,codego,com,br/acesso-a-informacao/carta-anual-de-politicas-publicas-e-governanca-corporativa/</t>
  </si>
  <si>
    <t>Firminópolis Transmissão S.A.</t>
  </si>
  <si>
    <t>FTSA</t>
  </si>
  <si>
    <t>24.253.735/0001-95</t>
  </si>
  <si>
    <t>10</t>
  </si>
  <si>
    <t>Agência de Fomento de Goiás S/A</t>
  </si>
  <si>
    <t>GOIASFOMENTO</t>
  </si>
  <si>
    <t>03.918.382/0001-25</t>
  </si>
  <si>
    <t>138</t>
  </si>
  <si>
    <t>https://www,goiasfomento,com/wp-content/uploads/2024/06/Carta-Anual-de-Politicas-Publicas-e-Governanca-Corporativa-2024-Ano-Base-2023-Final,pdf</t>
  </si>
  <si>
    <t>Agência Goiana de Gás Canalizado S/A</t>
  </si>
  <si>
    <t>GOIASGÁS</t>
  </si>
  <si>
    <t>04.583.057/0001-11</t>
  </si>
  <si>
    <t>https://www,goiasgas,com,br/ckfinder/userfiles/files/Carta%20de%20Governan%C3%A7a/2023%20a%202027/Carta%20Anual%20de%20Governan%C3%A7a%20Corporativa,%20exerc%C3%ADcio%202024,pdf</t>
  </si>
  <si>
    <t>Companhia de Investimento e Parcerias do Estado de Goiás</t>
  </si>
  <si>
    <t>GOIASPARCERIAS</t>
  </si>
  <si>
    <t>08.235.587/0001-20</t>
  </si>
  <si>
    <t>46</t>
  </si>
  <si>
    <t>https://goias,gov,br/goiasparcerias/</t>
  </si>
  <si>
    <t>Lago Azul Transmissão S.A.</t>
  </si>
  <si>
    <t>LAZ</t>
  </si>
  <si>
    <t>19.698.987/0001-98</t>
  </si>
  <si>
    <t>4</t>
  </si>
  <si>
    <t>Empresa Estadual de Processamento de Dados de Goiás</t>
  </si>
  <si>
    <t>PRODAGO</t>
  </si>
  <si>
    <t>24.812.554/0001-51</t>
  </si>
  <si>
    <t>14</t>
  </si>
  <si>
    <t>http://www,administracao,go,gov,br</t>
  </si>
  <si>
    <t>Saneamento de Goiás S/A</t>
  </si>
  <si>
    <t>SANEAGO</t>
  </si>
  <si>
    <t>01.616.929/0001-02</t>
  </si>
  <si>
    <t>6309</t>
  </si>
  <si>
    <t>https://ri,saneago,com,br/Download,aspx?Arquivo=P4Gr3BzsOg27HPr+600Irw==&amp;linguagem=pt</t>
  </si>
  <si>
    <t>MA</t>
  </si>
  <si>
    <t>Companhia de Saneamento Ambiental do Maranhão</t>
  </si>
  <si>
    <t>CAEMA</t>
  </si>
  <si>
    <t>06.274.757/0084-87</t>
  </si>
  <si>
    <t>2085</t>
  </si>
  <si>
    <t>https://www,caema,ma,gov,br/index,php/a-caema/governanca/carta-anual</t>
  </si>
  <si>
    <t>Empresa Maranhense de Administração Portuária</t>
  </si>
  <si>
    <t>EMAP</t>
  </si>
  <si>
    <t>03.650.060/0001-48</t>
  </si>
  <si>
    <t>578</t>
  </si>
  <si>
    <t>https://www,portodoitaqui,com/emap/carta-anual</t>
  </si>
  <si>
    <t>Empresa Maranhense de Serviços Hospitalares</t>
  </si>
  <si>
    <t>EMSERH</t>
  </si>
  <si>
    <t>18.519.709/0001-63</t>
  </si>
  <si>
    <t>17719</t>
  </si>
  <si>
    <t>https://www,emserh,ma,gov,br/wp-content/uploads/2025/05/RELATORIO_ANUAL_DA_ADMINISTRACAO_2024,pdf</t>
  </si>
  <si>
    <t>Companhia Maranhense de Gás</t>
  </si>
  <si>
    <t>GASMAR</t>
  </si>
  <si>
    <t>05.121.359/0001-30</t>
  </si>
  <si>
    <t>76</t>
  </si>
  <si>
    <t>https://www,gasmar,com,br/carta-anual-de-governanca</t>
  </si>
  <si>
    <t>Maranhão Parcerias</t>
  </si>
  <si>
    <t>MAPA</t>
  </si>
  <si>
    <t>06.281.794/0001-95</t>
  </si>
  <si>
    <t>432</t>
  </si>
  <si>
    <t>https://mapa,ma,gov,br/uploads/mapa/docs/Carta_Anual_2024,pdf</t>
  </si>
  <si>
    <t>MG</t>
  </si>
  <si>
    <t>EMPRESA DE ASSISTÊNCIA TÉCNICA E EXTENSAO RURAL DO ESTADO DE MINAS GERAIS - EMATER-MG</t>
  </si>
  <si>
    <t>EMATER MG</t>
  </si>
  <si>
    <t>19.198.118/0001-02</t>
  </si>
  <si>
    <t>1865</t>
  </si>
  <si>
    <t>https://www,emater,mg,gov,br/doc/REL_ATIVIDADE/relatorio_de_administracao_2024,pdf</t>
  </si>
  <si>
    <t>EMPRESA MINEIRA DE COMUNICAÇÃO LTDA - EMC</t>
  </si>
  <si>
    <t>EMC</t>
  </si>
  <si>
    <t>20.234.423/0001-83</t>
  </si>
  <si>
    <t>150</t>
  </si>
  <si>
    <t>Cartas</t>
  </si>
  <si>
    <t>EMPRESA DE PESQUISA AGROPECUÁRIA DE MINAS GERAIS - EPAMIG</t>
  </si>
  <si>
    <t>EPAMIG</t>
  </si>
  <si>
    <t>17.138.140/0001-23</t>
  </si>
  <si>
    <t>844</t>
  </si>
  <si>
    <t>https://www,epamig,br/institucional/carta-de-governanca-e-politicas-publicas-epamig/</t>
  </si>
  <si>
    <t>BANCO DE DESENVOLVIMENTO DE MINAS GERAIS S.A. - BDMG</t>
  </si>
  <si>
    <t>BDMG</t>
  </si>
  <si>
    <t>38.486.817/0001-94</t>
  </si>
  <si>
    <t>540</t>
  </si>
  <si>
    <t>https://www,bdmg,mg,gov,br/wp-content/uploads/2025/05/Carta-Anual-de-PP-e-GC,Versao-final-CAD,pdf</t>
  </si>
  <si>
    <t>COMPANHIA ENERGÉTICA DE MINAS GERAIS - CEMIG (*)</t>
  </si>
  <si>
    <t>CEMIG</t>
  </si>
  <si>
    <t>17.155.730/0001-64</t>
  </si>
  <si>
    <t>28173</t>
  </si>
  <si>
    <t>https://www,cemig,com,br/wp-content/uploads/2025/05/carta-politicas-publicas-2024,pdf</t>
  </si>
  <si>
    <t>COMPANHIA DE DESENVOLVIMENTO DE MINAS GERAIS - CODEMGE</t>
  </si>
  <si>
    <t>CODEMGE</t>
  </si>
  <si>
    <t>29.768.219/0001-17</t>
  </si>
  <si>
    <t>441</t>
  </si>
  <si>
    <t>http://www,codemge,com,br/a-codemge/governanca/</t>
  </si>
  <si>
    <t>COMPANHIA DE DESENVOLVIMENTO ECONÔMICO DE MINAS GERAIS - CODEMIG</t>
  </si>
  <si>
    <t>CODEMIG</t>
  </si>
  <si>
    <t>19.791.581/0001-55</t>
  </si>
  <si>
    <t>http://www,codemig,com,br/a-codemig/governanca/</t>
  </si>
  <si>
    <t>COMPANHIA DE HABITAÇÃO DO ESTADO DE MINAS GERAIS - COHAB MINAS</t>
  </si>
  <si>
    <t>COHAB MINAS</t>
  </si>
  <si>
    <t>17.161.837/0001-15</t>
  </si>
  <si>
    <t>174</t>
  </si>
  <si>
    <t>http://200,198,20,180/wp-content/uploads/2025/04/5-Carta-Anual-de-Politicas-Publicas-e-Governanca-Corporativa-2024-2025,pdf</t>
  </si>
  <si>
    <t>COPASA SERVIÇOS DE SANEAMENTO INTEGRADO DO NORTE E NORDESTE DE MINAS GERAIS S/A - COPANOR</t>
  </si>
  <si>
    <t>COPANOR</t>
  </si>
  <si>
    <t>09.104.426/0001-60</t>
  </si>
  <si>
    <t>490</t>
  </si>
  <si>
    <t>https://api,mziq,com/mzfilemanager/v2/d/8bdb3906-0618-4e78-bbe3-a0be9f02d8cc/a7009a9b-f55f-b849-0b93-adf0fca37706?origin=3</t>
  </si>
  <si>
    <t>COMPANHIA DE SANEAMENTO DE MINAS GERAIS - COPASA MG</t>
  </si>
  <si>
    <t>COPASA MG</t>
  </si>
  <si>
    <t>17.281.106/0001-03</t>
  </si>
  <si>
    <t>9613</t>
  </si>
  <si>
    <t>https://api,mziq,com/mzfilemanager/v2/d/8bdb3906-0618-4e78-bbe3-a0be9f02d8cc/a7009a9b-f55f-b849-0b93-adf0fca37706?origin=2</t>
  </si>
  <si>
    <t>COMPANHIA DE GÁS DE MINAS GERAIS - GASMIG</t>
  </si>
  <si>
    <t>GASMIG</t>
  </si>
  <si>
    <t>22.261.473/0001-85</t>
  </si>
  <si>
    <t>314</t>
  </si>
  <si>
    <t>https://api,mziq,com/mzfilemanager/v2/d/f991396d-aa51-4366-b93d-af70a51d7b15/7c093c09-7c01-1933-d794-782d358ffae1?origin=1</t>
  </si>
  <si>
    <t>TREM METROPOLITANO DE BELO HORIZONTE S.A - METROMINAS</t>
  </si>
  <si>
    <t>METROMINAS</t>
  </si>
  <si>
    <t>03.919.139/0001-21</t>
  </si>
  <si>
    <t>https://www,gov,br/centraldebalancos/#/demonstracao-publicada/197448</t>
  </si>
  <si>
    <t>MINAS GERAIS PARTICIPAÇÕES S.A. - MGI</t>
  </si>
  <si>
    <t>MGI</t>
  </si>
  <si>
    <t>19.296.342/0001-29</t>
  </si>
  <si>
    <t>87</t>
  </si>
  <si>
    <t>https://www,mgipar,com,br/governanca/PoliticasPublicasEGovernancas</t>
  </si>
  <si>
    <t>MINAS GERAIS ADMINISTRAÇÃO E SERVIÇOS S.A. - MGS</t>
  </si>
  <si>
    <t>MGS</t>
  </si>
  <si>
    <t>33.224.254/0001-42</t>
  </si>
  <si>
    <t>33373</t>
  </si>
  <si>
    <t>https://www,mgs,srv,br/detalhe-da-materia/info/cartas-anuais/16767</t>
  </si>
  <si>
    <t>COMPANHIA DE TECNOLOGIA DA INFORMAÇÃO DO ESTADO DE MINAS GERAIS - PRODEMGE</t>
  </si>
  <si>
    <t>PRODEMGE</t>
  </si>
  <si>
    <t>16.636.540/0001-04</t>
  </si>
  <si>
    <t>1333</t>
  </si>
  <si>
    <t>https://www,prodemge,gov,br/governanca/carta-anual</t>
  </si>
  <si>
    <t>MS</t>
  </si>
  <si>
    <t>EMPRESA DE SERVIÇOS AGROPECUÁRIOS DE MS - AGROSUL</t>
  </si>
  <si>
    <t>AGROSUL</t>
  </si>
  <si>
    <t>03.979.598/0001-09</t>
  </si>
  <si>
    <t>EMPRESA DE GESTÃO DE RECURSOS MINERAIS - MS MINERAL</t>
  </si>
  <si>
    <t>MS MINERAL</t>
  </si>
  <si>
    <t>03.994.647/0001-74</t>
  </si>
  <si>
    <t>11</t>
  </si>
  <si>
    <t>CENTRAIS DE ABASTECIMENTO DE MATO GROSSO DO SUL S/A - CEASA/MS</t>
  </si>
  <si>
    <t>15.414.410/0001-56</t>
  </si>
  <si>
    <t>56</t>
  </si>
  <si>
    <t>LOTESUL - LOTERIAL ESTADUAL DE MS</t>
  </si>
  <si>
    <t>LOTESUL</t>
  </si>
  <si>
    <t>01.524.974/0001-37</t>
  </si>
  <si>
    <t>COMPANHIA DE GAS DO ESTADO DE MATO GROSSO DO SUL</t>
  </si>
  <si>
    <t>MS GÁS</t>
  </si>
  <si>
    <t>02.741.679/0001-03</t>
  </si>
  <si>
    <t>114</t>
  </si>
  <si>
    <t>EMPRESA DE SANEAMENTO DE MATO GROSSO DO SUL S.A - SANESUL</t>
  </si>
  <si>
    <t>SANESUL</t>
  </si>
  <si>
    <t>03.982.931/0001-20</t>
  </si>
  <si>
    <t>1307</t>
  </si>
  <si>
    <t>https://www,sanesul,ms,gov,br/Content/upload/Carta-Anual-de-Politicas-e-Governanca-Corporativa-2023,pdf</t>
  </si>
  <si>
    <t>MT</t>
  </si>
  <si>
    <t>EMPRESA MATO-GROSSENSE DE PESQUISA, ASSISTÊNCIA TÉCNICA E EXTENSÃO RURAL</t>
  </si>
  <si>
    <t>EMPAER</t>
  </si>
  <si>
    <t>36.886.778/0001-97</t>
  </si>
  <si>
    <t>418</t>
  </si>
  <si>
    <t>-</t>
  </si>
  <si>
    <t>COMPANHIA MATOGROSSENSE DE MINERAÇÃO</t>
  </si>
  <si>
    <t>METAMAT</t>
  </si>
  <si>
    <t>03.020.401/0001-00</t>
  </si>
  <si>
    <t>108</t>
  </si>
  <si>
    <t>COMPANHIA MATO-GROSSENSE DE GAS</t>
  </si>
  <si>
    <t>MT GAS</t>
  </si>
  <si>
    <t>06.023.921/0001-56</t>
  </si>
  <si>
    <t>21</t>
  </si>
  <si>
    <t>MT PARTICIPAÇÕES E PROJETOS S/A (holding)</t>
  </si>
  <si>
    <t>MT PAR</t>
  </si>
  <si>
    <t>17.816.442/0001-03</t>
  </si>
  <si>
    <t>226</t>
  </si>
  <si>
    <t>https://www,mtpar,mt,gov,br/cartaanual</t>
  </si>
  <si>
    <t>MT PAR CONCESSOES S/A (subsidiaria)</t>
  </si>
  <si>
    <t>MT PAR CONCESSOES</t>
  </si>
  <si>
    <t>49.157.255/0001-51</t>
  </si>
  <si>
    <t>MT PARQUES S/A (subsidiaria)</t>
  </si>
  <si>
    <t>MT PARQUES</t>
  </si>
  <si>
    <t>51.214.676/0001-19</t>
  </si>
  <si>
    <t>EMPRESA MATO-GROSSENSE DE TECNOLOGIA DA INFORMAÇÃO</t>
  </si>
  <si>
    <t>MTI</t>
  </si>
  <si>
    <t>15.011.059/0001-52</t>
  </si>
  <si>
    <t>397</t>
  </si>
  <si>
    <t>https://www,mti,mt,gov,br/documents/2458894/0/Carta%202025,pdf/d3c48823-c553-a181-3b1e-3f056d46ecf9</t>
  </si>
  <si>
    <t>COMPANHIA DE SANEAMENTO DO ESTADO DE MATO GROSSO</t>
  </si>
  <si>
    <t>SANEMAT</t>
  </si>
  <si>
    <t>03.470.358/0001-76</t>
  </si>
  <si>
    <t>8</t>
  </si>
  <si>
    <t>TERMINAL PORTUARIO DE CACERES S/A (subsidiaria)</t>
  </si>
  <si>
    <t>TERMINAL PORTUARIO DE CACERES</t>
  </si>
  <si>
    <t>51.918.277/0001-39</t>
  </si>
  <si>
    <t>AGÊNCIA DE FOMENTO DO ESTADO DE MATO GROSSO S.A</t>
  </si>
  <si>
    <t>DESENVOLVE MT</t>
  </si>
  <si>
    <t>06.284.531/0001-30</t>
  </si>
  <si>
    <t>96</t>
  </si>
  <si>
    <t>CONCESSIONARIA ROTA DO OESTE S.A (subsidiaria)</t>
  </si>
  <si>
    <t>NOVA ROTA DO OESTE</t>
  </si>
  <si>
    <t>19.521.322/0001-04</t>
  </si>
  <si>
    <t>988</t>
  </si>
  <si>
    <t>PA</t>
  </si>
  <si>
    <t>CENTRAIS DE ABASTECIMENTO DO PARÁ S.A</t>
  </si>
  <si>
    <t>04.819.728/0001-09</t>
  </si>
  <si>
    <t>80</t>
  </si>
  <si>
    <t>COMP. DE DESENVOLVIMENTO ECONÔMICO DO PARÁ</t>
  </si>
  <si>
    <t>CODEC</t>
  </si>
  <si>
    <t>05.416.839/0001-29</t>
  </si>
  <si>
    <t>59</t>
  </si>
  <si>
    <t>https://www,codec,pa,gov,br/wp-content/uploads/2024/04/Carta-Anual-de-Politicas-Publicas-e-Governanca-Corpor</t>
  </si>
  <si>
    <t>COMPANHIA DE HABITAÇÃO DO ESTADO DO PARÁ</t>
  </si>
  <si>
    <t>04.887.055/0001-16</t>
  </si>
  <si>
    <t>162</t>
  </si>
  <si>
    <t>https://www,cohab,pa,gov,br/sites/default/files/cohab-pa_relatorio_de_gestao_2024,pdf</t>
  </si>
  <si>
    <t>COMPANHIA DE PORTOS E HIDROVIAS DO ESTADO DO PARÁ</t>
  </si>
  <si>
    <t>CPH</t>
  </si>
  <si>
    <t>05.452.160/0001-95</t>
  </si>
  <si>
    <t>EMPRESA DE ASSITÊNCIA TÉCNICA E EXTENSÃO RURAL</t>
  </si>
  <si>
    <t>05.402.797/0001-77</t>
  </si>
  <si>
    <t>895</t>
  </si>
  <si>
    <t>https://www,emater,pa,gov,br/storage/app/media/4_%20CARTA%20ANUAL2022,pdf</t>
  </si>
  <si>
    <t>EMPRESA DE PROCESSAMNETO DE DADOS</t>
  </si>
  <si>
    <t>PRODEPA</t>
  </si>
  <si>
    <t>05.059.613/0001-18</t>
  </si>
  <si>
    <t>BANCO DO ESTADO DO PARÁ</t>
  </si>
  <si>
    <t>BANPARÁ</t>
  </si>
  <si>
    <t>04.913.711/0001-08</t>
  </si>
  <si>
    <t>2677</t>
  </si>
  <si>
    <t>https://api,mziq,com/mzfilemanager/v2/d/ad376861-25c2-483f-915c-157a43ebd1eb/e77b4d98-1397-6186-0a86-3bd9a17ba7f4?origin=1</t>
  </si>
  <si>
    <t>COMP. ADM. DA ZONA DE PROCESSAMNETO DE EXP. DE BARCARENA</t>
  </si>
  <si>
    <t>CAZBAR</t>
  </si>
  <si>
    <t>13.095.405/0001-00</t>
  </si>
  <si>
    <t>COMPANHIA DE SANEAMENTO DO PARÁ</t>
  </si>
  <si>
    <t>COSANPA</t>
  </si>
  <si>
    <t>04.945.341/0001-90</t>
  </si>
  <si>
    <t>1303</t>
  </si>
  <si>
    <t>https://ri,cosanpa,pa,gov,br/wp-content/uploads/2024/12/Carta-Anual-de-Governanca-2024,pdf</t>
  </si>
  <si>
    <t>COMPANHIA DE GÁS DO PARÁ</t>
  </si>
  <si>
    <t>GASPARÁ</t>
  </si>
  <si>
    <t>08.454.441/0001-75</t>
  </si>
  <si>
    <t>31</t>
  </si>
  <si>
    <t>https://www,gasdopara,com,br/transparencia-publica/normativos-internos</t>
  </si>
  <si>
    <t>PB</t>
  </si>
  <si>
    <t>Companhia de Desenvolvimento de Recursos Minerais da Paraíba</t>
  </si>
  <si>
    <t>CDRM</t>
  </si>
  <si>
    <t>09.307.729/0001-80</t>
  </si>
  <si>
    <t>Companhia Estadual de Habitação Popular</t>
  </si>
  <si>
    <t>CEHAP</t>
  </si>
  <si>
    <t>09.111.618/0001-01</t>
  </si>
  <si>
    <t>237</t>
  </si>
  <si>
    <t>Companhia de Desenvolvimento da Paraíba</t>
  </si>
  <si>
    <t>CINEP</t>
  </si>
  <si>
    <t>09.123.027/0001-46</t>
  </si>
  <si>
    <t>86</t>
  </si>
  <si>
    <t>Empresa de Assistência Técnica e Extensão Rural da Paraíba</t>
  </si>
  <si>
    <t>08.973.752/0001-40</t>
  </si>
  <si>
    <t>Empresa Estadual de Pesquisa Agropecuária</t>
  </si>
  <si>
    <t>EMEPA</t>
  </si>
  <si>
    <t>09.295.684/0001-70</t>
  </si>
  <si>
    <t>Empresa Paraibana de Pesquisa, Extensão Rural e Regularização Fundiária</t>
  </si>
  <si>
    <t>33.820.785/0001-06</t>
  </si>
  <si>
    <t>961</t>
  </si>
  <si>
    <t>https://empaer,pb,gov,br/servicos</t>
  </si>
  <si>
    <t>Empresa Paraibana de Abastecimento e Serviços Agrícolas</t>
  </si>
  <si>
    <t>EMPASA</t>
  </si>
  <si>
    <t>40.981.516/0001-89</t>
  </si>
  <si>
    <t>248</t>
  </si>
  <si>
    <t>Laboratório Industrial Farmacêutico do Estado da Paraíba S/A</t>
  </si>
  <si>
    <t>LIFESA</t>
  </si>
  <si>
    <t>02.921.821/0001-96</t>
  </si>
  <si>
    <t>Empresa Paraibana de Turismo S/A</t>
  </si>
  <si>
    <t>PBTUR</t>
  </si>
  <si>
    <t>08.946.006/0001-68</t>
  </si>
  <si>
    <t>41</t>
  </si>
  <si>
    <t>https://www,pbtur,pb,gov,br/</t>
  </si>
  <si>
    <t>PBTUR Hotéis S/A</t>
  </si>
  <si>
    <t>PBTUR HOTÉIS</t>
  </si>
  <si>
    <t>09.291.030/0001-79</t>
  </si>
  <si>
    <t>Companhia de Água e Esgotos da Paraíba</t>
  </si>
  <si>
    <t>CAGEPA</t>
  </si>
  <si>
    <t>09.123.654/0001-87</t>
  </si>
  <si>
    <t>2590</t>
  </si>
  <si>
    <t>https://www,cagepa,pb,gov,br/carta-anual/</t>
  </si>
  <si>
    <t>Companhia de Processamento de Dados da Paraíba</t>
  </si>
  <si>
    <t>CODATA</t>
  </si>
  <si>
    <t>09.189.499/0001-00</t>
  </si>
  <si>
    <t>221</t>
  </si>
  <si>
    <t>Companhia Docas da Paraíba</t>
  </si>
  <si>
    <t>DOCAS</t>
  </si>
  <si>
    <t>02.343.132/0001-41</t>
  </si>
  <si>
    <t>111</t>
  </si>
  <si>
    <t>Empresa Paraibana de Comunicação</t>
  </si>
  <si>
    <t>EPC</t>
  </si>
  <si>
    <t>09.366.790/0001-06</t>
  </si>
  <si>
    <t>322</t>
  </si>
  <si>
    <t>Companhia Paraibana de Gás</t>
  </si>
  <si>
    <t>PBGÁS</t>
  </si>
  <si>
    <t>00.371.600/0001-66</t>
  </si>
  <si>
    <t>81</t>
  </si>
  <si>
    <t>https://pbgas,com,br/relatorios-de-administracao/</t>
  </si>
  <si>
    <t>PE</t>
  </si>
  <si>
    <t>COMPANHIA ESTADUAL DE HABITAÇÃO E OBRAS</t>
  </si>
  <si>
    <t>CEHAB</t>
  </si>
  <si>
    <t>03.206.056/0001-95</t>
  </si>
  <si>
    <t>339</t>
  </si>
  <si>
    <t>ENCONTRA-SE EM ELABORAÇÃO</t>
  </si>
  <si>
    <t>CONSORCIO DE TRANSPORTES DA REGIAO METROPOLITANA DO RECIFE</t>
  </si>
  <si>
    <t>CTM</t>
  </si>
  <si>
    <t>10.309.806/0001-10</t>
  </si>
  <si>
    <t>615</t>
  </si>
  <si>
    <t>https://www,granderecife,pe,gov,br/institucional/governanca/instrumentos-de-governanca/</t>
  </si>
  <si>
    <t>EMPRESA DE TURISMO DE PERNAMBUCO GOVERNADOR EDUARDO CAMPOS</t>
  </si>
  <si>
    <t>EMPETUR</t>
  </si>
  <si>
    <t>10.931.533/0001-40</t>
  </si>
  <si>
    <t>433</t>
  </si>
  <si>
    <t>https://www,empetur,pe,gov,br/transparencia/governanca-corporativa/74-transparencia/1410-carta-anual-sobre-politicas-publicas-e-governanca-corporativa</t>
  </si>
  <si>
    <t>EMPRESA PERNAMBUCO DE COMUNICAÇÃO S/A</t>
  </si>
  <si>
    <t>17.659.736/0001-79</t>
  </si>
  <si>
    <t>https://www,epc,pe,gov,br/documentos/</t>
  </si>
  <si>
    <t>EMPRESA PERNAMBUCANA DE TRANSPORTE COLETIVO INTERMUNICIPAL</t>
  </si>
  <si>
    <t>EPTI</t>
  </si>
  <si>
    <t>13.526.225/0001-28</t>
  </si>
  <si>
    <t>52</t>
  </si>
  <si>
    <t>https://www,epti,pe,gov,br/carta-anual-de-politicas-publicas-e-governanca-corporativa/</t>
  </si>
  <si>
    <t>INSTITUTO AGRONÔMICO DE PERNAMBUCO</t>
  </si>
  <si>
    <t>IPA</t>
  </si>
  <si>
    <t>10.912.293/0001-37</t>
  </si>
  <si>
    <t>1108</t>
  </si>
  <si>
    <t>https://site,ipa,br/transparencia/</t>
  </si>
  <si>
    <t>PERNAMBUCO PARTICIPAÇÕES E INVESTIMENTOS S.A.</t>
  </si>
  <si>
    <t>PERPART</t>
  </si>
  <si>
    <t>02.534.914/0001-68</t>
  </si>
  <si>
    <t>223</t>
  </si>
  <si>
    <t>https://www,perpart,pe,gov,br/images/transparencia/Carta_Anual_2024,pdf</t>
  </si>
  <si>
    <t>AGENCIA DE DESENVOLVIMENTO ECONOMICO DE PERNAMBUCO S/A</t>
  </si>
  <si>
    <t>ADEPE</t>
  </si>
  <si>
    <t>10.848.646/0001-87</t>
  </si>
  <si>
    <t>324</t>
  </si>
  <si>
    <t>https://drive,google,com/file/d/1qgTFAFYEIbJEVLS1gx8FQ4cnzW5_yQ6t/view</t>
  </si>
  <si>
    <t>AGENCIA DE FOMENTO DO ESTADO DE PERNAMBUCO S.A.</t>
  </si>
  <si>
    <t>AGE</t>
  </si>
  <si>
    <t>13.178.690/0001-15</t>
  </si>
  <si>
    <t>68</t>
  </si>
  <si>
    <t>https://www,age,pe,gov,br/governancacorporativa</t>
  </si>
  <si>
    <t>COMPANHIA EDITORA DE PERNAMBUCO</t>
  </si>
  <si>
    <t>CEPE</t>
  </si>
  <si>
    <t>10.921.252/0001-07</t>
  </si>
  <si>
    <t>551</t>
  </si>
  <si>
    <t>https://www,cepe,com,br/governanca-corporativa</t>
  </si>
  <si>
    <t>COMPANHIA PERNAMBUCANA DE SANEAMENTO</t>
  </si>
  <si>
    <t>COMPESA</t>
  </si>
  <si>
    <t>09.769.035/0001-64</t>
  </si>
  <si>
    <t>5711</t>
  </si>
  <si>
    <t>https://servicos,compesa,com,br/governanca/</t>
  </si>
  <si>
    <t>COMPANHIA PERNAMBUCANA DE GÁS</t>
  </si>
  <si>
    <t>COPERGÁS</t>
  </si>
  <si>
    <t>41.025.313/0001-81</t>
  </si>
  <si>
    <t>https://novo,copergas,com,br/portais/portal-da-governanca/index,php?option=com_content&amp;view=article&amp;id=29&amp;Itemid=202</t>
  </si>
  <si>
    <t>LABORATÓRIO FARMACÊUTICO DO ESTADO DE PE GOV. MIGUEL ARRAES S/A</t>
  </si>
  <si>
    <t>LAFEPE</t>
  </si>
  <si>
    <t>10.877.926/0001-13</t>
  </si>
  <si>
    <t>704</t>
  </si>
  <si>
    <t>https://www,lafepe,pe,gov,br/governanca</t>
  </si>
  <si>
    <t>PORTO DO RECIFE S/A</t>
  </si>
  <si>
    <t>PORTO DO RECIFE</t>
  </si>
  <si>
    <t>04.417.870/0001-11</t>
  </si>
  <si>
    <t>194</t>
  </si>
  <si>
    <t>https://www,portodorecife,pe,gov,br/governanca-corporativa,php</t>
  </si>
  <si>
    <t>SUAPE - COMPLEXO INDUSTRIAL PORTUARIO GOVERNADOR ERALDO GUEIROS</t>
  </si>
  <si>
    <t>SUAPE</t>
  </si>
  <si>
    <t>11.448.933/0001-62</t>
  </si>
  <si>
    <t>669</t>
  </si>
  <si>
    <t>https://www,suape,pe,gov,br/pt/transparencia/governanca-corporativa/carta-anual-de-politicas-publicas-e-de-governanca-corporativa</t>
  </si>
  <si>
    <t>PI</t>
  </si>
  <si>
    <t>Companhia Ferroviária e Logística do Piauí</t>
  </si>
  <si>
    <t>CFLP</t>
  </si>
  <si>
    <t>34.972.075/0001-56</t>
  </si>
  <si>
    <t>71</t>
  </si>
  <si>
    <t>EMPRESA DE GESTÃO DE RECURSOS DO ESTADO DO PIAUÍ S.A</t>
  </si>
  <si>
    <t>EMGERPI</t>
  </si>
  <si>
    <t>06.643.068/0001-75</t>
  </si>
  <si>
    <t>688</t>
  </si>
  <si>
    <t>https://portal,pi,gov,br/emgerpi/relatorio-de-gestao/</t>
  </si>
  <si>
    <t>COMPANHIA DE GAS DO PIAUI - GASPISA</t>
  </si>
  <si>
    <t>GASPISA</t>
  </si>
  <si>
    <t>04.934.243/0001-58</t>
  </si>
  <si>
    <t>NÃO POSSUI</t>
  </si>
  <si>
    <t>AGUAS E ESGOTOS DO PIAUÍ SA</t>
  </si>
  <si>
    <t>AGESPISA</t>
  </si>
  <si>
    <t>06.845.747/0001-27</t>
  </si>
  <si>
    <t>2388</t>
  </si>
  <si>
    <t>AGENCIA DE FOMENTO E DESENVOLVIMENTO DO ESTADO DO PIAUI S.A.</t>
  </si>
  <si>
    <t>BADESPI</t>
  </si>
  <si>
    <t>11.836.226/0001-43</t>
  </si>
  <si>
    <t>https://portal,pi,gov,br/fomento/carta-anual-de-governanca/#123-124-2023-1679469123</t>
  </si>
  <si>
    <t>EMPRESA DE TECNOLOGIA DA INFORMAÇÃO DO PIAUÍ</t>
  </si>
  <si>
    <t>ETIPI</t>
  </si>
  <si>
    <t>08.839.135/0001-57</t>
  </si>
  <si>
    <t>269</t>
  </si>
  <si>
    <t>https://www,etipi,com,br/documentos/governanca</t>
  </si>
  <si>
    <t>Agência de Atração de Investimentos Estratégicos do Piauí S/A</t>
  </si>
  <si>
    <t>INVESTE PIAUÍ</t>
  </si>
  <si>
    <t>44.660.105/0001-42</t>
  </si>
  <si>
    <t>PIAUÍ LINK S.A.</t>
  </si>
  <si>
    <t>PIAUÍ LINK</t>
  </si>
  <si>
    <t>54.315.275/0001-43</t>
  </si>
  <si>
    <t>6</t>
  </si>
  <si>
    <t>PIAUÍ INSTITUTO DE TECNOLOGIA S.A.</t>
  </si>
  <si>
    <t>PIT</t>
  </si>
  <si>
    <t>56.942.764/0001-50</t>
  </si>
  <si>
    <t>COMPANHIA DE TERMINAIS ALFANDEGADOS DO PIAUÍ - PORTO PIAUÍ</t>
  </si>
  <si>
    <t>PORTO PIAUI</t>
  </si>
  <si>
    <t>19.045.674/0001-30</t>
  </si>
  <si>
    <t>49</t>
  </si>
  <si>
    <t>COMPANHIA ADMINISTRADORA DA ZONA DE PROCESSAMENTO DE EXPORTAÇÃO DE PARNAÍBA-PI S/A</t>
  </si>
  <si>
    <t>ZPE PIAUÍ</t>
  </si>
  <si>
    <t>13.031.118/0001-29</t>
  </si>
  <si>
    <t>https://investepiaui,com/zpe/</t>
  </si>
  <si>
    <t>PR</t>
  </si>
  <si>
    <t>Companhia de Habitação do Paraná</t>
  </si>
  <si>
    <t>COHAPAR</t>
  </si>
  <si>
    <t>76.592.807/0001-22</t>
  </si>
  <si>
    <t>Instituto de Tecnologia do Paraná</t>
  </si>
  <si>
    <t>TECPAR</t>
  </si>
  <si>
    <t>77.964.393/0001-88</t>
  </si>
  <si>
    <t>579</t>
  </si>
  <si>
    <t>Agência de Fomento do Paraná S/A</t>
  </si>
  <si>
    <t>AGÊNCIA DE FOMENTO</t>
  </si>
  <si>
    <t>03.584.906/0001-99</t>
  </si>
  <si>
    <t>https://www,fomento,pr,gov,br/sites/default/arquivos_restritos/files/documento/2025-03/carta_anual_governanca_2023_1,pdf</t>
  </si>
  <si>
    <t>Administração dos Portos de Paranaguá e Antonina</t>
  </si>
  <si>
    <t>APPA</t>
  </si>
  <si>
    <t>79.621.439/0001-91</t>
  </si>
  <si>
    <t>443</t>
  </si>
  <si>
    <t>https://www,portosdoparana,pr,gov,br/sites/portos/arquivos_restritos/files/documento/2024-07/carta_de_governanca_2023_publicavel,pdf</t>
  </si>
  <si>
    <t>Centrais de Abastecimento do Paraná S/A</t>
  </si>
  <si>
    <t>75.063.164/0001-67</t>
  </si>
  <si>
    <t>153</t>
  </si>
  <si>
    <t>https://www,ceasa,pr,gov,br/Pagina/Governanca-Corporativa</t>
  </si>
  <si>
    <t>Companhia de Tecnologia da Informação e Comunicação do Paraná</t>
  </si>
  <si>
    <t>CELEPAR</t>
  </si>
  <si>
    <t>76.545.011/0001-19</t>
  </si>
  <si>
    <t>1257</t>
  </si>
  <si>
    <t>https://www,celepar,pr,gov,br/sites/celepar/arquivos_restritos/files/documento/2025-05/cartaanualdegovernancaexercicio2024,pdf</t>
  </si>
  <si>
    <t>Estrada de Ferro Paraná Oeste S/A</t>
  </si>
  <si>
    <t>FERROESTE</t>
  </si>
  <si>
    <t>80.544.042/0001-22</t>
  </si>
  <si>
    <t>Companhia de Saneamento do Paraná</t>
  </si>
  <si>
    <t>SANEPAR</t>
  </si>
  <si>
    <t>76.484.013/0001-45</t>
  </si>
  <si>
    <t>6047</t>
  </si>
  <si>
    <t>https://ri,sanepar,com,br/governanca-corporativa/praticas-de-governanca-corporativa/2024</t>
  </si>
  <si>
    <t>RJ</t>
  </si>
  <si>
    <t>COMPANHIA DE ARMAZÉNS E SILOS DO ESTADO DO RIO DE JANEIRO - CASERJ</t>
  </si>
  <si>
    <t>CASERJ</t>
  </si>
  <si>
    <t>33.135.641/0001-02</t>
  </si>
  <si>
    <t>CENTRAIS DE ABASTECIMENTO DO ESTADO DO RIO DE JANEIRO S.A. - CEASA</t>
  </si>
  <si>
    <t>34.105.205/0001-53</t>
  </si>
  <si>
    <t>informação de preenchimento não obrigatório</t>
  </si>
  <si>
    <t>COMPANHIA ESTADUAL DE HABITAÇÃO DO RIO DE JANEIRO</t>
  </si>
  <si>
    <t>33.525.221/0001-32</t>
  </si>
  <si>
    <t>340</t>
  </si>
  <si>
    <t>texto</t>
  </si>
  <si>
    <t>Companhia Estadual de Engenharia de Transportes e Logística - CENTRAL-RJ</t>
  </si>
  <si>
    <t>CENTRAL</t>
  </si>
  <si>
    <t>04.585.463/0001-13</t>
  </si>
  <si>
    <t>Companhia de Desenvolvimento Rodoviário e Terminais do Estado do Rio de Janeiro - CODERTE</t>
  </si>
  <si>
    <t>CODERTE</t>
  </si>
  <si>
    <t>42.467.191/0001-46</t>
  </si>
  <si>
    <t>137</t>
  </si>
  <si>
    <t>Companhia de Desenvolvimento Industrial do Estado do Rio de Janeiro - CODIN</t>
  </si>
  <si>
    <t>CODIN</t>
  </si>
  <si>
    <t>30.124.754/0001-14</t>
  </si>
  <si>
    <t>COMPANHIA DE TRANSPORTES COLETIVOS DO ESTADO DO RIO DE JANEIRO CTC-RJ "EM LIQUIDAÇÃO"</t>
  </si>
  <si>
    <t>CTC</t>
  </si>
  <si>
    <t>33.009.663/0001-26</t>
  </si>
  <si>
    <t>Empresa de Assistência Técnica e Extensão Rural do Etado do Rio de Janeiro - EMATER-RIO</t>
  </si>
  <si>
    <t>EMATER-RIO</t>
  </si>
  <si>
    <t>29.223.492/0001-66</t>
  </si>
  <si>
    <t>558</t>
  </si>
  <si>
    <t>https://www,rj,gov,br/emater/sites/default/files/arquivos_pagina/CARTA_DE_SERVICOS_DA_EMATER_RIO,pdf</t>
  </si>
  <si>
    <t>Empresa de Obras Públicas do Estado do Rio de Janeiro</t>
  </si>
  <si>
    <t>EMOP</t>
  </si>
  <si>
    <t>42.411.249/0001-30</t>
  </si>
  <si>
    <t>409</t>
  </si>
  <si>
    <t>COMPANHIA FLUMINENSE DE TRENS URBANOS - FLUMITRENS E/L</t>
  </si>
  <si>
    <t>FLUMITRENS</t>
  </si>
  <si>
    <t>00.389.526/0001-05</t>
  </si>
  <si>
    <t>INSTITUTO VITAL BRAZIL S/A</t>
  </si>
  <si>
    <t>IVB</t>
  </si>
  <si>
    <t>30.064.034/0001-00</t>
  </si>
  <si>
    <t>542</t>
  </si>
  <si>
    <t>COMPANHIA DO METROPOLITANO DO RIO DE JANEIRO - METRÔ E/L</t>
  </si>
  <si>
    <t>METRO</t>
  </si>
  <si>
    <t>33.890.294/0001-23</t>
  </si>
  <si>
    <t>Empresa de Pesquisa Agropecuária do Estado do Rio de Janeiro - Pesagro/RJ</t>
  </si>
  <si>
    <t>PESAGRO</t>
  </si>
  <si>
    <t>42.516.773/0001-75</t>
  </si>
  <si>
    <t>257</t>
  </si>
  <si>
    <t>COMPANHIA DE TRANSPORTES SOBRE TRILHOS RJ</t>
  </si>
  <si>
    <t>RIOTRILHOS</t>
  </si>
  <si>
    <t>04.611.818/0001-00</t>
  </si>
  <si>
    <t>207</t>
  </si>
  <si>
    <t>https://www,rj,gov,br/riotrilhos/carta_politica_publica</t>
  </si>
  <si>
    <t>Companhia de Turismo do Estado do Rio de Janeiro - TurisRio</t>
  </si>
  <si>
    <t>TURISRIO</t>
  </si>
  <si>
    <t>30.099.147/0001-41</t>
  </si>
  <si>
    <t>AGÊNCIA DE FOMENTO DO ESTADO DO RJ</t>
  </si>
  <si>
    <t>AGERIO</t>
  </si>
  <si>
    <t>05.940.203/0001-81</t>
  </si>
  <si>
    <t>184</t>
  </si>
  <si>
    <t>BANCO DE DESENVOLVIMENTO DO ESTADO DO RJ S/A EM LIQUIDAÇÃO</t>
  </si>
  <si>
    <t>BDRIO</t>
  </si>
  <si>
    <t>30.133.060/0001-43</t>
  </si>
  <si>
    <t>Companhia Estadual de Águas e Esgotos - CEDAE</t>
  </si>
  <si>
    <t>CEDAE</t>
  </si>
  <si>
    <t>33.352.394/0001-04</t>
  </si>
  <si>
    <t>3641</t>
  </si>
  <si>
    <t>https://storage,googleapis,com/sitecedae/Governan%C3%A7a/Carta_Anual_de_Politicas_Publicas_e_Governanca_2023,pdf</t>
  </si>
  <si>
    <t>CENTRAIS ELETRICAS FLUMINENSES S.A. CELF - EM LIQUIDAÇÃO ORDINÁRIA</t>
  </si>
  <si>
    <t>CELF</t>
  </si>
  <si>
    <t>30.066.658/0001-67</t>
  </si>
  <si>
    <t>COMPANHIA FLUMINENSE DE SECURITIZAÇÃO S.A.- EM LIQUIDAÇÃO ORDINÁRIA</t>
  </si>
  <si>
    <t>CFSEC</t>
  </si>
  <si>
    <t>23.592.981/0001-09</t>
  </si>
  <si>
    <t>DISTRIBUIDORA DE TITULOS E VALORES MOBILIARIOS DO EST. DO RJ S.A - EM LIQUIDAÇÃO ORDINÁRIA</t>
  </si>
  <si>
    <t>DIVERJ</t>
  </si>
  <si>
    <t>30.123.509/0001-92</t>
  </si>
  <si>
    <t>IMPRENSA OFICIAL DO ESTADO DO RIO DE JANEIRO</t>
  </si>
  <si>
    <t>IOERJ</t>
  </si>
  <si>
    <t>28.542.017/0001-90</t>
  </si>
  <si>
    <t>208</t>
  </si>
  <si>
    <t>RN</t>
  </si>
  <si>
    <t>Centrais de Abastecimento do Rio Grande do Norte S/A</t>
  </si>
  <si>
    <t>08.060.899/0001-40</t>
  </si>
  <si>
    <t>https://transparencia,ceasa,rn,gov,br/p/carta-de-servicos</t>
  </si>
  <si>
    <t>CEHAB - COMPANHIA ESTADUAL DE HABITACAO E DESENVOLVIMENTO URBANO</t>
  </si>
  <si>
    <t>09.509.294/0001-56</t>
  </si>
  <si>
    <t>75</t>
  </si>
  <si>
    <t>https://transparencia,cehabrn,com,br/</t>
  </si>
  <si>
    <t>COMPANHIA DE PROCESSAMENTO DE DADOS DO RN - DATANORTE</t>
  </si>
  <si>
    <t>DATANORTE</t>
  </si>
  <si>
    <t>08.314.874/0001-25</t>
  </si>
  <si>
    <t>55</t>
  </si>
  <si>
    <t>http://www,adcon,rn,gov,br/ACERVO/datanorte/DOC/DOC000000000351706,PDF</t>
  </si>
  <si>
    <t>EMPRESA DE PESQUISA AGROPECUÁRIA DO RN - EMPARN</t>
  </si>
  <si>
    <t>EMPARN</t>
  </si>
  <si>
    <t>08.510.158/0001-13</t>
  </si>
  <si>
    <t>165</t>
  </si>
  <si>
    <t>EMPRESA POTIGUAR DE PROMOÇÃO TURÍSTICA S.A.</t>
  </si>
  <si>
    <t>EMPROTUR</t>
  </si>
  <si>
    <t>10.202.792/0001-30</t>
  </si>
  <si>
    <t>79</t>
  </si>
  <si>
    <t>https://www,emprotur,setur,rn,gov,br/</t>
  </si>
  <si>
    <t>AGENCIA DE FOMENTO DO RIO GRANDE DO NORTE S/A</t>
  </si>
  <si>
    <t>AGN</t>
  </si>
  <si>
    <t>03.848.103/0001-02</t>
  </si>
  <si>
    <t>https://novopainelapi,agnrn,com,br/public/uploads/files/68387a7ec033b,pdf</t>
  </si>
  <si>
    <t>COMPANHIA DE AGUAS E ESGOTOS DO RIO GRANDE DO NORTE</t>
  </si>
  <si>
    <t>CAERN</t>
  </si>
  <si>
    <t>08.334.385/0001-35</t>
  </si>
  <si>
    <t>2738</t>
  </si>
  <si>
    <t>https://agencia,caern,com,br/#/carta-de-servicos</t>
  </si>
  <si>
    <t>Empresa Gestora de Ativos - EMGERN</t>
  </si>
  <si>
    <t>EMGERN</t>
  </si>
  <si>
    <t>10.552.514/0001-03</t>
  </si>
  <si>
    <t>http://www,adcon,rn,gov,br/ACERVO/EMGERN/DOC/DOC000000000346631,PDF</t>
  </si>
  <si>
    <t>COMPANHIA POTIGUAR DE GÁS</t>
  </si>
  <si>
    <t>POTIGÁS</t>
  </si>
  <si>
    <t>70.157.896/0001-00</t>
  </si>
  <si>
    <t>64</t>
  </si>
  <si>
    <t>https://www,potigas,com,br/storage/AcessoInformacao/Documents/2024/11/14/4n1hZyGAVd1nfSHPXa0nQch57kFkov-metaQ2FydGEgYW51YWwgZGUgUG9saXRpY2FzIGUgR292ZXJuYW5jzKdhX2NvbXByZXNzZWQucGRm-,pdf</t>
  </si>
  <si>
    <t>RO</t>
  </si>
  <si>
    <t>BANCO DO ESTADO DE RONDONIA S/A</t>
  </si>
  <si>
    <t>BERON</t>
  </si>
  <si>
    <t>04.797.262/0001-80</t>
  </si>
  <si>
    <t>COMPANHIA DE ÁGUA E ESGOTO DE RONDÔNIA- CAERD</t>
  </si>
  <si>
    <t>CAERD</t>
  </si>
  <si>
    <t>05.914.254/0001-39</t>
  </si>
  <si>
    <t>964</t>
  </si>
  <si>
    <t>https://transparencia,caerd-ro,com,br/carta-anual-de-politicas-publicas-e-governanca-corporativa</t>
  </si>
  <si>
    <t>COMPANHIA DE DESENVOLVIMENTO URBANO E RURAL DE RONDONIA</t>
  </si>
  <si>
    <t>CDHUR</t>
  </si>
  <si>
    <t>04.894.374/0001-59</t>
  </si>
  <si>
    <t>COMPANHIA DE PROCESSAMENTO DE DADOS DO ESTADO DE RONDONIA</t>
  </si>
  <si>
    <t>CEPRORD</t>
  </si>
  <si>
    <t>34.779.934/0001-95</t>
  </si>
  <si>
    <t>COMPANHIA DE MINERAÇÃO DE RONDÔNIA - CMR</t>
  </si>
  <si>
    <t>CMR</t>
  </si>
  <si>
    <t>04.418.471/0001-75</t>
  </si>
  <si>
    <t>https://transparencia,ro,gov,br/PastasEmArvore/Pastas?id=0538a357-5c3a-48d5-95e6-506e925853aa</t>
  </si>
  <si>
    <t>COMPANHIA RONDONIENSE DE GÁS - RONGÁS</t>
  </si>
  <si>
    <t>RONGÁS</t>
  </si>
  <si>
    <t>02.796.830/0001-00</t>
  </si>
  <si>
    <t>SOCIEDADE DE PORTOS E HIDROVIAS DO ESTADO DE RONDONIA-SOPH</t>
  </si>
  <si>
    <t>SOPH</t>
  </si>
  <si>
    <t>02.278.152/0001-86</t>
  </si>
  <si>
    <t>74</t>
  </si>
  <si>
    <t>RR</t>
  </si>
  <si>
    <t>COMPANHIA ENERGÉTICA DE RORAIMA - CERR</t>
  </si>
  <si>
    <t>CERR</t>
  </si>
  <si>
    <t>05.938.444/0001-96</t>
  </si>
  <si>
    <t>https://www,imprensaoficial,rr,gov,br/app/_visualizar-doe/</t>
  </si>
  <si>
    <t>COMPANHIA DE DESENVOLVIMENTO DE RORAIMA - CODESAIMA</t>
  </si>
  <si>
    <t>CODESAIMA</t>
  </si>
  <si>
    <t>05.950.290/0001-58</t>
  </si>
  <si>
    <t>255</t>
  </si>
  <si>
    <t>https://sei,rr,gov,br/sei/controlador,php?acao=arvore_visualizar&amp;acao_origem=procedimento_visualizar&amp;id_procedimento=18258988&amp;id_documento=18379666&amp;infra_sistema=100000100&amp;infra_unidade_atual=110003189&amp;infra_hash=5f6e050932e9a23188ad9bb87c9c9e1ba5faa535fe3e327e2db0cda9884ac197</t>
  </si>
  <si>
    <t>AGENCIA DE FOMENTO DO ESTADO DE RORAIMA S/A</t>
  </si>
  <si>
    <t>DESENVOLVE</t>
  </si>
  <si>
    <t>03.058.464/0001-47</t>
  </si>
  <si>
    <t>28</t>
  </si>
  <si>
    <t>https://desenvolverr,com,br/transparencia/</t>
  </si>
  <si>
    <t>RÁDIO RORAIMA</t>
  </si>
  <si>
    <t>11.421.743/0001-51</t>
  </si>
  <si>
    <t>COMPANHIA DE ÁGUAS E ESGOTOS DE RORAIMA- CAER</t>
  </si>
  <si>
    <t>CAER</t>
  </si>
  <si>
    <t>05.939.467/0001-15</t>
  </si>
  <si>
    <t>970</t>
  </si>
  <si>
    <t>caer,com,br/transparencia/</t>
  </si>
  <si>
    <t>RS</t>
  </si>
  <si>
    <t>BADESUL Desenvolvimento S.A. - Agência de Fomento/RS</t>
  </si>
  <si>
    <t>BADESUL</t>
  </si>
  <si>
    <t>02.885.855/0001-72</t>
  </si>
  <si>
    <t>234</t>
  </si>
  <si>
    <t>https://www,badesul,com,br/transparencia#11</t>
  </si>
  <si>
    <t>Banco do Estado do Rio Grande do Sul - BANRISUL</t>
  </si>
  <si>
    <t>BANRISUL</t>
  </si>
  <si>
    <t>92.702.067/0001-96</t>
  </si>
  <si>
    <t>9471</t>
  </si>
  <si>
    <t>CARTA_ANUAL</t>
  </si>
  <si>
    <t>Banco Regional de Desenvolvilmento do Extremo Sul - BRDE</t>
  </si>
  <si>
    <t>BRDE</t>
  </si>
  <si>
    <t>92.816.560/0001-37</t>
  </si>
  <si>
    <t>CARTA-ANUAL_2024,pdf</t>
  </si>
  <si>
    <t>Caixa de Administração da Dívida Pública Estadual - CADIP</t>
  </si>
  <si>
    <t>CADIP</t>
  </si>
  <si>
    <t>00.979.969/0001-56</t>
  </si>
  <si>
    <t>Carta Anual de Governança Corporativa - CADIP - Caixa de Administração da Dívida Pública Estadual S,A,</t>
  </si>
  <si>
    <t>Centrais de Abastecimento do Rio Grande do Sul - CEASA</t>
  </si>
  <si>
    <t>92.983.147/0001-67</t>
  </si>
  <si>
    <t>467</t>
  </si>
  <si>
    <t>https://ceasa,rs,gov,br/carta-anual-de-governanca-corporativa/</t>
  </si>
  <si>
    <t>Companhia Estadual de Silos e Armazéns - CESA</t>
  </si>
  <si>
    <t>CESA</t>
  </si>
  <si>
    <t>92.952.043/0001-95</t>
  </si>
  <si>
    <t>Companhia Riograndense de Mineração - CRM</t>
  </si>
  <si>
    <t>CRM</t>
  </si>
  <si>
    <t>92.724.145/0001-53</t>
  </si>
  <si>
    <t>372</t>
  </si>
  <si>
    <t>https://admin,crm,rs,gov,br/upload/arquivos/202502/10115406-carta-anual-2023-assinada,pdf</t>
  </si>
  <si>
    <t>Empresa Gaúcha de Rodovias - EGR</t>
  </si>
  <si>
    <t>EGR</t>
  </si>
  <si>
    <t>16.987.837/0001-06</t>
  </si>
  <si>
    <t>54</t>
  </si>
  <si>
    <t>https://www,egr,rs,gov,br/cartas-anuais</t>
  </si>
  <si>
    <t>PORTOS RS - AUTORIDADE PORTUÁRIA DOS PORTOS DO RIO GRANDE DO SUL S.A.</t>
  </si>
  <si>
    <t>PORTOS-RS</t>
  </si>
  <si>
    <t>46.191.353/0001-17</t>
  </si>
  <si>
    <t>600</t>
  </si>
  <si>
    <t>https://www,portosrs,com,br/site/public/uploads/site/cartas/3,pdf</t>
  </si>
  <si>
    <t>Companhia de Processamento de Dados do Estado do RS - PROCERGS</t>
  </si>
  <si>
    <t>PROCERGS</t>
  </si>
  <si>
    <t>87.124.582/0001-04</t>
  </si>
  <si>
    <t>1412</t>
  </si>
  <si>
    <t>https://www,procergs,rs,gov,br/carta-de-governanca-corporativa</t>
  </si>
  <si>
    <t>SC</t>
  </si>
  <si>
    <t>Companhia Integrada de Desenvolvimento Agrícola de Santa Catarina</t>
  </si>
  <si>
    <t>CIDASC</t>
  </si>
  <si>
    <t>83.807.586/0001-28</t>
  </si>
  <si>
    <t>1400</t>
  </si>
  <si>
    <t>https://www,cidasc,sc,gov,br/wp-content/uploads/2024/05/CAGC-2024,docx,pdf</t>
  </si>
  <si>
    <t>COMPANHIA DE HABITAÇÃO DO ESTADO DE SANTA CATARINA</t>
  </si>
  <si>
    <t>COHAB/SC</t>
  </si>
  <si>
    <t>83.883.710/0001-34</t>
  </si>
  <si>
    <t>EMPRESA DE PESQUISA AGROPECUÁRIA E EXTENSÃO RURAL DE SANTA CATARINA</t>
  </si>
  <si>
    <t>EPAGRI</t>
  </si>
  <si>
    <t>83.052.191/0001-62</t>
  </si>
  <si>
    <t>1565</t>
  </si>
  <si>
    <t>https://transparencia,epagri,sc,gov,br/wp-content/uploads/2025/04/CAR,DEPLAN,0001,v,02,01-Carta-anual-de-governanca-corporativa-2025,pdf</t>
  </si>
  <si>
    <t>SANTA CATARINA TURISMO S/A</t>
  </si>
  <si>
    <t>SANTUR</t>
  </si>
  <si>
    <t>83.469.908/0001-76</t>
  </si>
  <si>
    <t>AGÊNCIA DE FOMENTO DO ESTADO DE SANTA CATARINA S.A.</t>
  </si>
  <si>
    <t>BADESC</t>
  </si>
  <si>
    <t>82.937.293/0001-00</t>
  </si>
  <si>
    <t>118</t>
  </si>
  <si>
    <t>http://transparencia,badesc,gov,br/gestaoEstadual/cartaGovernanca</t>
  </si>
  <si>
    <t>BESCOR BESC CORRETORA DE SEGUORS E ADMINISTRADORA DE BENS</t>
  </si>
  <si>
    <t>BESCOR</t>
  </si>
  <si>
    <t>82.514.472/0001-27</t>
  </si>
  <si>
    <t>BANCO REGIONAL DE DESENVOLVIMENTO DO EXTREMO SUL</t>
  </si>
  <si>
    <t>https://www,brde,com,br/wp-content/uploads/2024/10/CARTA-ANUAL_2024,pdf</t>
  </si>
  <si>
    <t>Companhia Catarinense de Águas e Saneamento</t>
  </si>
  <si>
    <t>CASAN</t>
  </si>
  <si>
    <t>82.508.433/0001-17</t>
  </si>
  <si>
    <t>3485</t>
  </si>
  <si>
    <t>https://ri,casan,com,br/governanca-corporativa/carta-anual-de-politicas-publicas-e-governanca-corporativa/</t>
  </si>
  <si>
    <t>Centrais de Abastecimento de Santa Catarina</t>
  </si>
  <si>
    <t>83.284.828/0001-46</t>
  </si>
  <si>
    <t>Centrais Elétricas de Santa Catarina S. A.</t>
  </si>
  <si>
    <t>CELESC</t>
  </si>
  <si>
    <t>83.878.892/0001-55</t>
  </si>
  <si>
    <t>7451</t>
  </si>
  <si>
    <t>https://api,mziq,com/mzfilemanager/v2/d/137b4414-3d0c-493e-8b59-0d02bc3e4072/9b39257e-9aad-d42b-bdc4-c955a0e46297?origin=1</t>
  </si>
  <si>
    <t>CENTRO DE INFORMATICA E AUTOMAÇÃO DO ESTADO DE SC S/A</t>
  </si>
  <si>
    <t>CIASC</t>
  </si>
  <si>
    <t>83.043.745/0001-65</t>
  </si>
  <si>
    <t>361</t>
  </si>
  <si>
    <t>COMPANHIA HIDROMINERAL CALDAS DA IMPERATRIZ</t>
  </si>
  <si>
    <t>HIDROCALDAS</t>
  </si>
  <si>
    <t>83.470.716/0001-80</t>
  </si>
  <si>
    <t>Administradora da Zona de Processamento de Exportação S/A-IAZPE</t>
  </si>
  <si>
    <t>IAZPE</t>
  </si>
  <si>
    <t>00.124.055/0001-03</t>
  </si>
  <si>
    <t>Santa Catarina Participação e Investimentos S/A</t>
  </si>
  <si>
    <t>INVESC</t>
  </si>
  <si>
    <t>00.897.864/0001-58</t>
  </si>
  <si>
    <t>SAPIENS PARQUE SA</t>
  </si>
  <si>
    <t>SAPIENS</t>
  </si>
  <si>
    <t>05.563.063/0001-70</t>
  </si>
  <si>
    <t>SC PARTICIPACOES E PARCERIAS S.A. - SCPAR</t>
  </si>
  <si>
    <t>SCPAR</t>
  </si>
  <si>
    <t>07.293.552/0001-84</t>
  </si>
  <si>
    <t>39</t>
  </si>
  <si>
    <t>http://transparencia,scpar,sc,gov,br/scpar/responsabilidade-fiscal/prestacao-de-contas/prestacao-de-contas-anual</t>
  </si>
  <si>
    <t>SE</t>
  </si>
  <si>
    <t>Companhia Estadual de Habitação e Obras Públicas</t>
  </si>
  <si>
    <t>CEHOP</t>
  </si>
  <si>
    <t>13.006.572/0001-20</t>
  </si>
  <si>
    <t>Companhia de Desenvolvimento de Recursos Hídricos e Irrigação de Sergipe</t>
  </si>
  <si>
    <t>CODERSE</t>
  </si>
  <si>
    <t>15.613.813/0001-24</t>
  </si>
  <si>
    <t>404</t>
  </si>
  <si>
    <t>Companhia de Desenvolvimento Economico de Sergipe</t>
  </si>
  <si>
    <t>CODISE</t>
  </si>
  <si>
    <t>13.146.642/0001-45</t>
  </si>
  <si>
    <t>160</t>
  </si>
  <si>
    <t>Empresa de Desenvolvimento Agropecuário de Sergipe</t>
  </si>
  <si>
    <t>EMDAGRO</t>
  </si>
  <si>
    <t>13.108.295/0001-66</t>
  </si>
  <si>
    <t>509</t>
  </si>
  <si>
    <t>https://www,emdagro,se,gov,br</t>
  </si>
  <si>
    <t>Empresa Sergipana de Tecnologia da Informação</t>
  </si>
  <si>
    <t>EMGETIS</t>
  </si>
  <si>
    <t>13.164.959/0001-04</t>
  </si>
  <si>
    <t>Empresa Sergipana de Turismo S.A</t>
  </si>
  <si>
    <t>EMSETUR</t>
  </si>
  <si>
    <t>13.076.534/0001-43</t>
  </si>
  <si>
    <t>https://www,se,gov,br/emsetur/emsetur_transparencia</t>
  </si>
  <si>
    <t>Empresa de Desenvolvimento Sustentavel do Estado de Sergipe</t>
  </si>
  <si>
    <t>PRONESE</t>
  </si>
  <si>
    <t>74.028.457/0001-40</t>
  </si>
  <si>
    <t>53</t>
  </si>
  <si>
    <t>https://www,pronese,se,gov,br/transparencia</t>
  </si>
  <si>
    <t>Zona de Processamento de Exportação de Sergipe</t>
  </si>
  <si>
    <t>13.382.911/0001-72</t>
  </si>
  <si>
    <t>Banco do Estado de Sergipe S.A</t>
  </si>
  <si>
    <t>BANESE</t>
  </si>
  <si>
    <t>13.009.717/0001-46</t>
  </si>
  <si>
    <t>1396</t>
  </si>
  <si>
    <t>https://api,mziq,com/mzfilemanager/v2/d/ef576ca8-6e1a-4602-996d-9d5513d6ee06/e77c56ea-7465-057c-8a32-174eb9aa594e?origin=1</t>
  </si>
  <si>
    <t>Agência Sergipe de Desenvolvimento S/A</t>
  </si>
  <si>
    <t>DESENVOLVE-SE</t>
  </si>
  <si>
    <t>51.813.615/0001-78</t>
  </si>
  <si>
    <t>Companhia de Saneamento de Sergipe</t>
  </si>
  <si>
    <t>DESO</t>
  </si>
  <si>
    <t>13.018.171/0001-90</t>
  </si>
  <si>
    <t>1299</t>
  </si>
  <si>
    <t>https://transparencia,deso-se,com,br/</t>
  </si>
  <si>
    <t>Imprensa Oficial de Sergipe</t>
  </si>
  <si>
    <t>IOSE</t>
  </si>
  <si>
    <t>13.085.519/0001-61</t>
  </si>
  <si>
    <t>Sergipe Gás S.A</t>
  </si>
  <si>
    <t>SERGAS</t>
  </si>
  <si>
    <t>86.809.043/0001-38</t>
  </si>
  <si>
    <t>102</t>
  </si>
  <si>
    <t>https://www,sergipegas,com,br/documentos/?dir=Informa%C3%A7%C3%B5es%20Institucionais/Legisla%C3%A7%C3%A3o%20Interna/Carta%20Anual</t>
  </si>
  <si>
    <t>SP</t>
  </si>
  <si>
    <t>COMPANHIA DOCAS DE SÃO SEBASTIÃO</t>
  </si>
  <si>
    <t>CDSS</t>
  </si>
  <si>
    <t>09.062.893/0001-74</t>
  </si>
  <si>
    <t>88</t>
  </si>
  <si>
    <t>https://portoss,sp,gov,br/home/transparencia/governanca/</t>
  </si>
  <si>
    <t>COMPANHIA AMBIENTAL DO ESTADO DE SÃO PAULO</t>
  </si>
  <si>
    <t>CETESB</t>
  </si>
  <si>
    <t>43.776.491/0001-70</t>
  </si>
  <si>
    <t>1731</t>
  </si>
  <si>
    <t>https://cetesb,sp,gov,br/balancos-patrimoniais/</t>
  </si>
  <si>
    <t>COMPANHIA PAULISTA DE TRENS METROPOLITANOS</t>
  </si>
  <si>
    <t>CPTM</t>
  </si>
  <si>
    <t>71.832.679/0001-23</t>
  </si>
  <si>
    <t>5606</t>
  </si>
  <si>
    <t>https://www,cptm,sp,gov,br/esg-consciente/Governanca/BalancosDemonstrativos/Relat%C3%B3rio%20Integrado%20CPTM%202024,zip</t>
  </si>
  <si>
    <t>INSTITUTO DE PESQUISAS TECNOLÓGICAS DO ESTADO DE SÃO PAULO S/A</t>
  </si>
  <si>
    <t>IPT</t>
  </si>
  <si>
    <t>60.633.674/0001-55</t>
  </si>
  <si>
    <t>595</t>
  </si>
  <si>
    <t>https://ipt,br/wp-content/uploads/2025/03/Carta-anual-2024,pdf</t>
  </si>
  <si>
    <t>COMPANHIA DO METROPOLITANO DE SAO PAULO</t>
  </si>
  <si>
    <t>METRÔ</t>
  </si>
  <si>
    <t>62.070.362/0001-06</t>
  </si>
  <si>
    <t>6191</t>
  </si>
  <si>
    <t>https://transparencia,metrosp,com,br/dataset/cartas-anuais-companhia-do-metr%C3%B4-de-sp/resource/f01e4046-b8b7-430c-991a-753ef2beff5e</t>
  </si>
  <si>
    <t>COMPANHIA DE DESENVOLVIMENTO HABITACIONAL E URBANO DO ESTADO DE SÃO PAULO</t>
  </si>
  <si>
    <t>CDHU</t>
  </si>
  <si>
    <t>47.865.597/0001-09</t>
  </si>
  <si>
    <t>367</t>
  </si>
  <si>
    <t>COMPANHIA PAULISTA DE PARCERIAS</t>
  </si>
  <si>
    <t>CPP</t>
  </si>
  <si>
    <t>06.995.362/0001-46</t>
  </si>
  <si>
    <t>COMPANHIA PAULISTA DE SECURITIZAÇÃO</t>
  </si>
  <si>
    <t>CPSEC</t>
  </si>
  <si>
    <t>11.274.829/0001-07</t>
  </si>
  <si>
    <t>https://portal,fazenda,sp,gov,br/Institucional/Paginas/CPSEC/CPSEC,aspx</t>
  </si>
  <si>
    <t>DESENVOLVE SP - AGÊNCIA DE FOMENTO DO ESTADO DE SÃO PAULO S.A.</t>
  </si>
  <si>
    <t>DESENVOLVE-SP</t>
  </si>
  <si>
    <t>10.663.610/0001-29</t>
  </si>
  <si>
    <t>https://www,desenvolvesp,com,br/institucional/transparencia/prestacao-de-contas/carta-anual-de-politicas-publicas-e-governanca-corporativa/</t>
  </si>
  <si>
    <t>EMPRESA METROPOLITANA DE TRANSPORTES URBANOS DE SÃO PAULO S/A</t>
  </si>
  <si>
    <t>EMTU/SP</t>
  </si>
  <si>
    <t>58.518.069/0001-91</t>
  </si>
  <si>
    <t>496</t>
  </si>
  <si>
    <t>https://www,emtu,sp,gov,br/emtu/pdf/relatorio-gestao-24,pdf</t>
  </si>
  <si>
    <t>COMPANHIA DE PROCESSAMENTO DE DADOS DO ESTADO DE SÃO PAULO</t>
  </si>
  <si>
    <t>PRODESP</t>
  </si>
  <si>
    <t>62.577.929/0001-35</t>
  </si>
  <si>
    <t>1742</t>
  </si>
  <si>
    <t>https://www,prodesp,sp,gov,br/wp-content/uploads/2025/04/Carta-de-Politicas-Publicas-e-Governanca-Corporativa_2024,pdf</t>
  </si>
  <si>
    <t>TO</t>
  </si>
  <si>
    <t>AGÊNCIA DE FOMENTO DO ESTADO DO TOCANTINS S/A</t>
  </si>
  <si>
    <t>05.474.540/0001-20</t>
  </si>
  <si>
    <t>50</t>
  </si>
  <si>
    <t>COMPANHIA DE MINERAÇÃO DO TOCANTINS</t>
  </si>
  <si>
    <t>MINERATINS</t>
  </si>
  <si>
    <t>33.195.751/0001-60</t>
  </si>
  <si>
    <t>COMPANHIA IMOBILIÁRIA DE PARTICIPAÇÕES, INVESTIMENTOS E PARCERIAS DO ESTADO DO TOCANTINS - TOCANTINS PARCERIAS</t>
  </si>
  <si>
    <t>TOCANTINS PARCERIAS</t>
  </si>
  <si>
    <t>17.579.560/0001-45</t>
  </si>
  <si>
    <t>Checagem de empragados</t>
  </si>
  <si>
    <t>Checagem de Despesa com pessoal</t>
  </si>
  <si>
    <t>Distribuiu PLR tendo prejuízo</t>
  </si>
  <si>
    <t>INDÍCIO DE DEPENDÊNCIA - SUBVENÇÃO</t>
  </si>
  <si>
    <t>Variação das Ações</t>
  </si>
  <si>
    <t>Variação do Capital Social</t>
  </si>
  <si>
    <t>Aumento do Capital ou Participação Acionária</t>
  </si>
  <si>
    <t>Não dependente com aporte de capital</t>
  </si>
  <si>
    <t>INDÍCIO DE DEPENDÊNCIA -  APORTE DE CAPITAL</t>
  </si>
  <si>
    <t xml:space="preserve">Setor </t>
  </si>
  <si>
    <t>Link Carta Anual (copiar)</t>
  </si>
  <si>
    <t>Remuneração bruta total paga no ano</t>
  </si>
  <si>
    <t>PLR ou RVA pagos no ano</t>
  </si>
  <si>
    <t>Indenizações pagas no ano</t>
  </si>
  <si>
    <t xml:space="preserve"> Subvenções Recebidas do Tesouro Estadual / Municipal - Exercício anterior</t>
  </si>
  <si>
    <t xml:space="preserve"> Subvenções Recebidas do Tesouro Estadual / Municipal - Exercício </t>
  </si>
  <si>
    <t>Passivos Assumidos pelo Tesouro Estadual / Municipal - Exercício anterior</t>
  </si>
  <si>
    <t xml:space="preserve">Passivos Assumidos pelo Tesouro Estadual / Municipal - Exercício </t>
  </si>
  <si>
    <t>Reforço de Capital -Exercício anterior</t>
  </si>
  <si>
    <t xml:space="preserve">Reforço de Capital -Exercício </t>
  </si>
  <si>
    <t>Quantidade de ações ou cotas que o Ente possui -Exercício anterior</t>
  </si>
  <si>
    <t xml:space="preserve">Quantidade de ações ou cotas que o Ente possui -Exercício </t>
  </si>
  <si>
    <t>Capital Social Integralizado -Exercício anterior</t>
  </si>
  <si>
    <t xml:space="preserve">Capital Social Integralizado -Exercício </t>
  </si>
  <si>
    <t xml:space="preserve">Capital Social a Integralizar -Exercício </t>
  </si>
  <si>
    <t>Empresa de Processamento de Dados do Acre S/A</t>
  </si>
  <si>
    <t>Administradora da Zona de Processamento de Exportação do Acre</t>
  </si>
  <si>
    <t>Banco do Estado do Acre</t>
  </si>
  <si>
    <t>Companhia de Armazéns e Entrepostos do Acre</t>
  </si>
  <si>
    <t>Companhia Agência de Desenvolvimento e Serviços Ambientais do Estado do Acre</t>
  </si>
  <si>
    <t>Companhia Industrial de Laticínios do Acre</t>
  </si>
  <si>
    <t>Companhia de Desenvolvimento Industrial do Acre</t>
  </si>
  <si>
    <t>Companhia de Habitação do Acre</t>
  </si>
  <si>
    <t>COHAB AC</t>
  </si>
  <si>
    <t>Companhia de Colonização do Acre</t>
  </si>
  <si>
    <t>Empresa de Assistência Técnica e Extensão Rural do Acre</t>
  </si>
  <si>
    <t>EMATER AC</t>
  </si>
  <si>
    <t>Companhia de Saneamento do Acre</t>
  </si>
  <si>
    <t>Agência de Fomento de Alagoas</t>
  </si>
  <si>
    <t>Alagoas Ativos S/A</t>
  </si>
  <si>
    <t>AL ATIVOS</t>
  </si>
  <si>
    <t>Gás de Alagoas S/A</t>
  </si>
  <si>
    <t>Banco do Estado de Alagoas S/A</t>
  </si>
  <si>
    <t>Serviços de Engenharia de Alagoas S/A</t>
  </si>
  <si>
    <t>Agência de Fomento do Estado do Amazonas S/A</t>
  </si>
  <si>
    <t>Afeam</t>
  </si>
  <si>
    <t>Amazonastur</t>
  </si>
  <si>
    <t>Companhia Amazonense de Desenvolvimento e Mobilização de Ativos</t>
  </si>
  <si>
    <t>Companhia de Desenvolvimento do Estado do Amazonas</t>
  </si>
  <si>
    <t>Companhia de Gás do Amazonas</t>
  </si>
  <si>
    <t>CIGÁS</t>
  </si>
  <si>
    <t>Companhia de Saneamento do Amazonas</t>
  </si>
  <si>
    <t>PRODAM Processamento de Dados Amazonas S/A</t>
  </si>
  <si>
    <t>Agência de Fomento Popular</t>
  </si>
  <si>
    <t>Companhia de Água e Esgoto do Amapá</t>
  </si>
  <si>
    <t>Companhia de Gás do Amapá</t>
  </si>
  <si>
    <t>Bahia Pesca S/A</t>
  </si>
  <si>
    <t>BAHIA PESCA</t>
  </si>
  <si>
    <t>Companhia de Gás da Bahia</t>
  </si>
  <si>
    <t>Bahiagás</t>
  </si>
  <si>
    <t>Empresa Baiana de Ativos S/A</t>
  </si>
  <si>
    <t>Companhia de Desenvolvimento e Ação Regional</t>
  </si>
  <si>
    <t>Companhia Baiana de Pesquisa Mineral</t>
  </si>
  <si>
    <t>Companhia de Engenharia Hídrica e de Saneamento da Bahia</t>
  </si>
  <si>
    <t>Companhia de Desenvolvimento Urbano do Estado da Bahia</t>
  </si>
  <si>
    <t>Companhia de Transporte do Estado da Bahia</t>
  </si>
  <si>
    <t>Agência de Fomento do Estado da Bahia S/A</t>
  </si>
  <si>
    <t>Empresa Gráfica da Bahia</t>
  </si>
  <si>
    <t>Empresa Baiana de Águas e Saneamento</t>
  </si>
  <si>
    <t>Companhia de Processamento de Dados do Estado da Bahia</t>
  </si>
  <si>
    <t>Habitação e Urbanização da Bahia S/A</t>
  </si>
  <si>
    <t>CEASA CE</t>
  </si>
  <si>
    <t>Companhia de Desenvolvimento do Complexo Industrial e Portuário do Pecém</t>
  </si>
  <si>
    <t>COHAB CE</t>
  </si>
  <si>
    <t>ZPE CE</t>
  </si>
  <si>
    <t>BIOTIC S/A</t>
  </si>
  <si>
    <t>BRB Seguros</t>
  </si>
  <si>
    <t>BANDES Banco de Desenvolvimento do Espírito Santo</t>
  </si>
  <si>
    <t>Banestes- Banco do Estado do Espírito Santo</t>
  </si>
  <si>
    <t>Centrais de Abastecimento do Espírito Santo S/A</t>
  </si>
  <si>
    <t>CEASA ES</t>
  </si>
  <si>
    <t>Companhia Espírito Santense de Saneamento</t>
  </si>
  <si>
    <t>Companhia Estadual de Transportes Coletivos de Passageiros do Espírito Santo</t>
  </si>
  <si>
    <t>Companhia de Habitação e Urbanização do Estado do Espírito Santo - em liquidação</t>
  </si>
  <si>
    <t>COHAB ES</t>
  </si>
  <si>
    <t>Firminópolis Transmissão S/A</t>
  </si>
  <si>
    <t>Goiás Telecomunicações S/A</t>
  </si>
  <si>
    <t>Lago Azul Transmissão S/A</t>
  </si>
  <si>
    <t>Banco de Desenvolvimento de Minas Gerais S/A</t>
  </si>
  <si>
    <t>Companhia Energética de Minas Gerais</t>
  </si>
  <si>
    <t>Companhia de Desenvolvimento de Minas Gerais</t>
  </si>
  <si>
    <t>Companhia de Desenvolvimento Econômico de Minas Gerais</t>
  </si>
  <si>
    <t>Companhia de Habitação do Estado de Minas Gerais</t>
  </si>
  <si>
    <t>Copasa Serviços de Saneamento Integrado do Norte e Nordeste de Minas Gerais S/A</t>
  </si>
  <si>
    <t>Companhia de Saneamento de Minas Gerais</t>
  </si>
  <si>
    <t>Empresa de Assistência Técnica e Extensão Rural do Estado de Minas Gerais</t>
  </si>
  <si>
    <t>Empresa Mineira de Comunicação Ltda</t>
  </si>
  <si>
    <t>Empresa de Pesquisa Agropecuária de Minas Gerais</t>
  </si>
  <si>
    <t>Companhia de Gás de Minas Gerais</t>
  </si>
  <si>
    <t>Trem Metropolitano de Belo Horizonte S/A</t>
  </si>
  <si>
    <t>Minas Gerais Participações S/A</t>
  </si>
  <si>
    <t>Minas Gerais Administração e Serviços S/A</t>
  </si>
  <si>
    <t>Companhia de Tecnologia da Informação do Estado de Minas Gerais</t>
  </si>
  <si>
    <t>Empresa de Serviços Agropecuários de MS</t>
  </si>
  <si>
    <t>Centrais de Abastecimento de Mato Grosso do Sul S/A</t>
  </si>
  <si>
    <t>CEASA MS</t>
  </si>
  <si>
    <t>Loteria Estadual de MS</t>
  </si>
  <si>
    <t>Companhia de Gás do Estado de Mato Grosso do Sul</t>
  </si>
  <si>
    <t>Empresa de Gestão de Recursos Minerais</t>
  </si>
  <si>
    <t>Empresa de Saneamento de Mato Grosso do Sul S/A</t>
  </si>
  <si>
    <t>Agência de Fomento do Estado de Mato Grosso S/A</t>
  </si>
  <si>
    <t>Empresa Mato-Grossense de Pesquisa, Assistência Técnica e Extensão Rural</t>
  </si>
  <si>
    <t>EMPAER MT</t>
  </si>
  <si>
    <t>Companhia Matogrossense de Mineração</t>
  </si>
  <si>
    <t>Companhia Mato-Grossense de Gas</t>
  </si>
  <si>
    <t>MT Participações e Projetos S/A (Holding)</t>
  </si>
  <si>
    <t>MT Par Concessões S/A (Subsidiaria)</t>
  </si>
  <si>
    <t>MT PAR ONCESSOES</t>
  </si>
  <si>
    <t>MT Parques S/A (Subsidiaria)</t>
  </si>
  <si>
    <t>Empresa Mato-Grossense de Tecnologia da Informação</t>
  </si>
  <si>
    <t>Concessionaria Rota do Oeste S/A (Subsidiaria)</t>
  </si>
  <si>
    <t>Companhia de Saneamento do Estado de Mato Grosso</t>
  </si>
  <si>
    <t>Terminal Portuário de Cáceres S/A (Subsidiaria)</t>
  </si>
  <si>
    <t>Banco do Estado do Pará</t>
  </si>
  <si>
    <t>Comp. Adm. da Zona de Processamento de Exp. de Barcarena</t>
  </si>
  <si>
    <t>Centrais de Abastecimento do Pará S/A</t>
  </si>
  <si>
    <t>CEASA PA</t>
  </si>
  <si>
    <t>Companhia de Desenvolvimento Econômico do Pará</t>
  </si>
  <si>
    <t>Companhia de Habitação do Estado do Pará</t>
  </si>
  <si>
    <t>COHAB PA</t>
  </si>
  <si>
    <t>Companhia de Saneamento do Pará</t>
  </si>
  <si>
    <t>Companhia de Portos e Hidrovias do Estado do Pará</t>
  </si>
  <si>
    <t>Empresa de Assistência Técnica e Extensão Rural</t>
  </si>
  <si>
    <t>EMATER PA</t>
  </si>
  <si>
    <t>Companhia de Gás do Pará</t>
  </si>
  <si>
    <t>Empresa de Processamento de Dados</t>
  </si>
  <si>
    <t>EMATER PB</t>
  </si>
  <si>
    <t>EMPAER PB</t>
  </si>
  <si>
    <t>EPC PB</t>
  </si>
  <si>
    <t>Agência de Desenvolvimento Econômico de Pernambuco S/A</t>
  </si>
  <si>
    <t>Agência de Fomento do Estado de Pernambuco S/A</t>
  </si>
  <si>
    <t>Companhia Estadual de Habitação e Obras</t>
  </si>
  <si>
    <t>CEHAB PE</t>
  </si>
  <si>
    <t>Companhia Editora de Pernambuco</t>
  </si>
  <si>
    <t>Companhia Pernambucana de Saneamento</t>
  </si>
  <si>
    <t>Companhia Pernambucana de Gás</t>
  </si>
  <si>
    <t>Consórcio de Transportes da Região Metropolitana do Recife</t>
  </si>
  <si>
    <t>Empresa de Turismo de Pernambuco Governador Eduardo Campos</t>
  </si>
  <si>
    <t>Empresa Pernambuco de Comunicação S/A</t>
  </si>
  <si>
    <t>EPC PE</t>
  </si>
  <si>
    <t>Empresa Pernambucana de Transporte Coletivo Intermunicipal</t>
  </si>
  <si>
    <t>Instituto Agronômico de Pernambuco</t>
  </si>
  <si>
    <t>Laboratório Farmacêutico do Estado de PE Gov. Miguel Arraes S/A</t>
  </si>
  <si>
    <t>Pernambuco Participações e Investimentos S/A</t>
  </si>
  <si>
    <t>Porto do Recife S/A</t>
  </si>
  <si>
    <t>Complexo Industrial Portuário Governador Eraldo Gueiros</t>
  </si>
  <si>
    <t>Águas e Esgotos do Piauí S/A</t>
  </si>
  <si>
    <t>Agência de Fomento e Desenvolvimento do Estado do Piauí S/A</t>
  </si>
  <si>
    <t>Empresa de Gestão de Recursos do Estado do Piauí S/A</t>
  </si>
  <si>
    <t>Empresa de Tecnologia da Informação do Piauí</t>
  </si>
  <si>
    <t>Companhia de Gás do Piauí</t>
  </si>
  <si>
    <t xml:space="preserve">
DESENVOLVIMENTO REGIONAL</t>
  </si>
  <si>
    <t>Companhia de Terminais Alfandegados do Piauí</t>
  </si>
  <si>
    <t>Companhia Administradora da Zona de Processamento de Exportação de Parnaíba-PI S/A</t>
  </si>
  <si>
    <t>CEASA PR</t>
  </si>
  <si>
    <t>FOMENTO PR</t>
  </si>
  <si>
    <t>Companhia de Saneamento do Estado do Paraná</t>
  </si>
  <si>
    <t>Agência de Fomento do Estado do RJ</t>
  </si>
  <si>
    <t>Banco de Desenvolvimento do Estado do RJ S/A - Em Liquidação</t>
  </si>
  <si>
    <t>Companhia de Armazéns e Silos do Estado do Rio de Janeiro</t>
  </si>
  <si>
    <t>Centrais de Abastecimento do Estado do Rio de Janeiro S/A</t>
  </si>
  <si>
    <t>CEASA RJ</t>
  </si>
  <si>
    <t>Companhia Estadual de Águas e Esgotos</t>
  </si>
  <si>
    <t>Companhia Estadual de Habitação do Rio de Janeiro</t>
  </si>
  <si>
    <t>CEHAB RJ</t>
  </si>
  <si>
    <t>Centrais Elétricas Fluminenses S/A</t>
  </si>
  <si>
    <t>Companhia Estadual de Engenharia de Transportes e Logística</t>
  </si>
  <si>
    <t>Companhia Fluminense de Securitização S/A - Em Liquidação Ordinária</t>
  </si>
  <si>
    <t>Companhia de Desenvolvimento Rodoviário e Terminais do Estado do Rio de Janeiro</t>
  </si>
  <si>
    <t>Companhia de Desenvolvimento Industrial do Estado do Rio de Janeiro</t>
  </si>
  <si>
    <t>Companhia de Transportes Coletivos do Estado do Rio de Janeiro - Em Liquidação</t>
  </si>
  <si>
    <t>Distribuidora de Títulos e Valores Mobiliários do Estado do RJ S/A</t>
  </si>
  <si>
    <t>Empresa de Assistência Técnica e Extensão Rural do Estado do Rio de Janeiro</t>
  </si>
  <si>
    <t>Companhia Fluminense de Trens Urbanos</t>
  </si>
  <si>
    <t>Imprensa Oficial do Estado do Rio de Janeiro</t>
  </si>
  <si>
    <t>Instituto Vital Brazil S/A</t>
  </si>
  <si>
    <t>Companhia do Metropolitano do Rio de Janeiro</t>
  </si>
  <si>
    <t>Empresa de Pesquisa Agropecuária do Estado do Rio de Janeiro</t>
  </si>
  <si>
    <t>Companhia de Transportes Sobre Trilhos do RJ</t>
  </si>
  <si>
    <t>Companhia de Turismo do Estado do Rio de Janeiro</t>
  </si>
  <si>
    <t>Agência de Fomento do Rio Grande do Norte S/A</t>
  </si>
  <si>
    <t>Companhia de Águas e Esgotos do Rio Grande do Norte</t>
  </si>
  <si>
    <t>CEASA RN</t>
  </si>
  <si>
    <t>Companhia Estadual de Habitação e Desenvolvimento Urbano</t>
  </si>
  <si>
    <t>CEHAB RN</t>
  </si>
  <si>
    <t>Companhia de Processamento de Dados do RN</t>
  </si>
  <si>
    <t>Empresa Gestora de Ativos</t>
  </si>
  <si>
    <t>Empresa de Pesquisa Agropecuária do RN</t>
  </si>
  <si>
    <t>Empresa Potiguar de Promoção Turística S/A</t>
  </si>
  <si>
    <t>Companhia Potiguar de Gás</t>
  </si>
  <si>
    <t>Banco do Estado de Rondônia S/A</t>
  </si>
  <si>
    <t>Companhia de Água e Esgoto de Rondônia</t>
  </si>
  <si>
    <t>Companhia de Desenvolvimento Urbano e Rural de Rondônia</t>
  </si>
  <si>
    <t>Companhia de Processamento de Dados do Estado de Rondônia</t>
  </si>
  <si>
    <t>Companhia de Mineração de Rondônia</t>
  </si>
  <si>
    <t>Companhia Rondoniense de Gás</t>
  </si>
  <si>
    <t>Sociedade de Portos e Hidrovias do Estado de Rondônia</t>
  </si>
  <si>
    <t>Companhia de Águas e Esgotos de Roraima</t>
  </si>
  <si>
    <t>Companhia Energética de Roraima</t>
  </si>
  <si>
    <t>Companhia de Desenvolvimento de Roraima</t>
  </si>
  <si>
    <t>Agência de Fomento do Estado de Roraima S/A</t>
  </si>
  <si>
    <t>Rádio Roraima</t>
  </si>
  <si>
    <t>Badesul Desenvolvimento S/A</t>
  </si>
  <si>
    <t>Banco do Estado do Rio Grande do Sul</t>
  </si>
  <si>
    <t>Banco Regional de Desenvolvimento do Extremo Sul</t>
  </si>
  <si>
    <t>BRDE RS</t>
  </si>
  <si>
    <t>Caixa de Administração da Dívida Pública Estadual</t>
  </si>
  <si>
    <t>Centrais de Abastecimento do Rio Grande do Sul</t>
  </si>
  <si>
    <t>CEASA RS</t>
  </si>
  <si>
    <t>Companhia Estadual de Silos e Armazéns</t>
  </si>
  <si>
    <t>Companhia Riograndense de Mineração</t>
  </si>
  <si>
    <t>Empresa Gaúcha de Rodovias</t>
  </si>
  <si>
    <t>Autoridade Portuária dos Portos do Rio Grande do Sul S/A</t>
  </si>
  <si>
    <t>Companhia de Processamento de Dados do Estado do RS</t>
  </si>
  <si>
    <t>Agência de Fomento do Estado de Santa Catarina S/A</t>
  </si>
  <si>
    <t>Besc Corretora de Seguros e Administradora de Bens</t>
  </si>
  <si>
    <t>CEASA SC</t>
  </si>
  <si>
    <t>Centrais Elétricas de Santa Catarina S/A</t>
  </si>
  <si>
    <t>Centro de Informática e Automação do Estado de Santa Catarina S/A</t>
  </si>
  <si>
    <t>Companhia de Habitação do Estado de Santa Catarina</t>
  </si>
  <si>
    <t>Empresa de Pesquisa Agropecuária e Extensão Rural de Santa Catarina</t>
  </si>
  <si>
    <t>Companhia Hidromineral Caldas da Imperatriz</t>
  </si>
  <si>
    <t>Administradora da Zona de Processamento de Exportação S/A</t>
  </si>
  <si>
    <t>Santa Catarina Turismo S/A</t>
  </si>
  <si>
    <t>Sapiens Parque S/A</t>
  </si>
  <si>
    <t>SC Participações e Parcerias S/A</t>
  </si>
  <si>
    <t>Banco do Estado de Sergipe S/A</t>
  </si>
  <si>
    <t>Companhia de Desenvolvimento Econômico de Sergipe</t>
  </si>
  <si>
    <t>Empresa Sergipana de Turismo S/A</t>
  </si>
  <si>
    <t>Empresa de Desenvolvimento Sustentável do Estado de Sergipe</t>
  </si>
  <si>
    <t>Sergipe Gás S/A</t>
  </si>
  <si>
    <t>ZPE SE</t>
  </si>
  <si>
    <t>Companhia de Desenvolvimento Habitacional e Urbano do Estado de São Paulo</t>
  </si>
  <si>
    <t>Companhia Docas de São Sebastião</t>
  </si>
  <si>
    <t>Companhia Ambiental do Estado de São Paulo</t>
  </si>
  <si>
    <t>Companhia Paulista de Parcerias</t>
  </si>
  <si>
    <t>Companhia Paulista de Securitização</t>
  </si>
  <si>
    <t>Companhia Paulista de Trens Metropolitanos</t>
  </si>
  <si>
    <t>Agência de Fomento do Estado de São Paulo S/A</t>
  </si>
  <si>
    <t>Empresa Metropolitana de Águas e Energia S/A</t>
  </si>
  <si>
    <t>EMAE</t>
  </si>
  <si>
    <t>02.302.101/0001-42</t>
  </si>
  <si>
    <t>Empresa Metropolitana de Transportes Urbanos de São Paulo S/A</t>
  </si>
  <si>
    <t>Instituto de Pesquisas Tecnológicas do Estado de São Paulo S/A</t>
  </si>
  <si>
    <t>Companhia do Metropolitano de São Paulo</t>
  </si>
  <si>
    <t>Companhia de Processamento de Dados do Estado de São Paulo</t>
  </si>
  <si>
    <t>Companhia de Saneamento Básico do Estado de São Paulo</t>
  </si>
  <si>
    <t>SABESP</t>
  </si>
  <si>
    <t>43.776.517/0001-80</t>
  </si>
  <si>
    <t>Agência de Fomento do Estado do Tocantins S/A</t>
  </si>
  <si>
    <t>FOMENTO</t>
  </si>
  <si>
    <t>Companhia de Mineração do Tocantins</t>
  </si>
  <si>
    <t>Companhia Imobiliária de Participações, Investimentos e Parcerias do Estado do Tocantins</t>
  </si>
  <si>
    <t>nova em 2024</t>
  </si>
  <si>
    <t>saiu em 2024?</t>
  </si>
  <si>
    <t>Agência de Negócios do Estado do Acre</t>
  </si>
  <si>
    <t xml:space="preserve">Frequência </t>
  </si>
  <si>
    <t>Total</t>
  </si>
  <si>
    <t>Recife</t>
  </si>
  <si>
    <t>MRJ</t>
  </si>
  <si>
    <t>2024 com formulas</t>
  </si>
  <si>
    <t>ex2024</t>
  </si>
  <si>
    <t>Ente</t>
  </si>
  <si>
    <t>Empresa</t>
  </si>
  <si>
    <t>Sigla da Empresa</t>
  </si>
  <si>
    <t>UF/Situação</t>
  </si>
  <si>
    <t>UF/Setor</t>
  </si>
  <si>
    <t>UF/Especie</t>
  </si>
  <si>
    <t>UF/Dependência</t>
  </si>
  <si>
    <t>Acre</t>
  </si>
  <si>
    <t>Piauí</t>
  </si>
  <si>
    <t>▪PIAUÍ INSTITUTO DE TECNOLOGIA S.A.</t>
  </si>
  <si>
    <t>Alagoas</t>
  </si>
  <si>
    <t>Santa Catarina</t>
  </si>
  <si>
    <t>Celesc Distribuição S.A.</t>
  </si>
  <si>
    <t>CELESC D</t>
  </si>
  <si>
    <t>08.336.783/0001-90</t>
  </si>
  <si>
    <t>Amazonas</t>
  </si>
  <si>
    <t>Celesc Geração S.A.</t>
  </si>
  <si>
    <t>CELESC G</t>
  </si>
  <si>
    <t>08.336.804/0001-78</t>
  </si>
  <si>
    <t>Amapá</t>
  </si>
  <si>
    <t>SCPAR Porto de São Francisco do Sul</t>
  </si>
  <si>
    <t>PSFS</t>
  </si>
  <si>
    <t>29.307.982/0001-40</t>
  </si>
  <si>
    <t>Bahia</t>
  </si>
  <si>
    <t>SCPAR Porto de Imbituba</t>
  </si>
  <si>
    <t>PIMB</t>
  </si>
  <si>
    <t>17.315.067/0001-18</t>
  </si>
  <si>
    <t>Ceará</t>
  </si>
  <si>
    <t>Rio Grande do Sul</t>
  </si>
  <si>
    <t>▪Banco Regional de Desenvolvilmento do Extremo Sul - BRDE</t>
  </si>
  <si>
    <t>Distrito Federal</t>
  </si>
  <si>
    <t>▪BANCO REGIONAL DE DESENVOLVIMENTO DO EXTREMO SUL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</si>
  <si>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</si>
  <si>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</si>
  <si>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</si>
  <si>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</si>
  <si>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</si>
  <si>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</si>
  <si>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</si>
  <si>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</si>
  <si>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</si>
  <si>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Paraná</t>
  </si>
  <si>
    <t>Rio de Janeiro</t>
  </si>
  <si>
    <t>Rio Grande do Norte</t>
  </si>
  <si>
    <t>Rondônia</t>
  </si>
  <si>
    <t>Roraima</t>
  </si>
  <si>
    <t>Sergipe</t>
  </si>
  <si>
    <t>São Paulo</t>
  </si>
  <si>
    <t>Tocantins</t>
  </si>
  <si>
    <t>kleber</t>
  </si>
  <si>
    <t>Agatha</t>
  </si>
  <si>
    <t>liana</t>
  </si>
  <si>
    <t>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</si>
</sst>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color rgb="FF242424"/>
      <name val="Consolas"/>
      <family val="3"/>
    </font>
    <font>
      <b/>
      <sz val="10"/>
      <name val="Arial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0" borderId="0"/>
    <xf numFmtId="0" fontId="9" fillId="0" borderId="0"/>
  </cellStyleXfs>
  <cellXfs count="3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 applyProtection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4" fontId="1" fillId="0" borderId="1" xfId="2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2" applyNumberFormat="1" applyFont="1"/>
    <xf numFmtId="0" fontId="4" fillId="2" borderId="0" xfId="0" applyFont="1" applyFill="1"/>
    <xf numFmtId="44" fontId="0" fillId="0" borderId="0" xfId="2" applyFont="1"/>
    <xf numFmtId="44" fontId="4" fillId="2" borderId="0" xfId="0" applyNumberFormat="1" applyFont="1" applyFill="1"/>
    <xf numFmtId="44" fontId="0" fillId="2" borderId="0" xfId="0" applyNumberFormat="1" applyFill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44" fontId="3" fillId="2" borderId="1" xfId="2" applyFont="1" applyFill="1" applyBorder="1" applyAlignment="1" applyProtection="1">
      <alignment horizontal="center" vertical="top" wrapText="1"/>
    </xf>
    <xf numFmtId="44" fontId="3" fillId="0" borderId="1" xfId="2" applyFont="1" applyFill="1" applyBorder="1" applyAlignment="1" applyProtection="1">
      <alignment horizontal="center" vertical="top" wrapText="1"/>
    </xf>
    <xf numFmtId="0" fontId="8" fillId="0" borderId="0" xfId="0" applyFont="1"/>
    <xf numFmtId="0" fontId="9" fillId="3" borderId="0" xfId="4" applyFill="1"/>
    <xf numFmtId="0" fontId="9" fillId="0" borderId="0" xfId="4" applyProtection="1">
      <protection locked="0"/>
    </xf>
    <xf numFmtId="43" fontId="3" fillId="2" borderId="1" xfId="1" applyFont="1" applyFill="1" applyBorder="1" applyAlignment="1" applyProtection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1" fontId="0" fillId="0" borderId="0" xfId="0" applyNumberFormat="1"/>
  </cellXfs>
  <cellStyles count="5">
    <cellStyle name="Moeda" xfId="2" builtinId="4"/>
    <cellStyle name="Normal" xfId="0" builtinId="0"/>
    <cellStyle name="Normal 2" xfId="4" xr:uid="{B57898AA-4CFE-4C19-9481-CA7D62016905}"/>
    <cellStyle name="Normal 3" xfId="3" xr:uid="{0E284A69-2FD6-4551-9357-E7867DAEEBB6}"/>
    <cellStyle name="Vírgula" xfId="1" builtinId="3"/>
  </cellStyles>
  <dxfs count="9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D7242B8F-2D83-4C8F-96CC-07C2B50E57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souro.sharepoint.com/teams/COREM-GERAT/Documentos%20Compartilhados/GERAT/4-%20Estatais/Raio%20X%202024/Extra&#231;&#227;o%20Siconfi.xlsx" TargetMode="External"/><Relationship Id="rId1" Type="http://schemas.openxmlformats.org/officeDocument/2006/relationships/externalLinkPath" Target="/teams/COREM-GERAT/Documentos%20Compartilhados/GERAT/4-%20Estatais/Raio%20X%202024/Extra&#231;&#227;o%20Sicon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i0IaNEotEOkygtgBmxbDLUBSi9I8TNKmu-ENTTHCb5BUbVGL0tYQqVz2xw5sJOf" itemId="01EENEGOZMADFGMMDB5NF3LHE6ADZBXNAB">
      <xxl21:absoluteUrl r:id="rId2"/>
    </xxl21:alternateUrls>
    <sheetNames>
      <sheetName val="2023"/>
      <sheetName val="Planilha R"/>
      <sheetName val="Indícios de Dependência"/>
      <sheetName val="Rascunho"/>
      <sheetName val="Confere"/>
      <sheetName val="2022"/>
      <sheetName val="Reclassificação de dependência"/>
      <sheetName val="Acre"/>
      <sheetName val="Alagoas"/>
      <sheetName val="Amapá"/>
      <sheetName val="Amazonas"/>
      <sheetName val="Bahia"/>
      <sheetName val="Ceará"/>
      <sheetName val="Distrito Federal"/>
      <sheetName val="Espírito Santo"/>
      <sheetName val="Goiás"/>
      <sheetName val="Maranhão"/>
      <sheetName val="Mato Grosso"/>
      <sheetName val="Mato Grosso do Sul"/>
      <sheetName val="Minas Gerais"/>
      <sheetName val="Paraná"/>
      <sheetName val="Paraíba"/>
      <sheetName val="Pará"/>
      <sheetName val="Pernambuco"/>
      <sheetName val="Piauí"/>
      <sheetName val="Rio Grande do Norte"/>
      <sheetName val="Rio Grande do Sul"/>
      <sheetName val="Rio de Janeiro"/>
      <sheetName val="Rondônia"/>
      <sheetName val="Roraima"/>
      <sheetName val="Santa Catarina"/>
      <sheetName val="Sergipe"/>
      <sheetName val="São Paulo"/>
      <sheetName val="Tocantins"/>
      <sheetName val="Pagou PLR com Prejuízo"/>
    </sheetNames>
    <sheetDataSet>
      <sheetData sheetId="0"/>
      <sheetData sheetId="1"/>
      <sheetData sheetId="2"/>
      <sheetData sheetId="3">
        <row r="2">
          <cell r="E2" t="str">
            <v>04.088.985/0001-00</v>
          </cell>
          <cell r="F2" t="str">
            <v>ATIVA</v>
          </cell>
          <cell r="G2" t="str">
            <v>INFORMÁTICA E TECNOLOGIA DA INFORMAÇÃO</v>
          </cell>
          <cell r="H2" t="str">
            <v>SOCIEDADE DE ECONOMIA MISTA</v>
          </cell>
          <cell r="I2" t="str">
            <v>S.A.</v>
          </cell>
          <cell r="J2" t="str">
            <v>FECHADO</v>
          </cell>
          <cell r="K2" t="str">
            <v>NÃO</v>
          </cell>
          <cell r="L2" t="str">
            <v>NÃO</v>
          </cell>
          <cell r="M2" t="str">
            <v>DEPENDENTE</v>
          </cell>
          <cell r="N2">
            <v>84</v>
          </cell>
          <cell r="O2" t="str">
            <v>OK</v>
          </cell>
          <cell r="P2" t="str">
            <v>SIM</v>
          </cell>
          <cell r="Q2" t="str">
            <v>SIM</v>
          </cell>
          <cell r="R2" t="str">
            <v>NÃO</v>
          </cell>
          <cell r="S2" t="str">
            <v>Site não disponível</v>
          </cell>
          <cell r="BF2" t="str">
            <v>04.088.985/0001-00</v>
          </cell>
          <cell r="BG2" t="str">
            <v>Empresa de Processamento de Dados do Acre S/A</v>
          </cell>
          <cell r="BH2" t="str">
            <v>ACREDATA</v>
          </cell>
        </row>
        <row r="3">
          <cell r="E3" t="str">
            <v>05.899.982/0001-19</v>
          </cell>
          <cell r="F3" t="str">
            <v>ATIVA</v>
          </cell>
          <cell r="G3" t="str">
            <v>OUTROS</v>
          </cell>
          <cell r="H3" t="str">
            <v>SOCIEDADE DE ECONOMIA MISTA</v>
          </cell>
          <cell r="I3" t="str">
            <v>S.A.</v>
          </cell>
          <cell r="J3" t="str">
            <v>FECHADO</v>
          </cell>
          <cell r="K3" t="str">
            <v>NÃO</v>
          </cell>
          <cell r="L3" t="str">
            <v>NÃO</v>
          </cell>
          <cell r="M3" t="str">
            <v>DEPENDENTE</v>
          </cell>
          <cell r="N3">
            <v>47</v>
          </cell>
          <cell r="O3" t="str">
            <v>OK</v>
          </cell>
          <cell r="P3" t="str">
            <v>SIM</v>
          </cell>
          <cell r="Q3" t="str">
            <v>SIM</v>
          </cell>
          <cell r="R3" t="str">
            <v>NÃO</v>
          </cell>
          <cell r="S3" t="str">
            <v>Site não disponível</v>
          </cell>
          <cell r="BF3" t="str">
            <v>05.899.982/0001-19</v>
          </cell>
          <cell r="BG3" t="str">
            <v>Agência de Negócios do Estado do Acre</v>
          </cell>
          <cell r="BH3" t="str">
            <v>ANAC</v>
          </cell>
        </row>
        <row r="4">
          <cell r="E4" t="str">
            <v>12.467.990/0001-51</v>
          </cell>
          <cell r="F4" t="str">
            <v>ATIVA</v>
          </cell>
          <cell r="G4" t="str">
            <v>DESENVOLVIMENTO REGIONAL</v>
          </cell>
          <cell r="H4" t="str">
            <v>SOCIEDADE DE ECONOMIA MISTA</v>
          </cell>
          <cell r="I4" t="str">
            <v>S.A.</v>
          </cell>
          <cell r="J4" t="str">
            <v>FECHADO</v>
          </cell>
          <cell r="K4" t="str">
            <v>NÃO</v>
          </cell>
          <cell r="L4" t="str">
            <v>NÃO</v>
          </cell>
          <cell r="M4" t="str">
            <v>DEPENDENTE</v>
          </cell>
          <cell r="N4">
            <v>0</v>
          </cell>
          <cell r="O4" t="str">
            <v>VERIFICAR</v>
          </cell>
          <cell r="P4" t="str">
            <v>SIM</v>
          </cell>
          <cell r="Q4" t="str">
            <v>SIM</v>
          </cell>
          <cell r="R4" t="str">
            <v>NÃO</v>
          </cell>
          <cell r="S4" t="str">
            <v>Site não disponível</v>
          </cell>
          <cell r="BF4" t="str">
            <v>12.467.990/0001-51</v>
          </cell>
          <cell r="BG4" t="str">
            <v>Administradora da Zona de Processamento de Exportação do Acre</v>
          </cell>
          <cell r="BH4" t="str">
            <v>AZPE</v>
          </cell>
        </row>
        <row r="5">
          <cell r="E5" t="str">
            <v>04.064.077/0001-86</v>
          </cell>
          <cell r="F5" t="str">
            <v>EM LIQUIDAÇÃO</v>
          </cell>
          <cell r="G5" t="str">
            <v>FINANCEIRO</v>
          </cell>
          <cell r="H5" t="str">
            <v>SOCIEDADE DE ECONOMIA MISTA</v>
          </cell>
          <cell r="I5" t="str">
            <v>S.A.</v>
          </cell>
          <cell r="J5" t="str">
            <v>FECHADO</v>
          </cell>
          <cell r="K5" t="str">
            <v>NÃO</v>
          </cell>
          <cell r="L5" t="str">
            <v>NÃO</v>
          </cell>
          <cell r="M5" t="str">
            <v>DEPENDENTE</v>
          </cell>
          <cell r="N5">
            <v>12</v>
          </cell>
          <cell r="O5" t="str">
            <v>OK</v>
          </cell>
          <cell r="P5" t="str">
            <v>SIM</v>
          </cell>
          <cell r="Q5" t="str">
            <v>SIM</v>
          </cell>
          <cell r="R5" t="str">
            <v>NÃO</v>
          </cell>
          <cell r="S5" t="str">
            <v>Site não disponível</v>
          </cell>
          <cell r="BF5" t="str">
            <v>04.064.077/0001-86</v>
          </cell>
          <cell r="BG5" t="str">
            <v>Banco do Estado do Acre</v>
          </cell>
          <cell r="BH5" t="str">
            <v>BANACRE</v>
          </cell>
        </row>
        <row r="6">
          <cell r="E6" t="str">
            <v>04.043.493/0001-06</v>
          </cell>
          <cell r="F6" t="str">
            <v>ATIVA</v>
          </cell>
          <cell r="G6" t="str">
            <v>ABASTECIMENTO DE ALIMENTOS E OUTROS INSUMOS</v>
          </cell>
          <cell r="H6" t="str">
            <v>EMPRESA PÚBLICA</v>
          </cell>
          <cell r="I6" t="str">
            <v>OUTRAS</v>
          </cell>
          <cell r="J6" t="str">
            <v>FECHADO</v>
          </cell>
          <cell r="K6" t="str">
            <v>NÃO</v>
          </cell>
          <cell r="L6" t="str">
            <v>NÃO</v>
          </cell>
          <cell r="M6" t="str">
            <v>DEPENDENTE</v>
          </cell>
          <cell r="N6">
            <v>155</v>
          </cell>
          <cell r="O6" t="str">
            <v>OK</v>
          </cell>
          <cell r="P6" t="str">
            <v>SIM</v>
          </cell>
          <cell r="Q6" t="str">
            <v>SIM</v>
          </cell>
          <cell r="R6" t="str">
            <v>NÃO</v>
          </cell>
          <cell r="S6" t="str">
            <v>Site não disponível</v>
          </cell>
          <cell r="BF6" t="str">
            <v>04.043.493/0001-06</v>
          </cell>
          <cell r="BG6" t="str">
            <v>Companhia de Armazéns e Entrepostos do Acre</v>
          </cell>
          <cell r="BH6" t="str">
            <v>CAGEACRE</v>
          </cell>
        </row>
        <row r="7">
          <cell r="E7" t="str">
            <v>16.864.341/0001-45</v>
          </cell>
          <cell r="F7" t="str">
            <v>ATIVA</v>
          </cell>
          <cell r="G7" t="str">
            <v>DESENVOLVIMENTO REGIONAL</v>
          </cell>
          <cell r="H7" t="str">
            <v>SOCIEDADE DE ECONOMIA MISTA</v>
          </cell>
          <cell r="I7" t="str">
            <v>S.A.</v>
          </cell>
          <cell r="J7" t="str">
            <v>FECHADO</v>
          </cell>
          <cell r="K7" t="str">
            <v>NÃO</v>
          </cell>
          <cell r="L7" t="str">
            <v>NÃO</v>
          </cell>
          <cell r="M7" t="str">
            <v>DEPENDENTE</v>
          </cell>
          <cell r="N7">
            <v>13</v>
          </cell>
          <cell r="O7" t="str">
            <v>OK</v>
          </cell>
          <cell r="P7" t="str">
            <v>SIM</v>
          </cell>
          <cell r="Q7" t="str">
            <v>SIM</v>
          </cell>
          <cell r="R7" t="str">
            <v>NÃO</v>
          </cell>
          <cell r="S7" t="str">
            <v>https://cdsabusiness.com.br/</v>
          </cell>
          <cell r="BF7" t="str">
            <v>16.864.341/0001-45</v>
          </cell>
          <cell r="BG7" t="str">
            <v>Companhia Agência de Desenvolvimento e Serviços Ambientais do Estado do Acre</v>
          </cell>
          <cell r="BH7" t="str">
            <v>CDSA</v>
          </cell>
        </row>
        <row r="8">
          <cell r="E8" t="str">
            <v>04.061.693/0001-83</v>
          </cell>
          <cell r="F8" t="str">
            <v>ATIVA</v>
          </cell>
          <cell r="G8" t="str">
            <v>ABASTECIMENTO DE ALIMENTOS E OUTROS INSUMOS</v>
          </cell>
          <cell r="H8" t="str">
            <v>EMPRESA PÚBLICA</v>
          </cell>
          <cell r="I8" t="str">
            <v>S.A.</v>
          </cell>
          <cell r="J8" t="str">
            <v>FECHADO</v>
          </cell>
          <cell r="K8" t="str">
            <v>NÃO</v>
          </cell>
          <cell r="L8" t="str">
            <v>SIM</v>
          </cell>
          <cell r="M8" t="str">
            <v>DEPENDENTE</v>
          </cell>
          <cell r="N8">
            <v>26</v>
          </cell>
          <cell r="O8" t="str">
            <v>OK</v>
          </cell>
          <cell r="P8" t="str">
            <v>SIM</v>
          </cell>
          <cell r="Q8" t="str">
            <v>SIM</v>
          </cell>
          <cell r="R8" t="str">
            <v>NÃO</v>
          </cell>
          <cell r="S8" t="str">
            <v>Site não disponível</v>
          </cell>
          <cell r="BF8" t="str">
            <v>04.061.693/0001-83</v>
          </cell>
          <cell r="BG8" t="str">
            <v>Companhia Industrial de Laticínios do Acre</v>
          </cell>
          <cell r="BH8" t="str">
            <v>CILA</v>
          </cell>
        </row>
        <row r="9">
          <cell r="E9" t="str">
            <v>04.039.277/0001-89</v>
          </cell>
          <cell r="F9" t="str">
            <v>ATIVA</v>
          </cell>
          <cell r="G9" t="str">
            <v>DESENVOLVIMENTO REGIONAL</v>
          </cell>
          <cell r="H9" t="str">
            <v>EMPRESA PÚBLICA</v>
          </cell>
          <cell r="I9" t="str">
            <v>OUTRAS</v>
          </cell>
          <cell r="J9" t="str">
            <v>FECHADO</v>
          </cell>
          <cell r="K9" t="str">
            <v>NÃO</v>
          </cell>
          <cell r="L9" t="str">
            <v>SIM</v>
          </cell>
          <cell r="M9" t="str">
            <v>DEPENDENTE</v>
          </cell>
          <cell r="N9">
            <v>50</v>
          </cell>
          <cell r="O9" t="str">
            <v>OK</v>
          </cell>
          <cell r="P9" t="str">
            <v>SIM</v>
          </cell>
          <cell r="Q9" t="str">
            <v>SIM</v>
          </cell>
          <cell r="R9" t="str">
            <v>NÃO</v>
          </cell>
          <cell r="S9" t="str">
            <v>Site não disponível</v>
          </cell>
          <cell r="BF9" t="str">
            <v>04.039.277/0001-89</v>
          </cell>
          <cell r="BG9" t="str">
            <v>Companhia de Desenvolvimento Industrial do Acre</v>
          </cell>
          <cell r="BH9" t="str">
            <v>CODISACRE</v>
          </cell>
        </row>
        <row r="10">
          <cell r="E10" t="str">
            <v>04.066.007/0001-67</v>
          </cell>
          <cell r="F10" t="str">
            <v>ATIVA</v>
          </cell>
          <cell r="G10" t="str">
            <v>HABITAÇÃO E URBANIZAÇÃO</v>
          </cell>
          <cell r="H10" t="str">
            <v>SOCIEDADE DE ECONOMIA MISTA</v>
          </cell>
          <cell r="I10" t="str">
            <v>OUTRAS</v>
          </cell>
          <cell r="J10" t="str">
            <v>FECHADO</v>
          </cell>
          <cell r="K10" t="str">
            <v>NÃO</v>
          </cell>
          <cell r="L10" t="str">
            <v>NÃO</v>
          </cell>
          <cell r="M10" t="str">
            <v>DEPENDENTE</v>
          </cell>
          <cell r="N10">
            <v>61</v>
          </cell>
          <cell r="O10" t="str">
            <v>OK</v>
          </cell>
          <cell r="P10" t="str">
            <v>SIM</v>
          </cell>
          <cell r="Q10" t="str">
            <v>SIM</v>
          </cell>
          <cell r="R10" t="str">
            <v>NÃO</v>
          </cell>
          <cell r="S10" t="str">
            <v>Site não disponível</v>
          </cell>
          <cell r="BF10" t="str">
            <v>04.066.007/0001-67</v>
          </cell>
          <cell r="BG10" t="str">
            <v>Companhia de Habitação do Acre</v>
          </cell>
          <cell r="BH10" t="str">
            <v>COHAB AC</v>
          </cell>
        </row>
        <row r="11">
          <cell r="E11" t="str">
            <v>04.039.673/0001-06</v>
          </cell>
          <cell r="F11" t="str">
            <v>EM LIQUIDAÇÃO</v>
          </cell>
          <cell r="G11" t="str">
            <v>OUTROS</v>
          </cell>
          <cell r="H11" t="str">
            <v>EMPRESA PÚBLICA</v>
          </cell>
          <cell r="I11" t="str">
            <v>OUTRAS</v>
          </cell>
          <cell r="J11" t="str">
            <v>FECHADO</v>
          </cell>
          <cell r="K11" t="str">
            <v>NÃO</v>
          </cell>
          <cell r="L11" t="str">
            <v>SIM</v>
          </cell>
          <cell r="M11" t="str">
            <v>DEPENDENTE</v>
          </cell>
          <cell r="N11">
            <v>17</v>
          </cell>
          <cell r="O11" t="str">
            <v>OK</v>
          </cell>
          <cell r="P11" t="str">
            <v>SIM</v>
          </cell>
          <cell r="Q11" t="str">
            <v>SIM</v>
          </cell>
          <cell r="R11" t="str">
            <v>NÃO</v>
          </cell>
          <cell r="S11" t="str">
            <v>Site não disponível</v>
          </cell>
          <cell r="BF11" t="str">
            <v>04.039.673/0001-06</v>
          </cell>
          <cell r="BG11" t="str">
            <v>Companhia de Colonização do Acre</v>
          </cell>
          <cell r="BH11" t="str">
            <v>COLONACRE</v>
          </cell>
        </row>
        <row r="12">
          <cell r="E12" t="str">
            <v>04.044.244/0001-27</v>
          </cell>
          <cell r="F12" t="str">
            <v>ATIVA</v>
          </cell>
          <cell r="G12" t="str">
            <v>PESQUISA E ASSISTÊNCIA TÉCNICA AGROPECUÁRIA</v>
          </cell>
          <cell r="H12" t="str">
            <v>EMPRESA PÚBLICA</v>
          </cell>
          <cell r="I12" t="str">
            <v>OUTRAS</v>
          </cell>
          <cell r="J12" t="str">
            <v>FECHADO</v>
          </cell>
          <cell r="K12" t="str">
            <v>NÃO</v>
          </cell>
          <cell r="L12" t="str">
            <v>NÃO</v>
          </cell>
          <cell r="M12" t="str">
            <v>DEPENDENTE</v>
          </cell>
          <cell r="N12">
            <v>154</v>
          </cell>
          <cell r="O12" t="str">
            <v>OK</v>
          </cell>
          <cell r="P12" t="str">
            <v>SIM</v>
          </cell>
          <cell r="Q12" t="str">
            <v>SIM</v>
          </cell>
          <cell r="R12" t="str">
            <v>NÃO</v>
          </cell>
          <cell r="S12" t="str">
            <v>Site não disponível</v>
          </cell>
          <cell r="BF12" t="str">
            <v>04.044.244/0001-27</v>
          </cell>
          <cell r="BG12" t="str">
            <v>Empresa de Assistência Técnica e Extensão Rural do Acre</v>
          </cell>
          <cell r="BH12" t="str">
            <v>EMATER AC</v>
          </cell>
        </row>
        <row r="13">
          <cell r="E13" t="str">
            <v>04.003.232/0001-54</v>
          </cell>
          <cell r="F13" t="str">
            <v>ATIVA</v>
          </cell>
          <cell r="G13" t="str">
            <v>SANEAMENTO</v>
          </cell>
          <cell r="H13" t="str">
            <v>SOCIEDADE DE ECONOMIA MISTA</v>
          </cell>
          <cell r="I13" t="str">
            <v>OUTRAS</v>
          </cell>
          <cell r="J13" t="str">
            <v>FECHADO</v>
          </cell>
          <cell r="K13" t="str">
            <v>NÃO</v>
          </cell>
          <cell r="L13" t="str">
            <v>NÃO</v>
          </cell>
          <cell r="M13" t="str">
            <v>DEPENDENTE</v>
          </cell>
          <cell r="N13">
            <v>168</v>
          </cell>
          <cell r="O13" t="str">
            <v>OK</v>
          </cell>
          <cell r="P13" t="str">
            <v>SIM</v>
          </cell>
          <cell r="Q13" t="str">
            <v>SIM</v>
          </cell>
          <cell r="R13" t="str">
            <v>NÃO</v>
          </cell>
          <cell r="S13" t="str">
            <v>https://saneacre.ac.gov.br/relatorios-anuais-de-gestao/</v>
          </cell>
          <cell r="BF13" t="str">
            <v>04.003.232/0001-54</v>
          </cell>
          <cell r="BG13" t="str">
            <v>Companhia de Saneamento do Acre</v>
          </cell>
          <cell r="BH13" t="str">
            <v>SANACRE</v>
          </cell>
        </row>
        <row r="14">
          <cell r="E14" t="str">
            <v>10.769.660/0001-95</v>
          </cell>
          <cell r="F14" t="str">
            <v>ATIVA</v>
          </cell>
          <cell r="G14" t="str">
            <v>FINANCEIRO</v>
          </cell>
          <cell r="H14" t="str">
            <v>SOCIEDADE DE ECONOMIA MISTA</v>
          </cell>
          <cell r="I14" t="str">
            <v>S.A.</v>
          </cell>
          <cell r="J14" t="str">
            <v>FECHADO</v>
          </cell>
          <cell r="K14" t="str">
            <v>NÃO</v>
          </cell>
          <cell r="L14" t="str">
            <v>NÃO</v>
          </cell>
          <cell r="M14" t="str">
            <v>DEPENDENTE</v>
          </cell>
          <cell r="N14">
            <v>57</v>
          </cell>
          <cell r="O14" t="str">
            <v>OK</v>
          </cell>
          <cell r="P14" t="str">
            <v>SIM</v>
          </cell>
          <cell r="Q14" t="str">
            <v>SIM</v>
          </cell>
          <cell r="R14" t="str">
            <v>NÃO</v>
          </cell>
          <cell r="S14" t="str">
            <v>https://www.desenvolve-al.com.br/institucional/relatorios-da-administracao/</v>
          </cell>
          <cell r="BF14" t="str">
            <v>10.769.660/0001-95</v>
          </cell>
          <cell r="BG14" t="str">
            <v>Agência de Fomento de Alagoas</v>
          </cell>
          <cell r="BH14" t="str">
            <v>AFAL</v>
          </cell>
        </row>
        <row r="15">
          <cell r="E15" t="str">
            <v>29.218.037/0001-72</v>
          </cell>
          <cell r="F15" t="str">
            <v>ATIVA</v>
          </cell>
          <cell r="G15" t="str">
            <v>GESTÃO DE ATIVOS</v>
          </cell>
          <cell r="H15" t="str">
            <v>EMPRESA PÚBLICA</v>
          </cell>
          <cell r="I15" t="str">
            <v>S.A.</v>
          </cell>
          <cell r="J15" t="str">
            <v>FECHADO</v>
          </cell>
          <cell r="K15" t="str">
            <v>NÃO</v>
          </cell>
          <cell r="L15" t="str">
            <v>NÃO</v>
          </cell>
          <cell r="M15" t="str">
            <v>NÃO DEPENDENTE</v>
          </cell>
          <cell r="N15">
            <v>16</v>
          </cell>
          <cell r="O15" t="str">
            <v>OK</v>
          </cell>
          <cell r="P15" t="str">
            <v>SIM</v>
          </cell>
          <cell r="Q15" t="str">
            <v>SIM</v>
          </cell>
          <cell r="R15" t="str">
            <v>NÃO</v>
          </cell>
          <cell r="S15" t="str">
            <v>https://www.alagoasativos.com.br/governanca/politicas/</v>
          </cell>
          <cell r="BF15" t="str">
            <v>29.218.037/0001-72</v>
          </cell>
          <cell r="BG15" t="str">
            <v>Alagoas Ativos S/A</v>
          </cell>
          <cell r="BH15" t="str">
            <v>AL ATIVOS</v>
          </cell>
        </row>
        <row r="16">
          <cell r="E16" t="str">
            <v>69.983.484/0001-32</v>
          </cell>
          <cell r="F16" t="str">
            <v>ATIVA</v>
          </cell>
          <cell r="G16" t="str">
            <v>GÁS E DERIVADOS</v>
          </cell>
          <cell r="H16" t="str">
            <v>SOCIEDADE DE ECONOMIA MISTA</v>
          </cell>
          <cell r="I16" t="str">
            <v>S.A.</v>
          </cell>
          <cell r="J16" t="str">
            <v>FECHADO</v>
          </cell>
          <cell r="K16" t="str">
            <v>NÃO</v>
          </cell>
          <cell r="L16" t="str">
            <v>NÃO</v>
          </cell>
          <cell r="M16" t="str">
            <v>NÃO DEPENDENTE</v>
          </cell>
          <cell r="N16">
            <v>142</v>
          </cell>
          <cell r="O16" t="str">
            <v>OK</v>
          </cell>
          <cell r="P16" t="str">
            <v>SIM</v>
          </cell>
          <cell r="Q16" t="str">
            <v>SIM</v>
          </cell>
          <cell r="R16" t="str">
            <v>SIM</v>
          </cell>
          <cell r="S16" t="str">
            <v>https://governanca.algas.com.br/carta-anual-de-politicas-publicas-e-governanca-corporativa</v>
          </cell>
          <cell r="BF16" t="str">
            <v>69.983.484/0001-32</v>
          </cell>
          <cell r="BG16" t="str">
            <v>Gás de Alagoas S/A</v>
          </cell>
          <cell r="BH16" t="str">
            <v>ALGÁS</v>
          </cell>
        </row>
        <row r="17">
          <cell r="E17" t="str">
            <v>12.291.274/0001-66</v>
          </cell>
          <cell r="F17" t="str">
            <v>EM LIQUIDAÇÃO</v>
          </cell>
          <cell r="G17" t="str">
            <v>GESTÃO DE ATIVOS</v>
          </cell>
          <cell r="H17" t="str">
            <v>SOCIEDADE DE ECONOMIA MISTA</v>
          </cell>
          <cell r="I17" t="str">
            <v>S.A.</v>
          </cell>
          <cell r="J17" t="str">
            <v>FECHADO</v>
          </cell>
          <cell r="K17" t="str">
            <v>NÃO</v>
          </cell>
          <cell r="L17" t="str">
            <v>NÃO</v>
          </cell>
          <cell r="M17" t="str">
            <v>DEPENDENTE</v>
          </cell>
          <cell r="N17">
            <v>1</v>
          </cell>
          <cell r="O17" t="str">
            <v>OK</v>
          </cell>
          <cell r="P17" t="str">
            <v>NÃO</v>
          </cell>
          <cell r="Q17" t="str">
            <v>SIM</v>
          </cell>
          <cell r="R17" t="str">
            <v>NÃO</v>
          </cell>
          <cell r="S17" t="str">
            <v>Site não disponível</v>
          </cell>
          <cell r="BF17" t="str">
            <v>12.291.274/0001-66</v>
          </cell>
          <cell r="BG17" t="str">
            <v>Companhia Alagoana de Recursos Humanos e Patrimoniais</v>
          </cell>
          <cell r="BH17" t="str">
            <v>CARHP</v>
          </cell>
        </row>
        <row r="18">
          <cell r="E18" t="str">
            <v>12.294.708/0001-81</v>
          </cell>
          <cell r="F18" t="str">
            <v>ATIVA</v>
          </cell>
          <cell r="G18" t="str">
            <v>SANEAMENTO</v>
          </cell>
          <cell r="H18" t="str">
            <v>SOCIEDADE DE ECONOMIA MISTA</v>
          </cell>
          <cell r="I18" t="str">
            <v>S.A.</v>
          </cell>
          <cell r="J18" t="str">
            <v>FECHADO</v>
          </cell>
          <cell r="K18" t="str">
            <v>NÃO</v>
          </cell>
          <cell r="L18" t="str">
            <v>NÃO</v>
          </cell>
          <cell r="M18" t="str">
            <v>NÃO DEPENDENTE</v>
          </cell>
          <cell r="N18">
            <v>816</v>
          </cell>
          <cell r="O18" t="str">
            <v>OK</v>
          </cell>
          <cell r="P18" t="str">
            <v>SIM</v>
          </cell>
          <cell r="Q18" t="str">
            <v>SIM</v>
          </cell>
          <cell r="R18" t="str">
            <v>SIM</v>
          </cell>
          <cell r="S18" t="str">
            <v>https://www.casal.al.gov.br/tipo-de-arquivo/carta-anual-de-politicas-publicas-e-governanca-corporativa-governanca/</v>
          </cell>
          <cell r="BF18" t="str">
            <v>12.294.708/0001-81</v>
          </cell>
          <cell r="BG18" t="str">
            <v>Companhia de Saneamento de Alagoas</v>
          </cell>
          <cell r="BH18" t="str">
            <v>CASAL</v>
          </cell>
        </row>
        <row r="19">
          <cell r="E19" t="str">
            <v>04.308.836/0001-09</v>
          </cell>
          <cell r="F19" t="str">
            <v>ATIVA</v>
          </cell>
          <cell r="G19" t="str">
            <v>COMUNICAÇÃO</v>
          </cell>
          <cell r="H19" t="str">
            <v>SOCIEDADE DE ECONOMIA MISTA</v>
          </cell>
          <cell r="I19" t="str">
            <v>S.A.</v>
          </cell>
          <cell r="J19" t="str">
            <v>FECHADO</v>
          </cell>
          <cell r="K19" t="str">
            <v>NÃO</v>
          </cell>
          <cell r="L19" t="str">
            <v>NÃO</v>
          </cell>
          <cell r="M19" t="str">
            <v>NÃO DEPENDENTE</v>
          </cell>
          <cell r="N19">
            <v>126</v>
          </cell>
          <cell r="O19" t="str">
            <v>OK</v>
          </cell>
          <cell r="P19" t="str">
            <v>SIM</v>
          </cell>
          <cell r="Q19" t="str">
            <v>SIM</v>
          </cell>
          <cell r="R19" t="str">
            <v>NÃO</v>
          </cell>
          <cell r="S19" t="str">
            <v>https://www.imprensaoficial.al.gov.br/</v>
          </cell>
          <cell r="BF19" t="str">
            <v>04.308.836/0001-09</v>
          </cell>
          <cell r="BG19" t="str">
            <v>Companhia de Edição Impressão e Publicação de Alagoas</v>
          </cell>
          <cell r="BH19" t="str">
            <v>CEPAL</v>
          </cell>
        </row>
        <row r="20">
          <cell r="E20" t="str">
            <v>12.343.158/0001-43</v>
          </cell>
          <cell r="F20" t="str">
            <v>EM LIQUIDAÇÃO</v>
          </cell>
          <cell r="G20" t="str">
            <v>GESTÃO DE ATIVOS</v>
          </cell>
          <cell r="H20" t="str">
            <v>SOCIEDADE DE ECONOMIA MISTA</v>
          </cell>
          <cell r="I20" t="str">
            <v>S.A.</v>
          </cell>
          <cell r="J20" t="str">
            <v>FECHADO</v>
          </cell>
          <cell r="K20" t="str">
            <v>NÃO</v>
          </cell>
          <cell r="L20" t="str">
            <v>NÃO</v>
          </cell>
          <cell r="M20" t="str">
            <v>DEPENDENTE</v>
          </cell>
          <cell r="N20">
            <v>0</v>
          </cell>
          <cell r="O20" t="str">
            <v>OK</v>
          </cell>
          <cell r="P20" t="str">
            <v>NÃO</v>
          </cell>
          <cell r="Q20" t="str">
            <v>SIM</v>
          </cell>
          <cell r="R20" t="str">
            <v>NÃO</v>
          </cell>
          <cell r="S20" t="str">
            <v>Site não disponível</v>
          </cell>
          <cell r="BF20" t="str">
            <v>12.343.158/0001-43</v>
          </cell>
          <cell r="BG20" t="str">
            <v>Laboratório Industrial Farmacêutico</v>
          </cell>
          <cell r="BH20" t="str">
            <v>LIFAL</v>
          </cell>
        </row>
        <row r="21">
          <cell r="E21" t="str">
            <v>12.275.749/0001-20</v>
          </cell>
          <cell r="F21" t="str">
            <v>EM LIQUIDAÇÃO</v>
          </cell>
          <cell r="G21" t="str">
            <v>FINANCEIRO</v>
          </cell>
          <cell r="H21" t="str">
            <v>SOCIEDADE DE ECONOMIA MISTA</v>
          </cell>
          <cell r="I21" t="str">
            <v>S.A.</v>
          </cell>
          <cell r="J21" t="str">
            <v>FECHADO</v>
          </cell>
          <cell r="K21" t="str">
            <v>NÃO</v>
          </cell>
          <cell r="L21" t="str">
            <v>NÃO</v>
          </cell>
          <cell r="M21" t="str">
            <v>DEPENDENTE</v>
          </cell>
          <cell r="N21">
            <v>3</v>
          </cell>
          <cell r="O21" t="str">
            <v>OK</v>
          </cell>
          <cell r="P21" t="str">
            <v>NÃO</v>
          </cell>
          <cell r="Q21" t="str">
            <v>SIM</v>
          </cell>
          <cell r="R21" t="str">
            <v>NÃO</v>
          </cell>
          <cell r="S21" t="str">
            <v>Site não disponível</v>
          </cell>
          <cell r="BF21" t="str">
            <v>12.275.749/0001-20</v>
          </cell>
          <cell r="BG21" t="str">
            <v>Banco do Estado de Alagoas S/A</v>
          </cell>
          <cell r="BH21" t="str">
            <v>PRODUBAN</v>
          </cell>
        </row>
        <row r="22">
          <cell r="E22" t="str">
            <v>12.318.887/0001-40</v>
          </cell>
          <cell r="F22" t="str">
            <v>EM LIQUIDAÇÃO</v>
          </cell>
          <cell r="G22" t="str">
            <v>GESTÃO DE ATIVOS</v>
          </cell>
          <cell r="H22" t="str">
            <v>SOCIEDADE DE ECONOMIA MISTA</v>
          </cell>
          <cell r="I22" t="str">
            <v>S.A.</v>
          </cell>
          <cell r="J22" t="str">
            <v>FECHADO</v>
          </cell>
          <cell r="K22" t="str">
            <v>NÃO</v>
          </cell>
          <cell r="L22" t="str">
            <v>NÃO</v>
          </cell>
          <cell r="M22" t="str">
            <v>DEPENDENTE</v>
          </cell>
          <cell r="N22">
            <v>1</v>
          </cell>
          <cell r="O22" t="str">
            <v>OK</v>
          </cell>
          <cell r="P22" t="str">
            <v>NÃO</v>
          </cell>
          <cell r="Q22" t="str">
            <v>SIM</v>
          </cell>
          <cell r="R22" t="str">
            <v>NÃO</v>
          </cell>
          <cell r="S22" t="str">
            <v>Site não disponível</v>
          </cell>
          <cell r="BF22" t="str">
            <v>12.318.887/0001-40</v>
          </cell>
          <cell r="BG22" t="str">
            <v>Serviços de Engenharia de Alagoas S/A</v>
          </cell>
          <cell r="BH22" t="str">
            <v>SERVEAL</v>
          </cell>
        </row>
        <row r="23">
          <cell r="E23" t="str">
            <v>05.867.581/0001-87</v>
          </cell>
          <cell r="F23" t="str">
            <v>ATIVA</v>
          </cell>
          <cell r="G23" t="str">
            <v>DESENVOLVIMENTO REGIONAL</v>
          </cell>
          <cell r="H23" t="str">
            <v>EMPRESA PÚBLICA</v>
          </cell>
          <cell r="I23" t="str">
            <v>LTDA</v>
          </cell>
          <cell r="J23" t="str">
            <v>FECHADO</v>
          </cell>
          <cell r="K23" t="str">
            <v>NÃO</v>
          </cell>
          <cell r="L23" t="str">
            <v>NÃO</v>
          </cell>
          <cell r="M23" t="str">
            <v>DEPENDENTE</v>
          </cell>
          <cell r="N23">
            <v>82</v>
          </cell>
          <cell r="O23" t="str">
            <v>OK</v>
          </cell>
          <cell r="P23" t="str">
            <v>SIM</v>
          </cell>
          <cell r="Q23" t="str">
            <v>SIM</v>
          </cell>
          <cell r="R23" t="str">
            <v>NÃO</v>
          </cell>
          <cell r="S23" t="str">
            <v>https://www.ads.am.gov.br/</v>
          </cell>
          <cell r="BF23" t="str">
            <v>05.867.581/0001-87</v>
          </cell>
          <cell r="BG23" t="str">
            <v>Agência de Desenvolvimento Sustentável do Amazonas</v>
          </cell>
          <cell r="BH23" t="str">
            <v>ADS</v>
          </cell>
        </row>
        <row r="24">
          <cell r="E24" t="str">
            <v>03.183.937/0001-38</v>
          </cell>
          <cell r="F24" t="str">
            <v>ATIVA</v>
          </cell>
          <cell r="G24" t="str">
            <v>FINANCEIRO</v>
          </cell>
          <cell r="H24" t="str">
            <v>EMPRESA PÚBLICA</v>
          </cell>
          <cell r="I24" t="str">
            <v>S.A.</v>
          </cell>
          <cell r="J24" t="str">
            <v>FECHADO</v>
          </cell>
          <cell r="K24" t="str">
            <v>NÃO</v>
          </cell>
          <cell r="L24" t="str">
            <v>NÃO</v>
          </cell>
          <cell r="M24" t="str">
            <v>NÃO DEPENDENTE</v>
          </cell>
          <cell r="N24">
            <v>268</v>
          </cell>
          <cell r="O24" t="str">
            <v>OK</v>
          </cell>
          <cell r="P24" t="str">
            <v>SIM</v>
          </cell>
          <cell r="Q24" t="str">
            <v>SIM</v>
          </cell>
          <cell r="R24" t="str">
            <v>SIM</v>
          </cell>
          <cell r="S24" t="str">
            <v>https://www.afeam.am.gov.br/wp-content/uploads/2024/05/CARTA-ANUAL-2023-VF-assinado.pdf</v>
          </cell>
          <cell r="BF24" t="str">
            <v>03.183.937/0001-38</v>
          </cell>
          <cell r="BG24" t="str">
            <v>Agência de Fomento do Estado do Amazonas S/A</v>
          </cell>
          <cell r="BH24" t="str">
            <v>Afeam</v>
          </cell>
        </row>
        <row r="25">
          <cell r="E25" t="str">
            <v>05.662.046/0001-90</v>
          </cell>
          <cell r="F25" t="str">
            <v>ATIVA</v>
          </cell>
          <cell r="G25" t="str">
            <v>TURISMO</v>
          </cell>
          <cell r="H25" t="str">
            <v>EMPRESA PÚBLICA</v>
          </cell>
          <cell r="I25" t="str">
            <v>OUTRAS</v>
          </cell>
          <cell r="J25" t="str">
            <v>FECHADO</v>
          </cell>
          <cell r="K25" t="str">
            <v>NÃO</v>
          </cell>
          <cell r="L25" t="str">
            <v>NÃO</v>
          </cell>
          <cell r="M25" t="str">
            <v>DEPENDENTE</v>
          </cell>
          <cell r="N25">
            <v>147</v>
          </cell>
          <cell r="O25" t="str">
            <v>OK</v>
          </cell>
          <cell r="P25" t="str">
            <v>SIM</v>
          </cell>
          <cell r="Q25" t="str">
            <v>SIM</v>
          </cell>
          <cell r="R25" t="str">
            <v>SIM</v>
          </cell>
          <cell r="S25" t="str">
            <v>https://www.amazonastur.am.gov.br/wp-content/uploads/2023/02/Carta-de-Servicos-2023.pdf</v>
          </cell>
          <cell r="BF25" t="str">
            <v>05.662.046/0001-90</v>
          </cell>
          <cell r="BG25" t="str">
            <v>Empresa Estadual de Turismo</v>
          </cell>
          <cell r="BH25" t="str">
            <v>Amazonastur</v>
          </cell>
        </row>
        <row r="26">
          <cell r="E26" t="str">
            <v>40.182.478/0001-02</v>
          </cell>
          <cell r="F26" t="str">
            <v>ATIVA</v>
          </cell>
          <cell r="G26" t="str">
            <v>GESTÃO DE ATIVOS</v>
          </cell>
          <cell r="H26" t="str">
            <v>EMPRESA PÚBLICA</v>
          </cell>
          <cell r="I26" t="str">
            <v>S.A.</v>
          </cell>
          <cell r="J26" t="str">
            <v>FECHADO</v>
          </cell>
          <cell r="K26" t="str">
            <v>NÃO</v>
          </cell>
          <cell r="L26" t="str">
            <v>NÃO</v>
          </cell>
          <cell r="M26" t="str">
            <v>NÃO DEPENDENTE</v>
          </cell>
          <cell r="N26">
            <v>26</v>
          </cell>
          <cell r="O26" t="str">
            <v>OK</v>
          </cell>
          <cell r="P26" t="str">
            <v>SIM</v>
          </cell>
          <cell r="Q26" t="str">
            <v>SIM</v>
          </cell>
          <cell r="R26" t="str">
            <v>SIM</v>
          </cell>
          <cell r="S26" t="str">
            <v>https://www.cada.am.gov.br/wp-content/uploads/2024/03/CARTA-DE-SERVICOS-2024.pdf</v>
          </cell>
          <cell r="BF26" t="str">
            <v>40.182.478/0001-02</v>
          </cell>
          <cell r="BG26" t="str">
            <v>Companhia Amazonense de Desenvolvimento e Mobilização de Ativos</v>
          </cell>
          <cell r="BH26" t="str">
            <v>CADA</v>
          </cell>
        </row>
        <row r="27">
          <cell r="E27" t="str">
            <v>00.624.961/0001-77</v>
          </cell>
          <cell r="F27" t="str">
            <v>ATIVA</v>
          </cell>
          <cell r="G27" t="str">
            <v>DESENVOLVIMENTO REGIONAL</v>
          </cell>
          <cell r="H27" t="str">
            <v>SOCIEDADE DE ECONOMIA MISTA</v>
          </cell>
          <cell r="I27" t="str">
            <v>S.A.</v>
          </cell>
          <cell r="J27" t="str">
            <v>FECHADO</v>
          </cell>
          <cell r="K27" t="str">
            <v>NÃO</v>
          </cell>
          <cell r="L27" t="str">
            <v>NÃO</v>
          </cell>
          <cell r="M27" t="str">
            <v>NÃO DEPENDENTE</v>
          </cell>
          <cell r="N27">
            <v>199</v>
          </cell>
          <cell r="O27" t="str">
            <v>OK</v>
          </cell>
          <cell r="P27" t="str">
            <v>SIM</v>
          </cell>
          <cell r="Q27" t="str">
            <v>SIM</v>
          </cell>
          <cell r="R27" t="str">
            <v>NÃO</v>
          </cell>
          <cell r="S27" t="str">
            <v>https://www.ciama.am.gov.br/wp-content/uploads/2023/07/CARTA-DE-SERVICO-CIAMA.pdf</v>
          </cell>
          <cell r="BF27" t="str">
            <v>00.624.961/0001-77</v>
          </cell>
          <cell r="BG27" t="str">
            <v>Companhia de Desenvolvimento do Estado do Amazonas</v>
          </cell>
          <cell r="BH27" t="str">
            <v>CIAMA</v>
          </cell>
        </row>
        <row r="28">
          <cell r="E28" t="str">
            <v>00.624.964/0001-00</v>
          </cell>
          <cell r="F28" t="str">
            <v>ATIVA</v>
          </cell>
          <cell r="G28" t="str">
            <v>GÁS E DERIVADOS</v>
          </cell>
          <cell r="H28" t="str">
            <v>SOCIEDADE DE ECONOMIA MISTA</v>
          </cell>
          <cell r="I28" t="str">
            <v>S.A.</v>
          </cell>
          <cell r="J28" t="str">
            <v>FECHADO</v>
          </cell>
          <cell r="K28" t="str">
            <v>NÃO</v>
          </cell>
          <cell r="L28" t="str">
            <v>NÃO</v>
          </cell>
          <cell r="M28" t="str">
            <v>NÃO DEPENDENTE</v>
          </cell>
          <cell r="N28">
            <v>210</v>
          </cell>
          <cell r="O28" t="str">
            <v>OK</v>
          </cell>
          <cell r="P28" t="str">
            <v>SIM</v>
          </cell>
          <cell r="Q28" t="str">
            <v>SIM</v>
          </cell>
          <cell r="R28" t="str">
            <v>NÃO</v>
          </cell>
          <cell r="S28" t="str">
            <v>https://www.cigas-am.com.br/relatorio-de-sustentabilidade</v>
          </cell>
          <cell r="BF28" t="str">
            <v>00.624.964/0001-00</v>
          </cell>
          <cell r="BG28" t="str">
            <v>Companhia de Gás do Amazonas</v>
          </cell>
          <cell r="BH28" t="str">
            <v>CIGÁS</v>
          </cell>
        </row>
        <row r="29">
          <cell r="E29" t="str">
            <v>04.406.195/0001-25</v>
          </cell>
          <cell r="F29" t="str">
            <v>ATIVA</v>
          </cell>
          <cell r="G29" t="str">
            <v>SANEAMENTO</v>
          </cell>
          <cell r="H29" t="str">
            <v>SOCIEDADE DE ECONOMIA MISTA</v>
          </cell>
          <cell r="I29" t="str">
            <v>S.A.</v>
          </cell>
          <cell r="J29" t="str">
            <v>FECHADO</v>
          </cell>
          <cell r="K29" t="str">
            <v>NÃO</v>
          </cell>
          <cell r="L29" t="str">
            <v>NÃO</v>
          </cell>
          <cell r="M29" t="str">
            <v>DEPENDENTE</v>
          </cell>
          <cell r="N29">
            <v>475</v>
          </cell>
          <cell r="O29" t="str">
            <v>OK</v>
          </cell>
          <cell r="P29" t="str">
            <v>SIM</v>
          </cell>
          <cell r="Q29" t="str">
            <v>SIM</v>
          </cell>
          <cell r="R29" t="str">
            <v>NÃO</v>
          </cell>
          <cell r="S29" t="str">
            <v>http://www.cosama.am.gov.br/</v>
          </cell>
          <cell r="BF29" t="str">
            <v>04.406.195/0001-25</v>
          </cell>
          <cell r="BG29" t="str">
            <v>Companhia de Saneamento do Amazonas</v>
          </cell>
          <cell r="BH29" t="str">
            <v>COSAMA</v>
          </cell>
        </row>
        <row r="30">
          <cell r="E30" t="str">
            <v>04.407.920/0001-80</v>
          </cell>
          <cell r="F30" t="str">
            <v>ATIVA</v>
          </cell>
          <cell r="G30" t="str">
            <v>INFORMÁTICA E TECNOLOGIA DA INFORMAÇÃO</v>
          </cell>
          <cell r="H30" t="str">
            <v>SOCIEDADE DE ECONOMIA MISTA</v>
          </cell>
          <cell r="I30" t="str">
            <v>S.A.</v>
          </cell>
          <cell r="J30" t="str">
            <v>FECHADO</v>
          </cell>
          <cell r="K30" t="str">
            <v>NÃO</v>
          </cell>
          <cell r="L30" t="str">
            <v>NÃO</v>
          </cell>
          <cell r="M30" t="str">
            <v>NÃO DEPENDENTE</v>
          </cell>
          <cell r="N30">
            <v>447</v>
          </cell>
          <cell r="O30" t="str">
            <v>OK</v>
          </cell>
          <cell r="P30" t="str">
            <v>SIM</v>
          </cell>
          <cell r="Q30" t="str">
            <v>SIM</v>
          </cell>
          <cell r="R30" t="str">
            <v>SIM</v>
          </cell>
          <cell r="S30" t="str">
            <v>https://prodam.am.gov.br/acesso-a-informacao/carta-de-governanca-2023/</v>
          </cell>
          <cell r="BF30" t="str">
            <v>04.407.920/0001-80</v>
          </cell>
          <cell r="BG30" t="str">
            <v>PRODAM Processamento de Dados Amazonas S/A</v>
          </cell>
          <cell r="BH30" t="str">
            <v>PRODAM</v>
          </cell>
        </row>
        <row r="31">
          <cell r="E31" t="str">
            <v>02.929.977/0001-13</v>
          </cell>
          <cell r="F31" t="str">
            <v>ATIVA</v>
          </cell>
          <cell r="G31" t="str">
            <v>FINANCEIRO</v>
          </cell>
          <cell r="H31" t="str">
            <v>EMPRESA PÚBLICA</v>
          </cell>
          <cell r="I31" t="str">
            <v>S.A.</v>
          </cell>
          <cell r="J31" t="str">
            <v>FECHADO</v>
          </cell>
          <cell r="K31" t="str">
            <v>NÃO</v>
          </cell>
          <cell r="L31" t="str">
            <v>NÃO</v>
          </cell>
          <cell r="M31" t="str">
            <v>NÃO DEPENDENTE</v>
          </cell>
          <cell r="N31">
            <v>93</v>
          </cell>
          <cell r="O31" t="str">
            <v>OK</v>
          </cell>
          <cell r="P31" t="str">
            <v>SIM</v>
          </cell>
          <cell r="Q31" t="str">
            <v>SIM</v>
          </cell>
          <cell r="R31" t="str">
            <v>NÃO</v>
          </cell>
          <cell r="S31" t="str">
            <v>https://www.afap.ap.gov.br/transparencia/governanca/2020</v>
          </cell>
          <cell r="BF31" t="str">
            <v>02.929.977/0001-13</v>
          </cell>
          <cell r="BG31" t="str">
            <v>Agência de Fomento Popular</v>
          </cell>
          <cell r="BH31" t="str">
            <v>AFAP</v>
          </cell>
        </row>
        <row r="32">
          <cell r="E32" t="str">
            <v>05.976.311/0001-04</v>
          </cell>
          <cell r="F32" t="str">
            <v>ATIVA</v>
          </cell>
          <cell r="G32" t="str">
            <v>SANEAMENTO</v>
          </cell>
          <cell r="H32" t="str">
            <v>SOCIEDADE DE ECONOMIA MISTA</v>
          </cell>
          <cell r="I32" t="str">
            <v>S.A.</v>
          </cell>
          <cell r="J32" t="str">
            <v>FECHADO</v>
          </cell>
          <cell r="K32" t="str">
            <v>NÃO</v>
          </cell>
          <cell r="L32" t="str">
            <v>NÃO</v>
          </cell>
          <cell r="M32" t="str">
            <v>DEPENDENTE</v>
          </cell>
          <cell r="N32">
            <v>414</v>
          </cell>
          <cell r="O32" t="str">
            <v>OK</v>
          </cell>
          <cell r="P32" t="str">
            <v>SIM</v>
          </cell>
          <cell r="Q32" t="str">
            <v>SIM</v>
          </cell>
          <cell r="R32" t="str">
            <v>NÃO</v>
          </cell>
          <cell r="S32" t="str">
            <v>https://caesa.portal.ap.gov.br/pagina/carta-de-servico</v>
          </cell>
          <cell r="BF32" t="str">
            <v>05.976.311/0001-04</v>
          </cell>
          <cell r="BG32" t="str">
            <v>Companhia de Água e Esgoto do Amapá</v>
          </cell>
          <cell r="BH32" t="str">
            <v>CAESA</v>
          </cell>
        </row>
        <row r="33">
          <cell r="E33" t="str">
            <v>05.943.400/0001-54</v>
          </cell>
          <cell r="F33" t="str">
            <v>ATIVA</v>
          </cell>
          <cell r="G33" t="str">
            <v>GÁS E DERIVADOS</v>
          </cell>
          <cell r="H33" t="str">
            <v>SOCIEDADE DE ECONOMIA MISTA</v>
          </cell>
          <cell r="I33" t="str">
            <v>S.A.</v>
          </cell>
          <cell r="J33" t="str">
            <v>FECHADO</v>
          </cell>
          <cell r="K33" t="str">
            <v>NÃO</v>
          </cell>
          <cell r="L33" t="str">
            <v>NÃO</v>
          </cell>
          <cell r="M33" t="str">
            <v>NÃO DEPENDENTE</v>
          </cell>
          <cell r="N33">
            <v>2</v>
          </cell>
          <cell r="O33" t="str">
            <v>OK</v>
          </cell>
          <cell r="P33" t="str">
            <v>SIM</v>
          </cell>
          <cell r="Q33" t="str">
            <v>SIM</v>
          </cell>
          <cell r="R33" t="str">
            <v>NÃO</v>
          </cell>
          <cell r="S33" t="str">
            <v>https://gasap.com.br/pre-qualificacao</v>
          </cell>
          <cell r="BF33" t="str">
            <v>05.943.400/0001-54</v>
          </cell>
          <cell r="BG33" t="str">
            <v>Companhia de Gás do Amapá</v>
          </cell>
          <cell r="BH33" t="str">
            <v>GASAP</v>
          </cell>
        </row>
        <row r="34">
          <cell r="E34" t="str">
            <v>13.187.745/0001-53</v>
          </cell>
          <cell r="F34" t="str">
            <v>ATIVA</v>
          </cell>
          <cell r="G34" t="str">
            <v>PESQUISA E ASSISTÊNCIA TÉCNICA AGROPECUÁRIA</v>
          </cell>
          <cell r="H34" t="str">
            <v>SOCIEDADE DE ECONOMIA MISTA</v>
          </cell>
          <cell r="I34" t="str">
            <v>S.A.</v>
          </cell>
          <cell r="J34" t="str">
            <v>FECHADO</v>
          </cell>
          <cell r="K34" t="str">
            <v>NÃO</v>
          </cell>
          <cell r="L34" t="str">
            <v>NÃO</v>
          </cell>
          <cell r="M34" t="str">
            <v>DEPENDENTE</v>
          </cell>
          <cell r="N34">
            <v>110</v>
          </cell>
          <cell r="O34" t="str">
            <v>OK</v>
          </cell>
          <cell r="P34" t="str">
            <v>SIM</v>
          </cell>
          <cell r="Q34" t="str">
            <v>SIM</v>
          </cell>
          <cell r="R34" t="str">
            <v>NÃO</v>
          </cell>
          <cell r="S34" t="str">
            <v>https://www.ba.gov.br/bahiapesca/</v>
          </cell>
          <cell r="BF34" t="str">
            <v>13.187.745/0001-53</v>
          </cell>
          <cell r="BG34" t="str">
            <v>Bahia Pesca S/A</v>
          </cell>
          <cell r="BH34" t="str">
            <v>BAHIA PESCA</v>
          </cell>
        </row>
        <row r="35">
          <cell r="E35" t="str">
            <v>34.432.153/0001-20</v>
          </cell>
          <cell r="F35" t="str">
            <v>ATIVA</v>
          </cell>
          <cell r="G35" t="str">
            <v>GÁS E DERIVADOS</v>
          </cell>
          <cell r="H35" t="str">
            <v>SOCIEDADE DE ECONOMIA MISTA</v>
          </cell>
          <cell r="I35" t="str">
            <v>S.A.</v>
          </cell>
          <cell r="J35" t="str">
            <v>FECHADO</v>
          </cell>
          <cell r="K35" t="str">
            <v>NÃO</v>
          </cell>
          <cell r="L35" t="str">
            <v>NÃO</v>
          </cell>
          <cell r="M35" t="str">
            <v>NÃO DEPENDENTE</v>
          </cell>
          <cell r="N35">
            <v>604</v>
          </cell>
          <cell r="O35" t="str">
            <v>OK</v>
          </cell>
          <cell r="P35" t="str">
            <v>SIM</v>
          </cell>
          <cell r="Q35" t="str">
            <v>SIM</v>
          </cell>
          <cell r="R35" t="str">
            <v>SIM</v>
          </cell>
          <cell r="S35" t="str">
            <v>https://www.bahiagas.com.br/sobre-a-bahiagas/cartas-anuais</v>
          </cell>
          <cell r="BF35" t="str">
            <v>34.432.153/0001-20</v>
          </cell>
          <cell r="BG35" t="str">
            <v>Companhia de Gás da Bahia</v>
          </cell>
          <cell r="BH35" t="str">
            <v>Bahiagás</v>
          </cell>
        </row>
        <row r="36">
          <cell r="E36" t="str">
            <v>26.310.070/0001-30</v>
          </cell>
          <cell r="F36" t="str">
            <v>ATIVA</v>
          </cell>
          <cell r="G36" t="str">
            <v>GESTÃO DE ATIVOS</v>
          </cell>
          <cell r="H36" t="str">
            <v>SOCIEDADE DE ECONOMIA MISTA</v>
          </cell>
          <cell r="I36" t="str">
            <v>S.A.</v>
          </cell>
          <cell r="J36" t="str">
            <v>FECHADO</v>
          </cell>
          <cell r="K36" t="str">
            <v>NÃO</v>
          </cell>
          <cell r="L36" t="str">
            <v>NÃO</v>
          </cell>
          <cell r="M36" t="str">
            <v>NÃO DEPENDENTE</v>
          </cell>
          <cell r="N36">
            <v>15</v>
          </cell>
          <cell r="O36" t="str">
            <v>OK</v>
          </cell>
          <cell r="P36" t="str">
            <v>SIM</v>
          </cell>
          <cell r="Q36" t="str">
            <v>SIM</v>
          </cell>
          <cell r="R36" t="str">
            <v>SIM</v>
          </cell>
          <cell r="S36" t="str">
            <v>http://www.bahiainveste.ba.gov.br/</v>
          </cell>
          <cell r="BF36" t="str">
            <v>26.310.070/0001-30</v>
          </cell>
          <cell r="BG36" t="str">
            <v>Empresa Baiana de Ativos S/A</v>
          </cell>
          <cell r="BH36" t="str">
            <v>BAHIAINVESTE</v>
          </cell>
        </row>
        <row r="37">
          <cell r="E37" t="str">
            <v>13.221.247/0001-80</v>
          </cell>
          <cell r="F37" t="str">
            <v>ATIVA</v>
          </cell>
          <cell r="G37" t="str">
            <v>DESENVOLVIMENTO REGIONAL</v>
          </cell>
          <cell r="H37" t="str">
            <v>EMPRESA PÚBLICA</v>
          </cell>
          <cell r="I37" t="str">
            <v>S.A.</v>
          </cell>
          <cell r="J37" t="str">
            <v>FECHADO</v>
          </cell>
          <cell r="K37" t="str">
            <v>NÃO</v>
          </cell>
          <cell r="L37" t="str">
            <v>NÃO</v>
          </cell>
          <cell r="M37" t="str">
            <v>DEPENDENTE</v>
          </cell>
          <cell r="N37">
            <v>368</v>
          </cell>
          <cell r="O37" t="str">
            <v>OK</v>
          </cell>
          <cell r="P37" t="str">
            <v>SIM</v>
          </cell>
          <cell r="Q37" t="str">
            <v>SIM</v>
          </cell>
          <cell r="R37" t="str">
            <v>NÃO</v>
          </cell>
          <cell r="S37" t="str">
            <v>https://www.car.ba.gov.br/</v>
          </cell>
          <cell r="BF37" t="str">
            <v>13.221.247/0001-80</v>
          </cell>
          <cell r="BG37" t="str">
            <v>Companhia de Desenvolvimento e Ação Regional</v>
          </cell>
          <cell r="BH37" t="str">
            <v>CAR</v>
          </cell>
        </row>
        <row r="38">
          <cell r="E38" t="str">
            <v>13.554.910/0001-68</v>
          </cell>
          <cell r="F38" t="str">
            <v>ATIVA</v>
          </cell>
          <cell r="G38" t="str">
            <v>MINERAÇÃO</v>
          </cell>
          <cell r="H38" t="str">
            <v>SOCIEDADE DE ECONOMIA MISTA</v>
          </cell>
          <cell r="I38" t="str">
            <v>S.A.</v>
          </cell>
          <cell r="J38" t="str">
            <v>FECHADO</v>
          </cell>
          <cell r="K38" t="str">
            <v>NÃO</v>
          </cell>
          <cell r="L38" t="str">
            <v>NÃO</v>
          </cell>
          <cell r="M38" t="str">
            <v>DEPENDENTE</v>
          </cell>
          <cell r="N38">
            <v>151</v>
          </cell>
          <cell r="O38" t="str">
            <v>OK</v>
          </cell>
          <cell r="P38" t="str">
            <v>SIM</v>
          </cell>
          <cell r="Q38" t="str">
            <v>SIM</v>
          </cell>
          <cell r="R38" t="str">
            <v>NÃO</v>
          </cell>
          <cell r="S38" t="str">
            <v>http://www.cbpm.ba.gov.br/transparencia/carta-anual-de-politicas-publicas-e-governanca-corporativa/</v>
          </cell>
          <cell r="BF38" t="str">
            <v>13.554.910/0001-68</v>
          </cell>
          <cell r="BG38" t="str">
            <v>Companhia Baiana de Pesquisa Mineral</v>
          </cell>
          <cell r="BH38" t="str">
            <v>CBPM</v>
          </cell>
        </row>
        <row r="39">
          <cell r="E39" t="str">
            <v>13.529.136/0001-35</v>
          </cell>
          <cell r="F39" t="str">
            <v>ATIVA</v>
          </cell>
          <cell r="G39" t="str">
            <v>SANEAMENTO</v>
          </cell>
          <cell r="H39" t="str">
            <v>SOCIEDADE DE ECONOMIA MISTA</v>
          </cell>
          <cell r="I39" t="str">
            <v>S.A.</v>
          </cell>
          <cell r="J39" t="str">
            <v>FECHADO</v>
          </cell>
          <cell r="K39" t="str">
            <v>NÃO</v>
          </cell>
          <cell r="L39" t="str">
            <v>NÃO</v>
          </cell>
          <cell r="M39" t="str">
            <v>DEPENDENTE</v>
          </cell>
          <cell r="N39">
            <v>1055</v>
          </cell>
          <cell r="O39" t="str">
            <v>OK</v>
          </cell>
          <cell r="P39" t="str">
            <v>SIM</v>
          </cell>
          <cell r="Q39" t="str">
            <v>SIM</v>
          </cell>
          <cell r="R39" t="str">
            <v>SIM</v>
          </cell>
          <cell r="S39" t="str">
            <v>http://www.cerb.ba.gov.br/sites/www.cerb.ba.gov.br/files/a_cerb/nosso_papel/page/files/CARTA%20ANUAL%202022%20CERB.pdf</v>
          </cell>
          <cell r="BF39" t="str">
            <v>13.529.136/0001-35</v>
          </cell>
          <cell r="BG39" t="str">
            <v>Companhia de Engenharia Hídrica e de Saneamento da Bahia</v>
          </cell>
          <cell r="BH39" t="str">
            <v>CERB</v>
          </cell>
        </row>
        <row r="40">
          <cell r="E40" t="str">
            <v>13.595.251/0001-08</v>
          </cell>
          <cell r="F40" t="str">
            <v>ATIVA</v>
          </cell>
          <cell r="G40" t="str">
            <v>HABITAÇÃO E URBANIZAÇÃO</v>
          </cell>
          <cell r="H40" t="str">
            <v>EMPRESA PÚBLICA</v>
          </cell>
          <cell r="I40" t="str">
            <v>OUTRAS</v>
          </cell>
          <cell r="J40" t="str">
            <v>FECHADO</v>
          </cell>
          <cell r="K40" t="str">
            <v>NÃO</v>
          </cell>
          <cell r="L40" t="str">
            <v>NÃO</v>
          </cell>
          <cell r="M40" t="str">
            <v>DEPENDENTE</v>
          </cell>
          <cell r="N40">
            <v>382</v>
          </cell>
          <cell r="O40" t="str">
            <v>OK</v>
          </cell>
          <cell r="P40" t="str">
            <v>SIM</v>
          </cell>
          <cell r="Q40" t="str">
            <v>SIM</v>
          </cell>
          <cell r="R40" t="str">
            <v>NÃO</v>
          </cell>
          <cell r="S40" t="str">
            <v>https://www.conder.ba.gov.br/sites/default/files/2024-04/CARTA GOVERNANÇA 2024_0.pdf</v>
          </cell>
          <cell r="BF40" t="str">
            <v>13.595.251/0001-08</v>
          </cell>
          <cell r="BG40" t="str">
            <v>Companhia de Desenvolvimento Urbano do Estado da Bahia</v>
          </cell>
          <cell r="BH40" t="str">
            <v>CONDER</v>
          </cell>
        </row>
        <row r="41">
          <cell r="E41" t="str">
            <v>03.231.999/0001-78</v>
          </cell>
          <cell r="F41" t="str">
            <v>ATIVA</v>
          </cell>
          <cell r="G41" t="str">
            <v>TRANSPORTE</v>
          </cell>
          <cell r="H41" t="str">
            <v>EMPRESA PÚBLICA</v>
          </cell>
          <cell r="I41" t="str">
            <v>S.A.</v>
          </cell>
          <cell r="J41" t="str">
            <v>FECHADO</v>
          </cell>
          <cell r="K41" t="str">
            <v>NÃO</v>
          </cell>
          <cell r="L41" t="str">
            <v>NÃO</v>
          </cell>
          <cell r="M41" t="str">
            <v>DEPENDENTE</v>
          </cell>
          <cell r="N41">
            <v>115</v>
          </cell>
          <cell r="O41" t="str">
            <v>OK</v>
          </cell>
          <cell r="P41" t="str">
            <v>SIM</v>
          </cell>
          <cell r="Q41" t="str">
            <v>SIM</v>
          </cell>
          <cell r="R41" t="str">
            <v>NÃO</v>
          </cell>
          <cell r="S41" t="str">
            <v>https://www.ba.gov.br/trilhos/</v>
          </cell>
          <cell r="BF41" t="str">
            <v>03.231.999/0001-78</v>
          </cell>
          <cell r="BG41" t="str">
            <v>Companhia de Transporte do Estado da Bahia</v>
          </cell>
          <cell r="BH41" t="str">
            <v>CTB</v>
          </cell>
        </row>
        <row r="42">
          <cell r="E42" t="str">
            <v>15.163.587/0001-27</v>
          </cell>
          <cell r="F42" t="str">
            <v>ATIVA</v>
          </cell>
          <cell r="G42" t="str">
            <v>FINANCEIRO</v>
          </cell>
          <cell r="H42" t="str">
            <v>SOCIEDADE DE ECONOMIA MISTA</v>
          </cell>
          <cell r="I42" t="str">
            <v>S.A.</v>
          </cell>
          <cell r="J42" t="str">
            <v>FECHADO</v>
          </cell>
          <cell r="K42" t="str">
            <v>NÃO</v>
          </cell>
          <cell r="L42" t="str">
            <v>NÃO</v>
          </cell>
          <cell r="M42" t="str">
            <v>NÃO DEPENDENTE</v>
          </cell>
          <cell r="N42">
            <v>251</v>
          </cell>
          <cell r="O42" t="str">
            <v>OK</v>
          </cell>
          <cell r="P42" t="str">
            <v>SIM</v>
          </cell>
          <cell r="Q42" t="str">
            <v>SIM</v>
          </cell>
          <cell r="R42" t="str">
            <v>SIM</v>
          </cell>
          <cell r="S42" t="str">
            <v>https://www.desenbahia.ba.gov.br/wp-content/uploads/2024/05/carta-anual-politicas-publicas-e-governanca-corporativa-2023-revfinal.pdf</v>
          </cell>
          <cell r="BF42" t="str">
            <v>15.163.587/0001-27</v>
          </cell>
          <cell r="BG42" t="str">
            <v>Agência de Fomento do Estado da Bahia S/A</v>
          </cell>
          <cell r="BH42" t="str">
            <v>DESENBAHIA</v>
          </cell>
        </row>
        <row r="43">
          <cell r="E43" t="str">
            <v>15.257.819/0001-06</v>
          </cell>
          <cell r="F43" t="str">
            <v>ATIVA</v>
          </cell>
          <cell r="G43" t="str">
            <v>COMUNICAÇÃO</v>
          </cell>
          <cell r="H43" t="str">
            <v>EMPRESA PÚBLICA</v>
          </cell>
          <cell r="I43" t="str">
            <v>OUTRAS</v>
          </cell>
          <cell r="J43" t="str">
            <v>FECHADO</v>
          </cell>
          <cell r="K43" t="str">
            <v>NÃO</v>
          </cell>
          <cell r="L43" t="str">
            <v>NÃO</v>
          </cell>
          <cell r="M43" t="str">
            <v>NÃO DEPENDENTE</v>
          </cell>
          <cell r="N43">
            <v>170</v>
          </cell>
          <cell r="O43" t="str">
            <v>OK</v>
          </cell>
          <cell r="P43" t="str">
            <v>SIM</v>
          </cell>
          <cell r="Q43" t="str">
            <v>SIM</v>
          </cell>
          <cell r="R43" t="str">
            <v>SIM</v>
          </cell>
          <cell r="S43" t="str">
            <v>http://www.egba.ba.gov.br/</v>
          </cell>
          <cell r="BF43" t="str">
            <v>15.257.819/0001-06</v>
          </cell>
          <cell r="BG43" t="str">
            <v>Empresa Gráfica da Bahia</v>
          </cell>
          <cell r="BH43" t="str">
            <v>EGBA</v>
          </cell>
        </row>
        <row r="44">
          <cell r="E44" t="str">
            <v>13.504.675/0001-10</v>
          </cell>
          <cell r="F44" t="str">
            <v>ATIVA</v>
          </cell>
          <cell r="G44" t="str">
            <v>SANEAMENTO</v>
          </cell>
          <cell r="H44" t="str">
            <v>SOCIEDADE DE ECONOMIA MISTA</v>
          </cell>
          <cell r="I44" t="str">
            <v>S.A.</v>
          </cell>
          <cell r="J44" t="str">
            <v>FECHADO</v>
          </cell>
          <cell r="K44" t="str">
            <v>NÃO</v>
          </cell>
          <cell r="L44" t="str">
            <v>NÃO</v>
          </cell>
          <cell r="M44" t="str">
            <v>NÃO DEPENDENTE</v>
          </cell>
          <cell r="N44">
            <v>4638</v>
          </cell>
          <cell r="O44" t="str">
            <v>OK</v>
          </cell>
          <cell r="P44" t="str">
            <v>SIM</v>
          </cell>
          <cell r="Q44" t="str">
            <v>SIM</v>
          </cell>
          <cell r="R44" t="str">
            <v>SIM</v>
          </cell>
          <cell r="S44" t="str">
            <v>https://www.embasa.ba.gov.br/index.php/institucional/a-embasa/governanca/carta-anual-de-governanca-corporativa</v>
          </cell>
          <cell r="BF44" t="str">
            <v>13.504.675/0001-10</v>
          </cell>
          <cell r="BG44" t="str">
            <v>Empresa Baiana de Águas e Saneamento</v>
          </cell>
          <cell r="BH44" t="str">
            <v>EMBASA</v>
          </cell>
        </row>
        <row r="45">
          <cell r="E45" t="str">
            <v>13.579.586/0001-32</v>
          </cell>
          <cell r="F45" t="str">
            <v>ATIVA</v>
          </cell>
          <cell r="G45" t="str">
            <v>INFORMÁTICA E TECNOLOGIA DA INFORMAÇÃO</v>
          </cell>
          <cell r="H45" t="str">
            <v>SOCIEDADE DE ECONOMIA MISTA</v>
          </cell>
          <cell r="I45" t="str">
            <v>S.A.</v>
          </cell>
          <cell r="J45" t="str">
            <v>FECHADO</v>
          </cell>
          <cell r="K45" t="str">
            <v>NÃO</v>
          </cell>
          <cell r="L45" t="str">
            <v>NÃO</v>
          </cell>
          <cell r="M45" t="str">
            <v>NÃO DEPENDENTE</v>
          </cell>
          <cell r="N45">
            <v>637</v>
          </cell>
          <cell r="O45" t="str">
            <v>OK</v>
          </cell>
          <cell r="P45" t="str">
            <v>SIM</v>
          </cell>
          <cell r="Q45" t="str">
            <v>SIM</v>
          </cell>
          <cell r="R45" t="str">
            <v>SIM</v>
          </cell>
          <cell r="S45" t="str">
            <v>https://www.prodeb.ba.gov.br/sites/default/files/repositorio-midias/documentos/2024-04/Carta%20aos%20Acionistas%20Exerc%C3%ADcio%202023.pdf</v>
          </cell>
          <cell r="BF45" t="str">
            <v>13.579.586/0001-32</v>
          </cell>
          <cell r="BG45" t="str">
            <v>Companhia de Processamento de Dados do Estado da Bahia</v>
          </cell>
          <cell r="BH45" t="str">
            <v>PRODEB</v>
          </cell>
        </row>
        <row r="46">
          <cell r="E46" t="str">
            <v>15.171.101/0001-00</v>
          </cell>
          <cell r="F46" t="str">
            <v>EM LIQUIDAÇÃO</v>
          </cell>
          <cell r="G46" t="str">
            <v>HABITAÇÃO E URBANIZAÇÃO</v>
          </cell>
          <cell r="H46" t="str">
            <v>SOCIEDADE DE ECONOMIA MISTA</v>
          </cell>
          <cell r="I46" t="str">
            <v>S.A.</v>
          </cell>
          <cell r="J46" t="str">
            <v>FECHADO</v>
          </cell>
          <cell r="K46" t="str">
            <v>NÃO</v>
          </cell>
          <cell r="L46" t="str">
            <v>NÃO</v>
          </cell>
          <cell r="M46" t="str">
            <v>NÃO DEPENDENTE</v>
          </cell>
          <cell r="N46">
            <v>51</v>
          </cell>
          <cell r="O46" t="str">
            <v>OK</v>
          </cell>
          <cell r="P46" t="str">
            <v>SIM</v>
          </cell>
          <cell r="Q46" t="str">
            <v>SIM</v>
          </cell>
          <cell r="R46" t="str">
            <v>NÃO</v>
          </cell>
          <cell r="S46" t="str">
            <v>Site não disponível</v>
          </cell>
          <cell r="BF46" t="str">
            <v>15.171.101/0001-00</v>
          </cell>
          <cell r="BG46" t="str">
            <v>Habitação e Urbanização da Bahia S/A</v>
          </cell>
          <cell r="BH46" t="str">
            <v>URBIS</v>
          </cell>
        </row>
        <row r="47">
          <cell r="E47" t="str">
            <v>09.100.913/0001-54</v>
          </cell>
          <cell r="F47" t="str">
            <v>ATIVA</v>
          </cell>
          <cell r="G47" t="str">
            <v>DESENVOLVIMENTO REGIONAL</v>
          </cell>
          <cell r="H47" t="str">
            <v>SOCIEDADE DE ECONOMIA MISTA</v>
          </cell>
          <cell r="I47" t="str">
            <v>S.A.</v>
          </cell>
          <cell r="J47" t="str">
            <v>FECHADO</v>
          </cell>
          <cell r="K47" t="str">
            <v>NÃO</v>
          </cell>
          <cell r="L47" t="str">
            <v>NÃO</v>
          </cell>
          <cell r="M47" t="str">
            <v>NÃO DEPENDENTE</v>
          </cell>
          <cell r="N47">
            <v>127</v>
          </cell>
          <cell r="O47" t="str">
            <v>OK</v>
          </cell>
          <cell r="P47" t="str">
            <v>SIM</v>
          </cell>
          <cell r="Q47" t="str">
            <v>SIM</v>
          </cell>
          <cell r="R47" t="str">
            <v>NÃO</v>
          </cell>
          <cell r="S47" t="str">
            <v>https://www.adece.ce.gov.br/governanca-corporativa/</v>
          </cell>
          <cell r="BF47" t="str">
            <v>09.100.913/0001-54</v>
          </cell>
          <cell r="BG47" t="str">
            <v>Agência de Desenvolvimento do Estado do Ceará S/A</v>
          </cell>
          <cell r="BH47" t="str">
            <v>ADECE</v>
          </cell>
        </row>
        <row r="48">
          <cell r="E48" t="str">
            <v>07.040.108/0001-57</v>
          </cell>
          <cell r="F48" t="str">
            <v>ATIVA</v>
          </cell>
          <cell r="G48" t="str">
            <v>SANEAMENTO</v>
          </cell>
          <cell r="H48" t="str">
            <v>SOCIEDADE DE ECONOMIA MISTA</v>
          </cell>
          <cell r="I48" t="str">
            <v>S.A.</v>
          </cell>
          <cell r="J48" t="str">
            <v>FECHADO</v>
          </cell>
          <cell r="K48" t="str">
            <v>NÃO</v>
          </cell>
          <cell r="L48" t="str">
            <v>NÃO</v>
          </cell>
          <cell r="M48" t="str">
            <v>NÃO DEPENDENTE</v>
          </cell>
          <cell r="N48">
            <v>5802</v>
          </cell>
          <cell r="O48" t="str">
            <v>OK</v>
          </cell>
          <cell r="P48" t="str">
            <v>SIM</v>
          </cell>
          <cell r="Q48" t="str">
            <v>SIM</v>
          </cell>
          <cell r="R48" t="str">
            <v>SIM</v>
          </cell>
          <cell r="S48" t="str">
            <v>https://www.cagece.com.br/governanca-corporativa/informacoes/</v>
          </cell>
          <cell r="BF48" t="str">
            <v>07.040.108/0001-57</v>
          </cell>
          <cell r="BG48" t="str">
            <v>Companhia de Água e Esgoto do Ceará</v>
          </cell>
          <cell r="BH48" t="str">
            <v>CAGECE</v>
          </cell>
        </row>
        <row r="49">
          <cell r="E49" t="str">
            <v>44.062.163/0001-74</v>
          </cell>
          <cell r="F49" t="str">
            <v>ATIVA</v>
          </cell>
          <cell r="G49" t="str">
            <v>GESTÃO DE ATIVOS</v>
          </cell>
          <cell r="H49" t="str">
            <v>SOCIEDADE DE ECONOMIA MISTA</v>
          </cell>
          <cell r="I49" t="str">
            <v>S.A.</v>
          </cell>
          <cell r="J49" t="str">
            <v>FECHADO</v>
          </cell>
          <cell r="K49" t="str">
            <v>NÃO</v>
          </cell>
          <cell r="L49" t="str">
            <v>NÃO</v>
          </cell>
          <cell r="M49" t="str">
            <v>NÃO DEPENDENTE</v>
          </cell>
          <cell r="N49">
            <v>17</v>
          </cell>
          <cell r="O49" t="str">
            <v>OK</v>
          </cell>
          <cell r="P49" t="str">
            <v>SIM</v>
          </cell>
          <cell r="Q49" t="str">
            <v>SIM</v>
          </cell>
          <cell r="R49" t="str">
            <v>NÃO</v>
          </cell>
          <cell r="S49" t="str">
            <v>https://cepart.com.br/carta-anual/</v>
          </cell>
          <cell r="BF49" t="str">
            <v>44.062.163/0001-74</v>
          </cell>
          <cell r="BG49" t="str">
            <v>Companhia de Participação de Ativos do Ceará</v>
          </cell>
          <cell r="BH49" t="str">
            <v>CEARAPAR</v>
          </cell>
        </row>
        <row r="50">
          <cell r="E50" t="str">
            <v>07.029.051/0001-95</v>
          </cell>
          <cell r="F50" t="str">
            <v>ATIVA</v>
          </cell>
          <cell r="G50" t="str">
            <v>ABASTECIMENTO DE ALIMENTOS E OUTROS INSUMOS</v>
          </cell>
          <cell r="H50" t="str">
            <v>SOCIEDADE DE ECONOMIA MISTA</v>
          </cell>
          <cell r="I50" t="str">
            <v>S.A.</v>
          </cell>
          <cell r="J50" t="str">
            <v>FECHADO</v>
          </cell>
          <cell r="K50" t="str">
            <v>NÃO</v>
          </cell>
          <cell r="L50" t="str">
            <v>NÃO</v>
          </cell>
          <cell r="M50" t="str">
            <v>NÃO DEPENDENTE</v>
          </cell>
          <cell r="N50">
            <v>255</v>
          </cell>
          <cell r="O50" t="str">
            <v>OK</v>
          </cell>
          <cell r="P50" t="str">
            <v>SIM</v>
          </cell>
          <cell r="Q50" t="str">
            <v>SIM</v>
          </cell>
          <cell r="R50" t="str">
            <v>NÃO</v>
          </cell>
          <cell r="S50" t="str">
            <v>https://www.ceasa-ce.com.br/governanca/</v>
          </cell>
          <cell r="BF50" t="str">
            <v>07.029.051/0001-95</v>
          </cell>
          <cell r="BG50" t="str">
            <v>Centrais de Abastecimento do Ceará S/A</v>
          </cell>
          <cell r="BH50" t="str">
            <v>CEASA CE</v>
          </cell>
        </row>
        <row r="51">
          <cell r="E51" t="str">
            <v>73.759.185/0001-96</v>
          </cell>
          <cell r="F51" t="str">
            <v>ATIVA</v>
          </cell>
          <cell r="G51" t="str">
            <v>GÁS E DERIVADOS</v>
          </cell>
          <cell r="H51" t="str">
            <v>SOCIEDADE DE ECONOMIA MISTA</v>
          </cell>
          <cell r="I51" t="str">
            <v>S.A.</v>
          </cell>
          <cell r="J51" t="str">
            <v>FECHADO</v>
          </cell>
          <cell r="K51" t="str">
            <v>NÃO</v>
          </cell>
          <cell r="L51" t="str">
            <v>NÃO</v>
          </cell>
          <cell r="M51" t="str">
            <v>NÃO DEPENDENTE</v>
          </cell>
          <cell r="N51">
            <v>150</v>
          </cell>
          <cell r="O51" t="str">
            <v>OK</v>
          </cell>
          <cell r="P51" t="str">
            <v>SIM</v>
          </cell>
          <cell r="Q51" t="str">
            <v>SIM</v>
          </cell>
          <cell r="R51" t="str">
            <v>SIM</v>
          </cell>
          <cell r="S51" t="str">
            <v>https://www.cegas.com.br/carta-anual-de-politicas-publicas-e-governanca-corporativa/</v>
          </cell>
          <cell r="BF51" t="str">
            <v>73.759.185/0001-96</v>
          </cell>
          <cell r="BG51" t="str">
            <v>Companhia de Gás do Ceará</v>
          </cell>
          <cell r="BH51" t="str">
            <v>CEGAS</v>
          </cell>
        </row>
        <row r="52">
          <cell r="E52" t="str">
            <v>01.256.678/0001-00</v>
          </cell>
          <cell r="F52" t="str">
            <v>ATIVA</v>
          </cell>
          <cell r="G52" t="str">
            <v>PORTOS E HIDROVIAS</v>
          </cell>
          <cell r="H52" t="str">
            <v>SOCIEDADE DE ECONOMIA MISTA</v>
          </cell>
          <cell r="I52" t="str">
            <v>S.A.</v>
          </cell>
          <cell r="J52" t="str">
            <v>FECHADO</v>
          </cell>
          <cell r="K52" t="str">
            <v>NÃO</v>
          </cell>
          <cell r="L52" t="str">
            <v>NÃO</v>
          </cell>
          <cell r="M52" t="str">
            <v>NÃO DEPENDENTE</v>
          </cell>
          <cell r="N52">
            <v>332</v>
          </cell>
          <cell r="O52" t="str">
            <v>OK</v>
          </cell>
          <cell r="P52" t="str">
            <v>SIM</v>
          </cell>
          <cell r="Q52" t="str">
            <v>SIM</v>
          </cell>
          <cell r="R52" t="str">
            <v>SIM</v>
          </cell>
          <cell r="S52" t="str">
            <v>https://www.complexodopecem.com.br/docs/carta-anual/</v>
          </cell>
          <cell r="BF52" t="str">
            <v>01.256.678/0001-00</v>
          </cell>
          <cell r="BG52" t="str">
            <v>Companhia de Desenvolvimento do Complexo Industrial e Portuário do Pecém</v>
          </cell>
          <cell r="BH52" t="str">
            <v>CIPP</v>
          </cell>
        </row>
        <row r="53">
          <cell r="E53" t="str">
            <v>74.075.938/0001-07</v>
          </cell>
          <cell r="F53" t="str">
            <v>ATIVA</v>
          </cell>
          <cell r="G53" t="str">
            <v>SANEAMENTO</v>
          </cell>
          <cell r="H53" t="str">
            <v>SOCIEDADE DE ECONOMIA MISTA</v>
          </cell>
          <cell r="I53" t="str">
            <v>S.A.</v>
          </cell>
          <cell r="J53" t="str">
            <v>FECHADO</v>
          </cell>
          <cell r="K53" t="str">
            <v>NÃO</v>
          </cell>
          <cell r="L53" t="str">
            <v>NÃO</v>
          </cell>
          <cell r="M53" t="str">
            <v>NÃO DEPENDENTE</v>
          </cell>
          <cell r="N53">
            <v>923</v>
          </cell>
          <cell r="O53" t="str">
            <v>OK</v>
          </cell>
          <cell r="P53" t="str">
            <v>SIM</v>
          </cell>
          <cell r="Q53" t="str">
            <v>SIM</v>
          </cell>
          <cell r="R53" t="str">
            <v>SIM</v>
          </cell>
          <cell r="S53" t="str">
            <v>https://portal.cogerh.com.br/carta-anual-de-politicas-publicas-e-governanca-corporativa-2/</v>
          </cell>
          <cell r="BF53" t="str">
            <v>74.075.938/0001-07</v>
          </cell>
          <cell r="BG53" t="str">
            <v>Companhia de Gestão dos Recursos Hídricos</v>
          </cell>
          <cell r="BH53" t="str">
            <v>COGERH</v>
          </cell>
        </row>
        <row r="54">
          <cell r="E54" t="str">
            <v>07.121.536/0001-04</v>
          </cell>
          <cell r="F54" t="str">
            <v>EM LIQUIDAÇÃO</v>
          </cell>
          <cell r="G54" t="str">
            <v>HABITAÇÃO E URBANIZAÇÃO</v>
          </cell>
          <cell r="H54" t="str">
            <v>SOCIEDADE DE ECONOMIA MISTA</v>
          </cell>
          <cell r="I54" t="str">
            <v>S.A.</v>
          </cell>
          <cell r="J54" t="str">
            <v>FECHADO</v>
          </cell>
          <cell r="K54" t="str">
            <v>NÃO</v>
          </cell>
          <cell r="L54" t="str">
            <v>NÃO</v>
          </cell>
          <cell r="M54" t="str">
            <v>DEPENDENTE</v>
          </cell>
          <cell r="N54">
            <v>41</v>
          </cell>
          <cell r="O54" t="str">
            <v>OK</v>
          </cell>
          <cell r="P54" t="str">
            <v>NÃO</v>
          </cell>
          <cell r="Q54" t="str">
            <v>SIM</v>
          </cell>
          <cell r="R54" t="str">
            <v>NÃO</v>
          </cell>
          <cell r="S54" t="str">
            <v>https://www.seplag.ce.gov.br/COHAB-CE/</v>
          </cell>
          <cell r="BF54" t="str">
            <v>07.121.536/0001-04</v>
          </cell>
          <cell r="BG54" t="str">
            <v>Companhia de Habitação do Ceará</v>
          </cell>
          <cell r="BH54" t="str">
            <v>COHAB CE</v>
          </cell>
        </row>
        <row r="55">
          <cell r="E55" t="str">
            <v>05.371.711/0001-96</v>
          </cell>
          <cell r="F55" t="str">
            <v>ATIVA</v>
          </cell>
          <cell r="G55" t="str">
            <v>PESQUISA E ASSISTÊNCIA TÉCNICA AGROPECUÁRIA</v>
          </cell>
          <cell r="H55" t="str">
            <v>EMPRESA PÚBLICA</v>
          </cell>
          <cell r="I55" t="str">
            <v>OUTRAS</v>
          </cell>
          <cell r="J55" t="str">
            <v>FECHADO</v>
          </cell>
          <cell r="K55" t="str">
            <v>NÃO</v>
          </cell>
          <cell r="L55" t="str">
            <v>NÃO</v>
          </cell>
          <cell r="M55" t="str">
            <v>DEPENDENTE</v>
          </cell>
          <cell r="N55">
            <v>797</v>
          </cell>
          <cell r="O55" t="str">
            <v>OK</v>
          </cell>
          <cell r="P55" t="str">
            <v>SIM</v>
          </cell>
          <cell r="Q55" t="str">
            <v>SIM</v>
          </cell>
          <cell r="R55" t="str">
            <v>NÃO</v>
          </cell>
          <cell r="S55" t="str">
            <v>https://www.ematerce.ce.gov.br/</v>
          </cell>
          <cell r="BF55" t="str">
            <v>05.371.711/0001-96</v>
          </cell>
          <cell r="BG55" t="str">
            <v>Empresa de Assistência Técnica e Extensão Rural do Ceará</v>
          </cell>
          <cell r="BH55" t="str">
            <v>EMATERCE</v>
          </cell>
        </row>
        <row r="56">
          <cell r="E56" t="str">
            <v>03.773.788/0001-67</v>
          </cell>
          <cell r="F56" t="str">
            <v>ATIVA</v>
          </cell>
          <cell r="G56" t="str">
            <v>INFORMÁTICA E TECNOLOGIA DA INFORMAÇÃO</v>
          </cell>
          <cell r="H56" t="str">
            <v>EMPRESA PÚBLICA</v>
          </cell>
          <cell r="I56" t="str">
            <v>S.A.</v>
          </cell>
          <cell r="J56" t="str">
            <v>FECHADO</v>
          </cell>
          <cell r="K56" t="str">
            <v>NÃO</v>
          </cell>
          <cell r="L56" t="str">
            <v>NÃO</v>
          </cell>
          <cell r="M56" t="str">
            <v>DEPENDENTE</v>
          </cell>
          <cell r="N56">
            <v>205</v>
          </cell>
          <cell r="O56" t="str">
            <v>OK</v>
          </cell>
          <cell r="P56" t="str">
            <v>SIM</v>
          </cell>
          <cell r="Q56" t="str">
            <v>SIM</v>
          </cell>
          <cell r="R56" t="str">
            <v>NÃO</v>
          </cell>
          <cell r="S56" t="str">
            <v>https://www.etice.ce.gov.br/cartas-anuais-de-politicas-publicas-e-governanca-corporativa/</v>
          </cell>
          <cell r="BF56" t="str">
            <v>03.773.788/0001-67</v>
          </cell>
          <cell r="BG56" t="str">
            <v>Empresa de Tecnologia da Informação do Ceará</v>
          </cell>
          <cell r="BH56" t="str">
            <v>ETICE</v>
          </cell>
        </row>
        <row r="57">
          <cell r="E57" t="str">
            <v>02.003.575/0001-93</v>
          </cell>
          <cell r="F57" t="str">
            <v>ATIVA</v>
          </cell>
          <cell r="G57" t="str">
            <v>TRANSPORTE</v>
          </cell>
          <cell r="H57" t="str">
            <v>SOCIEDADE DE ECONOMIA MISTA</v>
          </cell>
          <cell r="I57" t="str">
            <v>S.A.</v>
          </cell>
          <cell r="J57" t="str">
            <v>FECHADO</v>
          </cell>
          <cell r="K57" t="str">
            <v>NÃO</v>
          </cell>
          <cell r="L57" t="str">
            <v>NÃO</v>
          </cell>
          <cell r="M57" t="str">
            <v>NÃO DEPENDENTE</v>
          </cell>
          <cell r="N57">
            <v>1164</v>
          </cell>
          <cell r="O57" t="str">
            <v>OK</v>
          </cell>
          <cell r="P57" t="str">
            <v>SIM</v>
          </cell>
          <cell r="Q57" t="str">
            <v>SIM</v>
          </cell>
          <cell r="R57" t="str">
            <v>SIM</v>
          </cell>
          <cell r="S57" t="str">
            <v>https://www.metrofor.ce.gov.br/acesso-informacao/relatorios/</v>
          </cell>
          <cell r="BF57" t="str">
            <v>02.003.575/0001-93</v>
          </cell>
          <cell r="BG57" t="str">
            <v>Companhia Cearense de Transportes Metropolitanos</v>
          </cell>
          <cell r="BH57" t="str">
            <v>METROFOR</v>
          </cell>
        </row>
        <row r="58">
          <cell r="E58" t="str">
            <v>13.006.170/0001-25</v>
          </cell>
          <cell r="F58" t="str">
            <v>ATIVA</v>
          </cell>
          <cell r="G58" t="str">
            <v>PORTOS E HIDROVIAS</v>
          </cell>
          <cell r="H58" t="str">
            <v>SOCIEDADE DE ECONOMIA MISTA</v>
          </cell>
          <cell r="I58" t="str">
            <v>S.A.</v>
          </cell>
          <cell r="J58" t="str">
            <v>FECHADO</v>
          </cell>
          <cell r="K58" t="str">
            <v>NÃO</v>
          </cell>
          <cell r="L58" t="str">
            <v>SIM</v>
          </cell>
          <cell r="M58" t="str">
            <v>NÃO DEPENDENTE</v>
          </cell>
          <cell r="N58">
            <v>116</v>
          </cell>
          <cell r="O58" t="str">
            <v>OK</v>
          </cell>
          <cell r="P58" t="str">
            <v>SIM</v>
          </cell>
          <cell r="Q58" t="str">
            <v>SIM</v>
          </cell>
          <cell r="R58" t="str">
            <v>NÃO</v>
          </cell>
          <cell r="S58" t="str">
            <v>https://zpeceara.com.br/carta-anual-de-politicas-publicas-e-governanca-corporativa/</v>
          </cell>
          <cell r="BF58" t="str">
            <v>13.006.170/0001-25</v>
          </cell>
          <cell r="BG58" t="str">
            <v>ZPE Ceará</v>
          </cell>
          <cell r="BH58" t="str">
            <v>ZPE CE</v>
          </cell>
        </row>
        <row r="59">
          <cell r="E59" t="str">
            <v>29.580.134/0001-00</v>
          </cell>
          <cell r="F59" t="str">
            <v>ATIVA</v>
          </cell>
          <cell r="G59" t="str">
            <v>OUTROS</v>
          </cell>
          <cell r="H59" t="str">
            <v>EMPRESA PÚBLICA</v>
          </cell>
          <cell r="I59" t="str">
            <v>S.A.</v>
          </cell>
          <cell r="J59" t="str">
            <v>ABERTO</v>
          </cell>
          <cell r="K59" t="str">
            <v>NÃO</v>
          </cell>
          <cell r="L59" t="str">
            <v>SIM</v>
          </cell>
          <cell r="M59" t="str">
            <v>NÃO DEPENDENTE</v>
          </cell>
          <cell r="N59">
            <v>69</v>
          </cell>
          <cell r="O59" t="str">
            <v>OK</v>
          </cell>
          <cell r="P59" t="str">
            <v>SIM</v>
          </cell>
          <cell r="Q59" t="str">
            <v>SIM</v>
          </cell>
          <cell r="R59" t="str">
            <v>NÃO</v>
          </cell>
          <cell r="S59" t="str">
            <v>https://www.bioticsa.com.br/legislacao</v>
          </cell>
          <cell r="BF59" t="str">
            <v>29.580.134/0001-00</v>
          </cell>
          <cell r="BG59" t="str">
            <v>BIOTIC S/A</v>
          </cell>
          <cell r="BH59" t="str">
            <v>BIOTIC</v>
          </cell>
        </row>
        <row r="60">
          <cell r="E60" t="str">
            <v>00.000.208/0001-00</v>
          </cell>
          <cell r="F60" t="str">
            <v>ATIVA</v>
          </cell>
          <cell r="G60" t="str">
            <v>FINANCEIRO</v>
          </cell>
          <cell r="H60" t="str">
            <v>SOCIEDADE DE ECONOMIA MISTA</v>
          </cell>
          <cell r="I60" t="str">
            <v>S.A.</v>
          </cell>
          <cell r="J60" t="str">
            <v>ABERTO</v>
          </cell>
          <cell r="K60" t="str">
            <v>SIM</v>
          </cell>
          <cell r="L60" t="str">
            <v>NÃO</v>
          </cell>
          <cell r="M60" t="str">
            <v>NÃO DEPENDENTE</v>
          </cell>
          <cell r="N60">
            <v>3376</v>
          </cell>
          <cell r="O60" t="str">
            <v>OK</v>
          </cell>
          <cell r="P60" t="str">
            <v>SIM</v>
          </cell>
          <cell r="Q60" t="str">
            <v>SIM</v>
          </cell>
          <cell r="R60" t="str">
            <v>SIM</v>
          </cell>
          <cell r="S60" t="str">
            <v>https://novo.brb.com.br/</v>
          </cell>
          <cell r="BF60" t="str">
            <v>00.000.208/0001-00</v>
          </cell>
          <cell r="BG60" t="str">
            <v>Banco Regional de Brasília</v>
          </cell>
          <cell r="BH60" t="str">
            <v>BRB</v>
          </cell>
        </row>
        <row r="61">
          <cell r="E61" t="str">
            <v>33.850.686/0001-69</v>
          </cell>
          <cell r="F61" t="str">
            <v>ATIVA</v>
          </cell>
          <cell r="G61" t="str">
            <v>FINANCEIRO</v>
          </cell>
          <cell r="H61" t="str">
            <v>SOCIEDADE DE ECONOMIA MISTA</v>
          </cell>
          <cell r="I61" t="str">
            <v>S.A.</v>
          </cell>
          <cell r="J61" t="str">
            <v>FECHADO</v>
          </cell>
          <cell r="K61" t="str">
            <v>NÃO</v>
          </cell>
          <cell r="L61" t="str">
            <v>SIM</v>
          </cell>
          <cell r="M61" t="str">
            <v>NÃO DEPENDENTE</v>
          </cell>
          <cell r="N61">
            <v>6</v>
          </cell>
          <cell r="O61" t="str">
            <v>OK</v>
          </cell>
          <cell r="P61" t="str">
            <v>SIM</v>
          </cell>
          <cell r="Q61" t="str">
            <v>SIM</v>
          </cell>
          <cell r="R61" t="str">
            <v>SIM</v>
          </cell>
          <cell r="S61" t="str">
            <v>https://novo.brb.com.br/</v>
          </cell>
          <cell r="BF61" t="str">
            <v>33.850.686/0001-69</v>
          </cell>
          <cell r="BG61" t="str">
            <v>BRB Distribuidora de Títulos e Valores Mobiliários</v>
          </cell>
          <cell r="BH61" t="str">
            <v>BRB DVTM</v>
          </cell>
        </row>
        <row r="62">
          <cell r="E62" t="str">
            <v>33.136.888/0001-43</v>
          </cell>
          <cell r="F62" t="str">
            <v>ATIVA</v>
          </cell>
          <cell r="G62" t="str">
            <v>FINANCEIRO</v>
          </cell>
          <cell r="H62" t="str">
            <v>SOCIEDADE DE ECONOMIA MISTA</v>
          </cell>
          <cell r="I62" t="str">
            <v>S.A.</v>
          </cell>
          <cell r="J62" t="str">
            <v>FECHADO</v>
          </cell>
          <cell r="K62" t="str">
            <v>NÃO</v>
          </cell>
          <cell r="L62" t="str">
            <v>SIM</v>
          </cell>
          <cell r="M62" t="str">
            <v>NÃO DEPENDENTE</v>
          </cell>
          <cell r="N62">
            <v>3</v>
          </cell>
          <cell r="O62" t="str">
            <v>OK</v>
          </cell>
          <cell r="P62" t="str">
            <v>SIM</v>
          </cell>
          <cell r="Q62" t="str">
            <v>SIM</v>
          </cell>
          <cell r="R62" t="str">
            <v>SIM</v>
          </cell>
          <cell r="S62" t="str">
            <v>https://novo.brb.com.br/</v>
          </cell>
          <cell r="BF62" t="str">
            <v>33.136.888/0001-43</v>
          </cell>
          <cell r="BG62" t="str">
            <v>BRB Crédito, Financiamento e Investimento</v>
          </cell>
          <cell r="BH62" t="str">
            <v>BRB Investimento</v>
          </cell>
        </row>
        <row r="63">
          <cell r="E63" t="str">
            <v>42.597.575/0001-83</v>
          </cell>
          <cell r="F63" t="str">
            <v>ATIVA</v>
          </cell>
          <cell r="G63" t="str">
            <v>FINANCEIRO</v>
          </cell>
          <cell r="H63" t="str">
            <v>SOCIEDADE DE ECONOMIA MISTA</v>
          </cell>
          <cell r="I63" t="str">
            <v>S.A.</v>
          </cell>
          <cell r="J63" t="str">
            <v>FECHADO</v>
          </cell>
          <cell r="K63" t="str">
            <v>NÃO</v>
          </cell>
          <cell r="L63" t="str">
            <v>SIM</v>
          </cell>
          <cell r="M63" t="str">
            <v>NÃO DEPENDENTE</v>
          </cell>
          <cell r="N63">
            <v>1</v>
          </cell>
          <cell r="O63" t="str">
            <v>OK</v>
          </cell>
          <cell r="P63" t="str">
            <v>NÃO</v>
          </cell>
          <cell r="Q63" t="str">
            <v>SIM</v>
          </cell>
          <cell r="R63" t="str">
            <v>NÃO</v>
          </cell>
          <cell r="S63" t="str">
            <v>https://novo.brb.com.br/</v>
          </cell>
          <cell r="BF63" t="str">
            <v>42.597.575/0001-83</v>
          </cell>
          <cell r="BG63" t="str">
            <v>BRB - Administradora e Corretora de Seguros S/A</v>
          </cell>
          <cell r="BH63" t="str">
            <v>BRB Seguros</v>
          </cell>
        </row>
        <row r="64">
          <cell r="E64" t="str">
            <v>12.875.569/0001-80</v>
          </cell>
          <cell r="F64" t="str">
            <v>ATIVA</v>
          </cell>
          <cell r="G64" t="str">
            <v>FINANCEIRO</v>
          </cell>
          <cell r="H64" t="str">
            <v>SOCIEDADE DE ECONOMIA MISTA</v>
          </cell>
          <cell r="I64" t="str">
            <v>S.A.</v>
          </cell>
          <cell r="J64" t="str">
            <v>FECHADO</v>
          </cell>
          <cell r="K64" t="str">
            <v>NÃO</v>
          </cell>
          <cell r="L64" t="str">
            <v>SIM</v>
          </cell>
          <cell r="M64" t="str">
            <v>NÃO DEPENDENTE</v>
          </cell>
          <cell r="N64">
            <v>1280</v>
          </cell>
          <cell r="O64" t="str">
            <v>OK</v>
          </cell>
          <cell r="P64" t="str">
            <v>SIM</v>
          </cell>
          <cell r="Q64" t="str">
            <v>SIM</v>
          </cell>
          <cell r="R64" t="str">
            <v>NÃO</v>
          </cell>
          <cell r="S64" t="str">
            <v>https://www.brbservicos.com.br</v>
          </cell>
          <cell r="BF64" t="str">
            <v>12.875.569/0001-80</v>
          </cell>
          <cell r="BG64" t="str">
            <v>BRB Serviços</v>
          </cell>
          <cell r="BH64" t="str">
            <v>BRB Serviços</v>
          </cell>
        </row>
        <row r="65">
          <cell r="E65" t="str">
            <v>01.984.199/0001-00</v>
          </cell>
          <cell r="F65" t="str">
            <v>ATIVA</v>
          </cell>
          <cell r="G65" t="str">
            <v>FINANCEIRO</v>
          </cell>
          <cell r="H65" t="str">
            <v>SOCIEDADE DE ECONOMIA MISTA</v>
          </cell>
          <cell r="I65" t="str">
            <v>S.A.</v>
          </cell>
          <cell r="J65" t="str">
            <v>FECHADO</v>
          </cell>
          <cell r="K65" t="str">
            <v>NÃO</v>
          </cell>
          <cell r="L65" t="str">
            <v>SIM</v>
          </cell>
          <cell r="M65" t="str">
            <v>NÃO DEPENDENTE</v>
          </cell>
          <cell r="N65">
            <v>280</v>
          </cell>
          <cell r="O65" t="str">
            <v>OK</v>
          </cell>
          <cell r="P65" t="str">
            <v>SIM</v>
          </cell>
          <cell r="Q65" t="str">
            <v>SIM</v>
          </cell>
          <cell r="R65" t="str">
            <v>SIM</v>
          </cell>
          <cell r="S65" t="str">
            <v>https://www.brbcard.com.br/wp-content/uploads/2024/09/Carta-Anual-Politicas-Publicas-Gov-Corporativa-2023-vf.pdf</v>
          </cell>
          <cell r="BF65" t="str">
            <v>01.984.199/0001-00</v>
          </cell>
          <cell r="BG65" t="str">
            <v>Cartão BRB</v>
          </cell>
          <cell r="BH65" t="str">
            <v>BRBCARD</v>
          </cell>
        </row>
        <row r="66">
          <cell r="E66" t="str">
            <v>00.082.024/0001-37</v>
          </cell>
          <cell r="F66" t="str">
            <v>ATIVA</v>
          </cell>
          <cell r="G66" t="str">
            <v>SANEAMENTO</v>
          </cell>
          <cell r="H66" t="str">
            <v>SOCIEDADE DE ECONOMIA MISTA</v>
          </cell>
          <cell r="I66" t="str">
            <v>S.A.</v>
          </cell>
          <cell r="J66" t="str">
            <v>FECHADO</v>
          </cell>
          <cell r="K66" t="str">
            <v>NÃO</v>
          </cell>
          <cell r="L66" t="str">
            <v>NÃO</v>
          </cell>
          <cell r="M66" t="str">
            <v>NÃO DEPENDENTE</v>
          </cell>
          <cell r="N66">
            <v>2020</v>
          </cell>
          <cell r="O66" t="str">
            <v>OK</v>
          </cell>
          <cell r="P66" t="str">
            <v>SIM</v>
          </cell>
          <cell r="Q66" t="str">
            <v>SIM</v>
          </cell>
          <cell r="R66" t="str">
            <v>SIM</v>
          </cell>
          <cell r="S66" t="str">
            <v>https://www.caesb.df.gov.br/</v>
          </cell>
          <cell r="BF66" t="str">
            <v>00.082.024/0001-37</v>
          </cell>
          <cell r="BG66" t="str">
            <v>Companhia de Saneamento Ambiental do Distrito Federal</v>
          </cell>
          <cell r="BH66" t="str">
            <v>CAESB</v>
          </cell>
        </row>
        <row r="67">
          <cell r="E67" t="str">
            <v>00.314.310/0001-80</v>
          </cell>
          <cell r="F67" t="str">
            <v>ATIVA</v>
          </cell>
          <cell r="G67" t="str">
            <v>ABASTECIMENTO DE ALIMENTOS E OUTROS INSUMOS</v>
          </cell>
          <cell r="H67" t="str">
            <v>SOCIEDADE DE ECONOMIA MISTA</v>
          </cell>
          <cell r="I67" t="str">
            <v>S.A.</v>
          </cell>
          <cell r="J67" t="str">
            <v>FECHADO</v>
          </cell>
          <cell r="K67" t="str">
            <v>NÃO</v>
          </cell>
          <cell r="L67" t="str">
            <v>NÃO</v>
          </cell>
          <cell r="M67" t="str">
            <v>NÃO DEPENDENTE</v>
          </cell>
          <cell r="N67">
            <v>109</v>
          </cell>
          <cell r="O67" t="str">
            <v>OK</v>
          </cell>
          <cell r="P67" t="str">
            <v>SIM</v>
          </cell>
          <cell r="Q67" t="str">
            <v>SIM</v>
          </cell>
          <cell r="R67" t="str">
            <v>NÃO</v>
          </cell>
          <cell r="S67" t="str">
            <v>https://www.ceasa.df.gov.br/</v>
          </cell>
          <cell r="BF67" t="str">
            <v>00.314.310/0001-80</v>
          </cell>
          <cell r="BG67" t="str">
            <v>Centrais de Abastecimento do Distrito Federal</v>
          </cell>
          <cell r="BH67" t="str">
            <v>CEASA DF</v>
          </cell>
        </row>
        <row r="68">
          <cell r="E68" t="str">
            <v>00.070.698/0001-11</v>
          </cell>
          <cell r="F68" t="str">
            <v>ATIVA</v>
          </cell>
          <cell r="G68" t="str">
            <v>ENERGIA</v>
          </cell>
          <cell r="H68" t="str">
            <v>SOCIEDADE DE ECONOMIA MISTA</v>
          </cell>
          <cell r="I68" t="str">
            <v>S.A.</v>
          </cell>
          <cell r="J68" t="str">
            <v>ABERTO</v>
          </cell>
          <cell r="K68" t="str">
            <v>SIM</v>
          </cell>
          <cell r="L68" t="str">
            <v>NÃO</v>
          </cell>
          <cell r="M68" t="str">
            <v>NÃO DEPENDENTE</v>
          </cell>
          <cell r="N68">
            <v>122</v>
          </cell>
          <cell r="O68" t="str">
            <v>OK</v>
          </cell>
          <cell r="P68" t="str">
            <v>SIM</v>
          </cell>
          <cell r="Q68" t="str">
            <v>SIM</v>
          </cell>
          <cell r="R68" t="str">
            <v>SIM</v>
          </cell>
          <cell r="S68" t="str">
            <v>https://ri.ceb.com.br/</v>
          </cell>
          <cell r="BF68" t="str">
            <v>00.070.698/0001-11</v>
          </cell>
          <cell r="BG68" t="str">
            <v>Companhia Energética de Brasília</v>
          </cell>
          <cell r="BH68" t="str">
            <v>CEB</v>
          </cell>
        </row>
        <row r="69">
          <cell r="E69" t="str">
            <v>04.232.314/0001-70</v>
          </cell>
          <cell r="F69" t="str">
            <v>ATIVA</v>
          </cell>
          <cell r="G69" t="str">
            <v>ENERGIA</v>
          </cell>
          <cell r="H69" t="str">
            <v>EMPRESA PÚBLICA</v>
          </cell>
          <cell r="I69" t="str">
            <v>S.A.</v>
          </cell>
          <cell r="J69" t="str">
            <v>FECHADO</v>
          </cell>
          <cell r="K69" t="str">
            <v>NÃO</v>
          </cell>
          <cell r="L69" t="str">
            <v>SIM</v>
          </cell>
          <cell r="M69" t="str">
            <v>NÃO DEPENDENTE</v>
          </cell>
          <cell r="N69">
            <v>18</v>
          </cell>
          <cell r="O69" t="str">
            <v>OK</v>
          </cell>
          <cell r="P69" t="str">
            <v>NÃO</v>
          </cell>
          <cell r="Q69" t="str">
            <v>SIM</v>
          </cell>
          <cell r="R69" t="str">
            <v>SIM</v>
          </cell>
          <cell r="S69" t="str">
            <v>https://www.ceb.com.br/Documentos.aspx?IdCanal=hD8pqKNE+C5Xrd39y4J+Tg==</v>
          </cell>
          <cell r="BF69" t="str">
            <v>04.232.314/0001-70</v>
          </cell>
          <cell r="BG69" t="str">
            <v>CEB Geração</v>
          </cell>
          <cell r="BH69" t="str">
            <v>CEB Geração</v>
          </cell>
        </row>
        <row r="70">
          <cell r="E70" t="str">
            <v>39.683.726/0001-01</v>
          </cell>
          <cell r="F70" t="str">
            <v>ATIVA</v>
          </cell>
          <cell r="G70" t="str">
            <v>ENERGIA</v>
          </cell>
          <cell r="H70" t="str">
            <v>SOCIEDADE DE ECONOMIA MISTA</v>
          </cell>
          <cell r="I70" t="str">
            <v>S.A.</v>
          </cell>
          <cell r="J70" t="str">
            <v>FECHADO</v>
          </cell>
          <cell r="K70" t="str">
            <v>NÃO</v>
          </cell>
          <cell r="L70" t="str">
            <v>SIM</v>
          </cell>
          <cell r="M70" t="str">
            <v>NÃO DEPENDENTE</v>
          </cell>
          <cell r="N70">
            <v>51</v>
          </cell>
          <cell r="O70" t="str">
            <v>OK</v>
          </cell>
          <cell r="P70" t="str">
            <v>NÃO</v>
          </cell>
          <cell r="Q70" t="str">
            <v>SIM</v>
          </cell>
          <cell r="R70" t="str">
            <v>NÃO</v>
          </cell>
          <cell r="S70" t="str">
            <v>https://www.ceb.com.br/ListaBusca.aspx?busca=carta%20anual</v>
          </cell>
          <cell r="BF70" t="str">
            <v>39.683.726/0001-01</v>
          </cell>
          <cell r="BG70" t="str">
            <v>CEB Iluminação Pública e Serviços</v>
          </cell>
          <cell r="BH70" t="str">
            <v>CEB IPES</v>
          </cell>
        </row>
        <row r="71">
          <cell r="E71" t="str">
            <v>03.677.638/0001-50</v>
          </cell>
          <cell r="F71" t="str">
            <v>ATIVA</v>
          </cell>
          <cell r="G71" t="str">
            <v>ENERGIA</v>
          </cell>
          <cell r="H71" t="str">
            <v>SOCIEDADE DE ECONOMIA MISTA</v>
          </cell>
          <cell r="I71" t="str">
            <v>S.A.</v>
          </cell>
          <cell r="J71" t="str">
            <v>FECHADO</v>
          </cell>
          <cell r="K71" t="str">
            <v>NÃO</v>
          </cell>
          <cell r="L71" t="str">
            <v>SIM</v>
          </cell>
          <cell r="M71" t="str">
            <v>NÃO DEPENDENTE</v>
          </cell>
          <cell r="N71">
            <v>16</v>
          </cell>
          <cell r="O71" t="str">
            <v>OK</v>
          </cell>
          <cell r="P71" t="str">
            <v>SIM</v>
          </cell>
          <cell r="Q71" t="str">
            <v>SIM</v>
          </cell>
          <cell r="R71" t="str">
            <v>SIM</v>
          </cell>
          <cell r="S71" t="str">
            <v>https://www.ceb.com.br/listgroup.aspx?idCanal=ttqsU4WMkmrdTOYKgb2BgA==</v>
          </cell>
          <cell r="BF71" t="str">
            <v>03.677.638/0001-50</v>
          </cell>
          <cell r="BG71" t="str">
            <v>CEB Lajeado</v>
          </cell>
          <cell r="BH71" t="str">
            <v>CEB L</v>
          </cell>
        </row>
        <row r="72">
          <cell r="E72" t="str">
            <v>04.363.670/0001-23</v>
          </cell>
          <cell r="F72" t="str">
            <v>ATIVA</v>
          </cell>
          <cell r="G72" t="str">
            <v>GÁS E DERIVADOS</v>
          </cell>
          <cell r="H72" t="str">
            <v>SOCIEDADE DE ECONOMIA MISTA</v>
          </cell>
          <cell r="I72" t="str">
            <v>S.A.</v>
          </cell>
          <cell r="J72" t="str">
            <v>FECHADO</v>
          </cell>
          <cell r="K72" t="str">
            <v>NÃO</v>
          </cell>
          <cell r="L72" t="str">
            <v>NÃO</v>
          </cell>
          <cell r="M72" t="str">
            <v>NÃO DEPENDENTE</v>
          </cell>
          <cell r="N72">
            <v>3</v>
          </cell>
          <cell r="O72" t="str">
            <v>OK</v>
          </cell>
          <cell r="P72" t="str">
            <v>SIM</v>
          </cell>
          <cell r="Q72" t="str">
            <v>SIM</v>
          </cell>
          <cell r="R72" t="str">
            <v>NÃO</v>
          </cell>
          <cell r="S72" t="str">
            <v>https://www.cebgas.com.br/</v>
          </cell>
          <cell r="BF72" t="str">
            <v>04.363.670/0001-23</v>
          </cell>
          <cell r="BG72" t="str">
            <v>Companhia Brasiliense de Gás</v>
          </cell>
          <cell r="BH72" t="str">
            <v>CEBGAS</v>
          </cell>
        </row>
        <row r="73">
          <cell r="E73" t="str">
            <v>03.682.014/0001-20</v>
          </cell>
          <cell r="F73" t="str">
            <v>ATIVA</v>
          </cell>
          <cell r="G73" t="str">
            <v>ENERGIA</v>
          </cell>
          <cell r="H73" t="str">
            <v>EMPRESA PÚBLICA</v>
          </cell>
          <cell r="I73" t="str">
            <v>S.A.</v>
          </cell>
          <cell r="J73" t="str">
            <v>FECHADO</v>
          </cell>
          <cell r="K73" t="str">
            <v>NÃO</v>
          </cell>
          <cell r="L73" t="str">
            <v>SIM</v>
          </cell>
          <cell r="M73" t="str">
            <v>NÃO DEPENDENTE</v>
          </cell>
          <cell r="N73">
            <v>16</v>
          </cell>
          <cell r="O73" t="str">
            <v>OK</v>
          </cell>
          <cell r="P73" t="str">
            <v>NÃO</v>
          </cell>
          <cell r="Q73" t="str">
            <v>SIM</v>
          </cell>
          <cell r="R73" t="str">
            <v>NÃO</v>
          </cell>
          <cell r="S73" t="str">
            <v>https://www.ceb.com.br/Documentos.aspx?IdCanal=uLdevE5UUjlDpqJy4WGHDQ==</v>
          </cell>
          <cell r="BF73" t="str">
            <v>03.682.014/0001-20</v>
          </cell>
          <cell r="BG73" t="str">
            <v>CEB Participações</v>
          </cell>
          <cell r="BH73" t="str">
            <v>CEBPAR</v>
          </cell>
        </row>
        <row r="74">
          <cell r="E74" t="str">
            <v>00.046.060/0001-45</v>
          </cell>
          <cell r="F74" t="str">
            <v>EM LIQUIDAÇÃO</v>
          </cell>
          <cell r="G74" t="str">
            <v>OUTROS</v>
          </cell>
          <cell r="H74" t="str">
            <v>EMPRESA PÚBLICA</v>
          </cell>
          <cell r="I74" t="str">
            <v>OUTRAS</v>
          </cell>
          <cell r="J74" t="str">
            <v>FECHADO</v>
          </cell>
          <cell r="K74" t="str">
            <v>NÃO</v>
          </cell>
          <cell r="L74" t="str">
            <v>NÃO</v>
          </cell>
          <cell r="M74" t="str">
            <v>DEPENDENTE</v>
          </cell>
          <cell r="N74">
            <v>5</v>
          </cell>
          <cell r="O74" t="str">
            <v>OK</v>
          </cell>
          <cell r="P74" t="str">
            <v>SIM</v>
          </cell>
          <cell r="Q74" t="str">
            <v>SIM</v>
          </cell>
          <cell r="R74" t="str">
            <v>NÃO</v>
          </cell>
          <cell r="S74" t="str">
            <v>https://www.codeplan.df.gov.br/</v>
          </cell>
          <cell r="BF74" t="str">
            <v>00.046.060/0001-45</v>
          </cell>
          <cell r="BG74" t="str">
            <v>Companhia de Planejamento do Distrito Federal</v>
          </cell>
          <cell r="BH74" t="str">
            <v>CODEPLAN</v>
          </cell>
        </row>
        <row r="75">
          <cell r="E75" t="str">
            <v>09.335.575/0001-30</v>
          </cell>
          <cell r="F75" t="str">
            <v>ATIVA</v>
          </cell>
          <cell r="G75" t="str">
            <v>HABITAÇÃO E URBANIZAÇÃO</v>
          </cell>
          <cell r="H75" t="str">
            <v>EMPRESA PÚBLICA</v>
          </cell>
          <cell r="I75" t="str">
            <v>LTDA</v>
          </cell>
          <cell r="J75" t="str">
            <v>FECHADO</v>
          </cell>
          <cell r="K75" t="str">
            <v>NÃO</v>
          </cell>
          <cell r="L75" t="str">
            <v>NÃO</v>
          </cell>
          <cell r="M75" t="str">
            <v>DEPENDENTE</v>
          </cell>
          <cell r="N75">
            <v>410</v>
          </cell>
          <cell r="O75" t="str">
            <v>OK</v>
          </cell>
          <cell r="P75" t="str">
            <v>SIM</v>
          </cell>
          <cell r="Q75" t="str">
            <v>SIM</v>
          </cell>
          <cell r="R75" t="str">
            <v>SIM</v>
          </cell>
          <cell r="S75" t="str">
            <v>https://www.codhab.df.gov.br/pagina/452</v>
          </cell>
          <cell r="BF75" t="str">
            <v>09.335.575/0001-30</v>
          </cell>
          <cell r="BG75" t="str">
            <v>Companhia de Desenvolvimento Habitacional do Distrito Federal</v>
          </cell>
          <cell r="BH75" t="str">
            <v>CODHAB/DF</v>
          </cell>
        </row>
        <row r="76">
          <cell r="E76" t="str">
            <v>00.509.612/0001-04</v>
          </cell>
          <cell r="F76" t="str">
            <v>ATIVA</v>
          </cell>
          <cell r="G76" t="str">
            <v>PESQUISA E ASSISTÊNCIA TÉCNICA AGROPECUÁRIA</v>
          </cell>
          <cell r="H76" t="str">
            <v>EMPRESA PÚBLICA</v>
          </cell>
          <cell r="I76" t="str">
            <v>OUTRAS</v>
          </cell>
          <cell r="J76" t="str">
            <v>ABERTO</v>
          </cell>
          <cell r="K76" t="str">
            <v>NÃO</v>
          </cell>
          <cell r="L76" t="str">
            <v>NÃO</v>
          </cell>
          <cell r="M76" t="str">
            <v>DEPENDENTE</v>
          </cell>
          <cell r="N76">
            <v>343</v>
          </cell>
          <cell r="O76" t="str">
            <v>OK</v>
          </cell>
          <cell r="P76" t="str">
            <v>SIM</v>
          </cell>
          <cell r="Q76" t="str">
            <v>SIM</v>
          </cell>
          <cell r="R76" t="str">
            <v>SIM</v>
          </cell>
          <cell r="S76" t="str">
            <v>https://emater.df.gov.br/governanca-corporativa/</v>
          </cell>
          <cell r="BF76" t="str">
            <v>00.509.612/0001-04</v>
          </cell>
          <cell r="BG76" t="str">
            <v>Empresa de Assistência Técnica e Extensão Rural do Distrito Federal</v>
          </cell>
          <cell r="BH76" t="str">
            <v>EMATER-DF</v>
          </cell>
        </row>
        <row r="77">
          <cell r="E77" t="str">
            <v>50.698.494/0001-06</v>
          </cell>
          <cell r="F77" t="str">
            <v>ATIVA</v>
          </cell>
          <cell r="G77" t="str">
            <v>GESTÃO DE ATIVOS</v>
          </cell>
          <cell r="H77" t="str">
            <v>EMPRESA PÚBLICA</v>
          </cell>
          <cell r="I77" t="str">
            <v>S.A.</v>
          </cell>
          <cell r="J77" t="str">
            <v>FECHADO</v>
          </cell>
          <cell r="K77" t="str">
            <v>NÃO</v>
          </cell>
          <cell r="L77" t="str">
            <v>SIM</v>
          </cell>
          <cell r="M77" t="str">
            <v>DEPENDENTE</v>
          </cell>
          <cell r="N77">
            <v>48</v>
          </cell>
          <cell r="O77" t="str">
            <v>OK</v>
          </cell>
          <cell r="P77" t="str">
            <v>SIM</v>
          </cell>
          <cell r="Q77" t="str">
            <v>SIM</v>
          </cell>
          <cell r="R77" t="str">
            <v>NÃO</v>
          </cell>
          <cell r="S77" t="str">
            <v>https://www.etr.df.gov.br/</v>
          </cell>
          <cell r="BF77" t="str">
            <v>50.698.494/0001-06</v>
          </cell>
          <cell r="BG77" t="str">
            <v>Empresa de Regularização de Terras Rurais</v>
          </cell>
          <cell r="BH77" t="str">
            <v>ETR S.A.</v>
          </cell>
        </row>
        <row r="78">
          <cell r="E78" t="str">
            <v>38.070.074/0001-77</v>
          </cell>
          <cell r="F78" t="str">
            <v>ATIVA</v>
          </cell>
          <cell r="G78" t="str">
            <v>TRANSPORTE</v>
          </cell>
          <cell r="H78" t="str">
            <v>EMPRESA PÚBLICA</v>
          </cell>
          <cell r="I78" t="str">
            <v>OUTRAS</v>
          </cell>
          <cell r="J78" t="str">
            <v>FECHADO</v>
          </cell>
          <cell r="K78" t="str">
            <v>NÃO</v>
          </cell>
          <cell r="L78" t="str">
            <v>NÃO</v>
          </cell>
          <cell r="M78" t="str">
            <v>DEPENDENTE</v>
          </cell>
          <cell r="N78">
            <v>1233</v>
          </cell>
          <cell r="O78" t="str">
            <v>OK</v>
          </cell>
          <cell r="P78" t="str">
            <v>SIM</v>
          </cell>
          <cell r="Q78" t="str">
            <v>SIM</v>
          </cell>
          <cell r="R78" t="str">
            <v>NÃO</v>
          </cell>
          <cell r="S78" t="str">
            <v>https://metro.df.gov.br/?page_id=37077</v>
          </cell>
          <cell r="BF78" t="str">
            <v>38.070.074/0001-77</v>
          </cell>
          <cell r="BG78" t="str">
            <v>Companhia do Metropolitano do Distrito Federal</v>
          </cell>
          <cell r="BH78" t="str">
            <v>METRÔ-DF</v>
          </cell>
        </row>
        <row r="79">
          <cell r="E79" t="str">
            <v>00.037.457/0001-70</v>
          </cell>
          <cell r="F79" t="str">
            <v>ATIVA</v>
          </cell>
          <cell r="G79" t="str">
            <v>HABITAÇÃO E URBANIZAÇÃO</v>
          </cell>
          <cell r="H79" t="str">
            <v>EMPRESA PÚBLICA</v>
          </cell>
          <cell r="I79" t="str">
            <v>S.A.</v>
          </cell>
          <cell r="J79" t="str">
            <v>FECHADO</v>
          </cell>
          <cell r="K79" t="str">
            <v>NÃO</v>
          </cell>
          <cell r="L79" t="str">
            <v>NÃO</v>
          </cell>
          <cell r="M79" t="str">
            <v>DEPENDENTE</v>
          </cell>
          <cell r="N79">
            <v>1736</v>
          </cell>
          <cell r="O79" t="str">
            <v>OK</v>
          </cell>
          <cell r="P79" t="str">
            <v>SIM</v>
          </cell>
          <cell r="Q79" t="str">
            <v>SIM</v>
          </cell>
          <cell r="R79" t="str">
            <v>SIM</v>
          </cell>
          <cell r="S79" t="str">
            <v>https://www.novacap.df.gov.br/?s=carta+anual+de+politicas</v>
          </cell>
          <cell r="BF79" t="str">
            <v>00.037.457/0001-70</v>
          </cell>
          <cell r="BG79" t="str">
            <v>Companhia Urbanizadora da Nova Capital do Brasil</v>
          </cell>
          <cell r="BH79" t="str">
            <v>NOVACAP</v>
          </cell>
        </row>
        <row r="80">
          <cell r="E80" t="str">
            <v>00.338.079/0001-65</v>
          </cell>
          <cell r="F80" t="str">
            <v>EM LIQUIDAÇÃO</v>
          </cell>
          <cell r="G80" t="str">
            <v>OUTROS</v>
          </cell>
          <cell r="H80" t="str">
            <v>SOCIEDADE DE ECONOMIA MISTA</v>
          </cell>
          <cell r="I80" t="str">
            <v>S.A.</v>
          </cell>
          <cell r="J80" t="str">
            <v>FECHADO</v>
          </cell>
          <cell r="K80" t="str">
            <v>NÃO</v>
          </cell>
          <cell r="L80" t="str">
            <v>NÃO</v>
          </cell>
          <cell r="M80" t="str">
            <v>NÃO DEPENDENTE</v>
          </cell>
          <cell r="N80">
            <v>7</v>
          </cell>
          <cell r="O80" t="str">
            <v>OK</v>
          </cell>
          <cell r="P80" t="str">
            <v>SIM</v>
          </cell>
          <cell r="Q80" t="str">
            <v>SIM</v>
          </cell>
          <cell r="R80" t="str">
            <v>NÃO</v>
          </cell>
          <cell r="S80" t="str">
            <v>Site não disponível</v>
          </cell>
          <cell r="BF80" t="str">
            <v>00.338.079/0001-65</v>
          </cell>
          <cell r="BG80" t="str">
            <v>PROFLORA</v>
          </cell>
          <cell r="BH80" t="str">
            <v>PROFLORA</v>
          </cell>
        </row>
        <row r="81">
          <cell r="E81" t="str">
            <v>00.037.226/0001-67</v>
          </cell>
          <cell r="F81" t="str">
            <v>EM LIQUIDAÇÃO</v>
          </cell>
          <cell r="G81" t="str">
            <v>ABASTECIMENTO DE ALIMENTOS E OUTROS INSUMOS</v>
          </cell>
          <cell r="H81" t="str">
            <v>EMPRESA PÚBLICA</v>
          </cell>
          <cell r="I81" t="str">
            <v>S.A.</v>
          </cell>
          <cell r="J81" t="str">
            <v>FECHADO</v>
          </cell>
          <cell r="K81" t="str">
            <v>NÃO</v>
          </cell>
          <cell r="L81" t="str">
            <v>NÃO</v>
          </cell>
          <cell r="M81" t="str">
            <v>DEPENDENTE</v>
          </cell>
          <cell r="N81">
            <v>111</v>
          </cell>
          <cell r="O81" t="str">
            <v>OK</v>
          </cell>
          <cell r="P81" t="str">
            <v>SIM</v>
          </cell>
          <cell r="Q81" t="str">
            <v>SIM</v>
          </cell>
          <cell r="R81" t="str">
            <v>NÃO</v>
          </cell>
          <cell r="S81" t="str">
            <v>Site não disponível</v>
          </cell>
          <cell r="BF81" t="str">
            <v>00.037.226/0001-67</v>
          </cell>
          <cell r="BG81" t="str">
            <v>Sociedade de Abastecimento de Brasília</v>
          </cell>
          <cell r="BH81" t="str">
            <v>SAB</v>
          </cell>
        </row>
        <row r="82">
          <cell r="E82" t="str">
            <v>00.037.127/0001-85</v>
          </cell>
          <cell r="F82" t="str">
            <v>ATIVA</v>
          </cell>
          <cell r="G82" t="str">
            <v>TRANSPORTE</v>
          </cell>
          <cell r="H82" t="str">
            <v>EMPRESA PÚBLICA</v>
          </cell>
          <cell r="I82" t="str">
            <v>LTDA</v>
          </cell>
          <cell r="J82" t="str">
            <v>FECHADO</v>
          </cell>
          <cell r="K82" t="str">
            <v>NÃO</v>
          </cell>
          <cell r="L82" t="str">
            <v>NÃO</v>
          </cell>
          <cell r="M82" t="str">
            <v>DEPENDENTE</v>
          </cell>
          <cell r="N82">
            <v>588</v>
          </cell>
          <cell r="O82" t="str">
            <v>OK</v>
          </cell>
          <cell r="P82" t="str">
            <v>SIM</v>
          </cell>
          <cell r="Q82" t="str">
            <v>SIM</v>
          </cell>
          <cell r="R82" t="str">
            <v>NÃO</v>
          </cell>
          <cell r="S82" t="str">
            <v>https://www.tcb.df.gov.br/carta-anual-de-politicas-publicas-e-governanca-corporativa/</v>
          </cell>
          <cell r="BF82" t="str">
            <v>00.037.127/0001-85</v>
          </cell>
          <cell r="BG82" t="str">
            <v>Sociedade de Transportes Coletivos de Brasília</v>
          </cell>
          <cell r="BH82" t="str">
            <v>TCB</v>
          </cell>
        </row>
        <row r="83">
          <cell r="E83" t="str">
            <v>00.359.877/0001-73</v>
          </cell>
          <cell r="F83" t="str">
            <v>ATIVA</v>
          </cell>
          <cell r="G83" t="str">
            <v>HABITAÇÃO E URBANIZAÇÃO</v>
          </cell>
          <cell r="H83" t="str">
            <v>EMPRESA PÚBLICA</v>
          </cell>
          <cell r="I83" t="str">
            <v>S.A.</v>
          </cell>
          <cell r="J83" t="str">
            <v>FECHADO</v>
          </cell>
          <cell r="K83" t="str">
            <v>NÃO</v>
          </cell>
          <cell r="L83" t="str">
            <v>NÃO</v>
          </cell>
          <cell r="M83" t="str">
            <v>NÃO DEPENDENTE</v>
          </cell>
          <cell r="N83">
            <v>1049</v>
          </cell>
          <cell r="O83" t="str">
            <v>OK</v>
          </cell>
          <cell r="P83" t="str">
            <v>SIM</v>
          </cell>
          <cell r="Q83" t="str">
            <v>SIM</v>
          </cell>
          <cell r="R83" t="str">
            <v>SIM</v>
          </cell>
          <cell r="S83" t="str">
            <v>https://www.terracap.df.gov.br/index.php/acesso-informacao/normas-manuais-e-politicas</v>
          </cell>
          <cell r="BF83" t="str">
            <v>00.359.877/0001-73</v>
          </cell>
          <cell r="BG83" t="str">
            <v>Companhia Imobiliária de Brasília</v>
          </cell>
          <cell r="BH83" t="str">
            <v>Terracap</v>
          </cell>
        </row>
        <row r="84">
          <cell r="E84" t="str">
            <v>28.145.829/0001-00</v>
          </cell>
          <cell r="F84" t="str">
            <v>ATIVA</v>
          </cell>
          <cell r="G84" t="str">
            <v>FINANCEIRO</v>
          </cell>
          <cell r="H84" t="str">
            <v>SOCIEDADE DE ECONOMIA MISTA</v>
          </cell>
          <cell r="I84" t="str">
            <v>S.A.</v>
          </cell>
          <cell r="J84" t="str">
            <v>FECHADO</v>
          </cell>
          <cell r="K84" t="str">
            <v>NÃO</v>
          </cell>
          <cell r="L84" t="str">
            <v>NÃO</v>
          </cell>
          <cell r="M84" t="str">
            <v>NÃO DEPENDENTE</v>
          </cell>
          <cell r="N84">
            <v>161</v>
          </cell>
          <cell r="O84" t="str">
            <v>OK</v>
          </cell>
          <cell r="P84" t="str">
            <v>SIM</v>
          </cell>
          <cell r="Q84" t="str">
            <v>SIM</v>
          </cell>
          <cell r="R84" t="str">
            <v>SIM</v>
          </cell>
          <cell r="S84" t="str">
            <v>https://www.bandes.com.br/Site/Dinamico/Show/933/Governanca-Corporativa</v>
          </cell>
          <cell r="BF84" t="str">
            <v>28.145.829/0001-00</v>
          </cell>
          <cell r="BG84" t="str">
            <v>BANDES Banco de Desenvolvimento do Espírito Santo</v>
          </cell>
          <cell r="BH84" t="str">
            <v>BANDES</v>
          </cell>
        </row>
        <row r="85">
          <cell r="E85" t="str">
            <v>28.127.603/0001-78</v>
          </cell>
          <cell r="F85" t="str">
            <v>ATIVA</v>
          </cell>
          <cell r="G85" t="str">
            <v>FINANCEIRO</v>
          </cell>
          <cell r="H85" t="str">
            <v>SOCIEDADE DE ECONOMIA MISTA</v>
          </cell>
          <cell r="I85" t="str">
            <v>S.A.</v>
          </cell>
          <cell r="J85" t="str">
            <v>ABERTO</v>
          </cell>
          <cell r="K85" t="str">
            <v>SIM</v>
          </cell>
          <cell r="L85" t="str">
            <v>NÃO</v>
          </cell>
          <cell r="M85" t="str">
            <v>NÃO DEPENDENTE</v>
          </cell>
          <cell r="N85">
            <v>2049</v>
          </cell>
          <cell r="O85" t="str">
            <v>OK</v>
          </cell>
          <cell r="P85" t="str">
            <v>SIM</v>
          </cell>
          <cell r="Q85" t="str">
            <v>SIM</v>
          </cell>
          <cell r="R85" t="str">
            <v>SIM</v>
          </cell>
          <cell r="S85" t="str">
            <v>https://ri.banestes.com.br/docs/Relatorio-de-Sustentabilidade-banestes-2023-12-31-KB8g9N78.pdf</v>
          </cell>
          <cell r="BF85" t="str">
            <v>28.127.603/0001-78</v>
          </cell>
          <cell r="BG85" t="str">
            <v>Banestes- Banco do Estado do Espírito Santo</v>
          </cell>
          <cell r="BH85" t="str">
            <v>BANESTES</v>
          </cell>
        </row>
        <row r="86">
          <cell r="E86" t="str">
            <v>27.064.062/0001-13</v>
          </cell>
          <cell r="F86" t="str">
            <v>ATIVA</v>
          </cell>
          <cell r="G86" t="str">
            <v>ABASTECIMENTO DE ALIMENTOS E OUTROS INSUMOS</v>
          </cell>
          <cell r="H86" t="str">
            <v>SOCIEDADE DE ECONOMIA MISTA</v>
          </cell>
          <cell r="I86" t="str">
            <v>S.A.</v>
          </cell>
          <cell r="J86" t="str">
            <v>ABERTO</v>
          </cell>
          <cell r="K86" t="str">
            <v>NÃO</v>
          </cell>
          <cell r="L86" t="str">
            <v>NÃO</v>
          </cell>
          <cell r="M86" t="str">
            <v>DEPENDENTE</v>
          </cell>
          <cell r="N86">
            <v>56</v>
          </cell>
          <cell r="O86" t="str">
            <v>OK</v>
          </cell>
          <cell r="P86" t="str">
            <v>SIM</v>
          </cell>
          <cell r="Q86" t="str">
            <v>SIM</v>
          </cell>
          <cell r="R86" t="str">
            <v>NÃO</v>
          </cell>
          <cell r="S86" t="str">
            <v>https://ceasa.es.gov.br/governanca-corporativa</v>
          </cell>
          <cell r="BF86" t="str">
            <v>27.064.062/0001-13</v>
          </cell>
          <cell r="BG86" t="str">
            <v>Centrais de Abastecimento do Espírito Santo S/A</v>
          </cell>
          <cell r="BH86" t="str">
            <v>CEASA ES</v>
          </cell>
        </row>
        <row r="87">
          <cell r="E87" t="str">
            <v>28.151.363/0001-47</v>
          </cell>
          <cell r="F87" t="str">
            <v>ATIVA</v>
          </cell>
          <cell r="G87" t="str">
            <v>SANEAMENTO</v>
          </cell>
          <cell r="H87" t="str">
            <v>SOCIEDADE DE ECONOMIA MISTA</v>
          </cell>
          <cell r="I87" t="str">
            <v>S.A.</v>
          </cell>
          <cell r="J87" t="str">
            <v>FECHADO</v>
          </cell>
          <cell r="K87" t="str">
            <v>NÃO</v>
          </cell>
          <cell r="L87" t="str">
            <v>NÃO</v>
          </cell>
          <cell r="M87" t="str">
            <v>NÃO DEPENDENTE</v>
          </cell>
          <cell r="N87">
            <v>1291</v>
          </cell>
          <cell r="O87" t="str">
            <v>OK</v>
          </cell>
          <cell r="P87" t="str">
            <v>SIM</v>
          </cell>
          <cell r="Q87" t="str">
            <v>SIM</v>
          </cell>
          <cell r="R87" t="str">
            <v>SIM</v>
          </cell>
          <cell r="S87" t="str">
            <v>https://www.cesan.com.br/a-cesan/</v>
          </cell>
          <cell r="BF87" t="str">
            <v>28.151.363/0001-47</v>
          </cell>
          <cell r="BG87" t="str">
            <v>Companhia Espírito Santense de Saneamento</v>
          </cell>
          <cell r="BH87" t="str">
            <v>CESAN</v>
          </cell>
        </row>
        <row r="88">
          <cell r="E88" t="str">
            <v>28.503.894/0001-51</v>
          </cell>
          <cell r="F88" t="str">
            <v>ATIVA</v>
          </cell>
          <cell r="G88" t="str">
            <v>TRANSPORTE</v>
          </cell>
          <cell r="H88" t="str">
            <v>EMPRESA PÚBLICA</v>
          </cell>
          <cell r="I88" t="str">
            <v>S.A.</v>
          </cell>
          <cell r="J88" t="str">
            <v>FECHADO</v>
          </cell>
          <cell r="K88" t="str">
            <v>NÃO</v>
          </cell>
          <cell r="L88" t="str">
            <v>NÃO</v>
          </cell>
          <cell r="M88" t="str">
            <v>NÃO DEPENDENTE</v>
          </cell>
          <cell r="N88">
            <v>210</v>
          </cell>
          <cell r="O88" t="str">
            <v>OK</v>
          </cell>
          <cell r="P88" t="str">
            <v>SIM</v>
          </cell>
          <cell r="Q88" t="str">
            <v>SIM</v>
          </cell>
          <cell r="R88" t="str">
            <v>NÃO</v>
          </cell>
          <cell r="S88" t="str">
            <v>https://ceturb.es.gov.br/missao-visao-e-valores</v>
          </cell>
          <cell r="BF88" t="str">
            <v>28.503.894/0001-51</v>
          </cell>
          <cell r="BG88" t="str">
            <v>Companhia Estadual de Transportes Coletivos de Passageiros do Espírito Santo</v>
          </cell>
          <cell r="BH88" t="str">
            <v>CETURB</v>
          </cell>
        </row>
        <row r="89">
          <cell r="E89" t="str">
            <v>28.139.012/0001-10</v>
          </cell>
          <cell r="F89" t="str">
            <v>EM LIQUIDAÇÃO</v>
          </cell>
          <cell r="G89" t="str">
            <v>HABITAÇÃO E URBANIZAÇÃO</v>
          </cell>
          <cell r="H89" t="str">
            <v>SOCIEDADE DE ECONOMIA MISTA</v>
          </cell>
          <cell r="I89" t="str">
            <v>S.A.</v>
          </cell>
          <cell r="J89" t="str">
            <v>FECHADO</v>
          </cell>
          <cell r="K89" t="str">
            <v>NÃO</v>
          </cell>
          <cell r="L89" t="str">
            <v>NÃO</v>
          </cell>
          <cell r="M89" t="str">
            <v>NÃO DEPENDENTE</v>
          </cell>
          <cell r="N89">
            <v>20</v>
          </cell>
          <cell r="O89" t="str">
            <v>OK</v>
          </cell>
          <cell r="P89" t="str">
            <v>NÃO</v>
          </cell>
          <cell r="Q89" t="str">
            <v>SIM</v>
          </cell>
          <cell r="R89" t="str">
            <v>SIM</v>
          </cell>
          <cell r="S89" t="str">
            <v>https://seger.es.gov.br/autarquias</v>
          </cell>
          <cell r="BF89" t="str">
            <v>28.139.012/0001-10</v>
          </cell>
          <cell r="BG89" t="str">
            <v>Companhia de Habitação e Urbanização do Estado do Espírito Santo - em liquidação</v>
          </cell>
          <cell r="BH89" t="str">
            <v>COHAB ES</v>
          </cell>
        </row>
        <row r="90">
          <cell r="E90" t="str">
            <v>01.274.240/0001-47</v>
          </cell>
          <cell r="F90" t="str">
            <v>ATIVA</v>
          </cell>
          <cell r="G90" t="str">
            <v>HABITAÇÃO E URBANIZAÇÃO</v>
          </cell>
          <cell r="H90" t="str">
            <v>SOCIEDADE DE ECONOMIA MISTA</v>
          </cell>
          <cell r="I90" t="str">
            <v>S.A.</v>
          </cell>
          <cell r="J90" t="str">
            <v>FECHADO</v>
          </cell>
          <cell r="K90" t="str">
            <v>NÃO</v>
          </cell>
          <cell r="L90" t="str">
            <v>NÃO</v>
          </cell>
          <cell r="M90" t="str">
            <v>DEPENDENTE</v>
          </cell>
          <cell r="N90">
            <v>406</v>
          </cell>
          <cell r="O90" t="str">
            <v>OK</v>
          </cell>
          <cell r="P90" t="str">
            <v>SIM</v>
          </cell>
          <cell r="Q90" t="str">
            <v>SIM</v>
          </cell>
          <cell r="R90" t="str">
            <v>SIM</v>
          </cell>
          <cell r="S90" t="str">
            <v>https://goias.gov.br/agehab/carta-anual-de-governanca-corporativa/</v>
          </cell>
          <cell r="BF90" t="str">
            <v>01.274.240/0001-47</v>
          </cell>
          <cell r="BG90" t="str">
            <v>Agência Goiana de Habitação S/A</v>
          </cell>
          <cell r="BH90" t="str">
            <v>AGEHAB</v>
          </cell>
        </row>
        <row r="91">
          <cell r="E91" t="str">
            <v>01.600.204/0001-26</v>
          </cell>
          <cell r="F91" t="str">
            <v>EM LIQUIDAÇÃO</v>
          </cell>
          <cell r="G91" t="str">
            <v>FINANCEIRO</v>
          </cell>
          <cell r="H91" t="str">
            <v>EMPRESA PÚBLICA</v>
          </cell>
          <cell r="I91" t="str">
            <v>OUTRAS</v>
          </cell>
          <cell r="J91" t="str">
            <v>FECHADO</v>
          </cell>
          <cell r="K91" t="str">
            <v>NÃO</v>
          </cell>
          <cell r="L91" t="str">
            <v>NÃO</v>
          </cell>
          <cell r="M91" t="str">
            <v>NÃO DEPENDENTE</v>
          </cell>
          <cell r="N91">
            <v>0</v>
          </cell>
          <cell r="O91" t="str">
            <v>OK</v>
          </cell>
          <cell r="P91" t="str">
            <v>NÃO</v>
          </cell>
          <cell r="Q91" t="str">
            <v>NÃO</v>
          </cell>
          <cell r="R91" t="str">
            <v>NÃO</v>
          </cell>
          <cell r="S91" t="str">
            <v>http://www.administracao.go.gov.br</v>
          </cell>
          <cell r="BF91" t="str">
            <v>01.600.204/0001-26</v>
          </cell>
          <cell r="BG91" t="str">
            <v>Caixa Econômica do Estado de Goiás</v>
          </cell>
          <cell r="BH91" t="str">
            <v>CAIXEGO</v>
          </cell>
        </row>
        <row r="92">
          <cell r="E92" t="str">
            <v>01.098.797/0001-74</v>
          </cell>
          <cell r="F92" t="str">
            <v>ATIVA</v>
          </cell>
          <cell r="G92" t="str">
            <v>ABASTECIMENTO DE ALIMENTOS E OUTROS INSUMOS</v>
          </cell>
          <cell r="H92" t="str">
            <v>SOCIEDADE DE ECONOMIA MISTA</v>
          </cell>
          <cell r="I92" t="str">
            <v>S.A.</v>
          </cell>
          <cell r="J92" t="str">
            <v>FECHADO</v>
          </cell>
          <cell r="K92" t="str">
            <v>NÃO</v>
          </cell>
          <cell r="L92" t="str">
            <v>NÃO</v>
          </cell>
          <cell r="M92" t="str">
            <v>NÃO DEPENDENTE</v>
          </cell>
          <cell r="N92">
            <v>105</v>
          </cell>
          <cell r="O92" t="str">
            <v>OK</v>
          </cell>
          <cell r="P92" t="str">
            <v>SIM</v>
          </cell>
          <cell r="Q92" t="str">
            <v>SIM</v>
          </cell>
          <cell r="R92" t="str">
            <v>NÃO</v>
          </cell>
          <cell r="S92" t="str">
            <v>https://goias.gov.br/ceasa/carta-anual-de-governanca-corporativa/</v>
          </cell>
          <cell r="BF92" t="str">
            <v>01.098.797/0001-74</v>
          </cell>
          <cell r="BG92" t="str">
            <v>Centrais de Abastecimento de Goiás S/A</v>
          </cell>
          <cell r="BH92" t="str">
            <v>CEASA-GO</v>
          </cell>
        </row>
        <row r="93">
          <cell r="E93" t="str">
            <v>08.560.444/0001-93</v>
          </cell>
          <cell r="F93" t="str">
            <v>ATIVA</v>
          </cell>
          <cell r="G93" t="str">
            <v>ENERGIA</v>
          </cell>
          <cell r="H93" t="str">
            <v>SOCIEDADE DE ECONOMIA MISTA</v>
          </cell>
          <cell r="I93" t="str">
            <v>S.A.</v>
          </cell>
          <cell r="J93" t="str">
            <v>ABERTO</v>
          </cell>
          <cell r="K93" t="str">
            <v>SIM</v>
          </cell>
          <cell r="L93" t="str">
            <v>NÃO</v>
          </cell>
          <cell r="M93" t="str">
            <v>NÃO DEPENDENTE</v>
          </cell>
          <cell r="N93">
            <v>112</v>
          </cell>
          <cell r="O93" t="str">
            <v>OK</v>
          </cell>
          <cell r="P93" t="str">
            <v>SIM</v>
          </cell>
          <cell r="Q93" t="str">
            <v>SIM</v>
          </cell>
          <cell r="R93" t="str">
            <v>SIM</v>
          </cell>
          <cell r="S93" t="str">
            <v>https://celgpar.com/AcessoItem.aspx?100</v>
          </cell>
          <cell r="BF93" t="str">
            <v>08.560.444/0001-93</v>
          </cell>
          <cell r="BG93" t="str">
            <v>Companhia Celg de Participações</v>
          </cell>
          <cell r="BH93" t="str">
            <v>CELGPAR</v>
          </cell>
        </row>
        <row r="94">
          <cell r="E94" t="str">
            <v>01.285.170/0001-22</v>
          </cell>
          <cell r="F94" t="str">
            <v>ATIVA</v>
          </cell>
          <cell r="G94" t="str">
            <v>DESENVOLVIMENTO REGIONAL</v>
          </cell>
          <cell r="H94" t="str">
            <v>SOCIEDADE DE ECONOMIA MISTA</v>
          </cell>
          <cell r="I94" t="str">
            <v>S.A.</v>
          </cell>
          <cell r="J94" t="str">
            <v>FECHADO</v>
          </cell>
          <cell r="K94" t="str">
            <v>NÃO</v>
          </cell>
          <cell r="L94" t="str">
            <v>SIM</v>
          </cell>
          <cell r="M94" t="str">
            <v>NÃO DEPENDENTE</v>
          </cell>
          <cell r="N94">
            <v>386</v>
          </cell>
          <cell r="O94" t="str">
            <v>OK</v>
          </cell>
          <cell r="P94" t="str">
            <v>SIM</v>
          </cell>
          <cell r="Q94" t="str">
            <v>SIM</v>
          </cell>
          <cell r="R94" t="str">
            <v>SIM</v>
          </cell>
          <cell r="S94" t="str">
            <v>https://www.codego.com.br/acesso-a-informacao/carta-anual-de-politicas-publicas-e-governanca-corporativa/</v>
          </cell>
          <cell r="BF94" t="str">
            <v>01.285.170/0001-22</v>
          </cell>
          <cell r="BG94" t="str">
            <v>Companhia de Desenvolvimento Econômico de Goiás</v>
          </cell>
          <cell r="BH94" t="str">
            <v>CODEGO</v>
          </cell>
        </row>
        <row r="95">
          <cell r="E95" t="str">
            <v>24.253.735/0001-95</v>
          </cell>
          <cell r="F95" t="str">
            <v>ATIVA</v>
          </cell>
          <cell r="G95" t="str">
            <v>ENERGIA</v>
          </cell>
          <cell r="H95" t="str">
            <v>SOCIEDADE DE ECONOMIA MISTA</v>
          </cell>
          <cell r="I95" t="str">
            <v>S.A.</v>
          </cell>
          <cell r="J95" t="str">
            <v>FECHADO</v>
          </cell>
          <cell r="K95" t="str">
            <v>NÃO</v>
          </cell>
          <cell r="L95" t="str">
            <v>SIM</v>
          </cell>
          <cell r="M95" t="str">
            <v>NÃO DEPENDENTE</v>
          </cell>
          <cell r="N95">
            <v>7</v>
          </cell>
          <cell r="O95" t="str">
            <v>OK</v>
          </cell>
          <cell r="P95" t="str">
            <v>NÃO</v>
          </cell>
          <cell r="Q95" t="str">
            <v>SIM</v>
          </cell>
          <cell r="R95" t="str">
            <v>NÃO</v>
          </cell>
          <cell r="S95" t="str">
            <v>https://ri.celgpar.com/BuscaPagina.aspx?ID={41799EC4-9CB4-4F81-BC75-64087B8BE678}</v>
          </cell>
          <cell r="BF95" t="str">
            <v>24.253.735/0001-95</v>
          </cell>
          <cell r="BG95" t="str">
            <v>Firminópolis Transmissão S/A</v>
          </cell>
          <cell r="BH95" t="str">
            <v>FTSA</v>
          </cell>
        </row>
        <row r="96">
          <cell r="E96" t="str">
            <v>10.268.439/0001-53</v>
          </cell>
          <cell r="F96" t="str">
            <v>ATIVA</v>
          </cell>
          <cell r="G96" t="str">
            <v>INFORMÁTICA E TECNOLOGIA DA INFORMAÇÃO</v>
          </cell>
          <cell r="H96" t="str">
            <v>SOCIEDADE DE ECONOMIA MISTA</v>
          </cell>
          <cell r="I96" t="str">
            <v>S.A.</v>
          </cell>
          <cell r="J96" t="str">
            <v>FECHADO</v>
          </cell>
          <cell r="K96" t="str">
            <v>NÃO</v>
          </cell>
          <cell r="L96" t="str">
            <v>NÃO</v>
          </cell>
          <cell r="M96" t="str">
            <v>DEPENDENTE</v>
          </cell>
          <cell r="N96">
            <v>30</v>
          </cell>
          <cell r="O96" t="str">
            <v>OK</v>
          </cell>
          <cell r="P96" t="str">
            <v>SIM</v>
          </cell>
          <cell r="Q96" t="str">
            <v>SIM</v>
          </cell>
          <cell r="R96" t="str">
            <v>SIM</v>
          </cell>
          <cell r="S96" t="str">
            <v>https://goias.gov.br/goiastelecom/carta-anual-de-governanca/</v>
          </cell>
          <cell r="BF96" t="str">
            <v>10.268.439/0001-53</v>
          </cell>
          <cell r="BG96" t="str">
            <v>Goiás Telecomunicações S/A</v>
          </cell>
          <cell r="BH96" t="str">
            <v>GOIAS TELECOM</v>
          </cell>
        </row>
        <row r="97">
          <cell r="E97" t="str">
            <v>03.918.382/0001-25</v>
          </cell>
          <cell r="F97" t="str">
            <v>ATIVA</v>
          </cell>
          <cell r="G97" t="str">
            <v>FINANCEIRO</v>
          </cell>
          <cell r="H97" t="str">
            <v>SOCIEDADE DE ECONOMIA MISTA</v>
          </cell>
          <cell r="I97" t="str">
            <v>S.A.</v>
          </cell>
          <cell r="J97" t="str">
            <v>FECHADO</v>
          </cell>
          <cell r="K97" t="str">
            <v>NÃO</v>
          </cell>
          <cell r="L97" t="str">
            <v>NÃO</v>
          </cell>
          <cell r="M97" t="str">
            <v>NÃO DEPENDENTE</v>
          </cell>
          <cell r="N97">
            <v>127</v>
          </cell>
          <cell r="O97" t="str">
            <v>OK</v>
          </cell>
          <cell r="P97" t="str">
            <v>SIM</v>
          </cell>
          <cell r="Q97" t="str">
            <v>SIM</v>
          </cell>
          <cell r="R97" t="str">
            <v>NÃO</v>
          </cell>
          <cell r="S97" t="str">
            <v>https://www.goiasfomento.com/acesso-a-informacao/carta-anual-de-governanca-corporativa/</v>
          </cell>
          <cell r="BF97" t="str">
            <v>03.918.382/0001-25</v>
          </cell>
          <cell r="BG97" t="str">
            <v>Agência de Fomento de Goiás S/A</v>
          </cell>
          <cell r="BH97" t="str">
            <v>GOIASFOMENTO</v>
          </cell>
        </row>
        <row r="98">
          <cell r="E98" t="str">
            <v>04.583.057/0001-11</v>
          </cell>
          <cell r="F98" t="str">
            <v>ATIVA</v>
          </cell>
          <cell r="G98" t="str">
            <v>GÁS E DERIVADOS</v>
          </cell>
          <cell r="H98" t="str">
            <v>SOCIEDADE DE ECONOMIA MISTA</v>
          </cell>
          <cell r="I98" t="str">
            <v>S.A.</v>
          </cell>
          <cell r="J98" t="str">
            <v>FECHADO</v>
          </cell>
          <cell r="K98" t="str">
            <v>NÃO</v>
          </cell>
          <cell r="L98" t="str">
            <v>NÃO</v>
          </cell>
          <cell r="M98" t="str">
            <v>NÃO DEPENDENTE</v>
          </cell>
          <cell r="N98">
            <v>10</v>
          </cell>
          <cell r="O98" t="str">
            <v>OK</v>
          </cell>
          <cell r="P98" t="str">
            <v>SIM</v>
          </cell>
          <cell r="Q98" t="str">
            <v>SIM</v>
          </cell>
          <cell r="R98" t="str">
            <v>NÃO</v>
          </cell>
          <cell r="S98" t="str">
            <v>https://www.goiasgas.com.br/acesso-a-informacao/governanca/carta-anual-de-governanca</v>
          </cell>
          <cell r="BF98" t="str">
            <v>04.583.057/0001-11</v>
          </cell>
          <cell r="BG98" t="str">
            <v>Agência Goiana de Gás Canalizado S/A</v>
          </cell>
          <cell r="BH98" t="str">
            <v>GOIASGÁS</v>
          </cell>
        </row>
        <row r="99">
          <cell r="E99" t="str">
            <v>08.235.587/0001-20</v>
          </cell>
          <cell r="F99" t="str">
            <v>ATIVA</v>
          </cell>
          <cell r="G99" t="str">
            <v>GESTÃO DE ATIVOS</v>
          </cell>
          <cell r="H99" t="str">
            <v>SOCIEDADE DE ECONOMIA MISTA</v>
          </cell>
          <cell r="I99" t="str">
            <v>S.A.</v>
          </cell>
          <cell r="J99" t="str">
            <v>FECHADO</v>
          </cell>
          <cell r="K99" t="str">
            <v>NÃO</v>
          </cell>
          <cell r="L99" t="str">
            <v>NÃO</v>
          </cell>
          <cell r="M99" t="str">
            <v>NÃO DEPENDENTE</v>
          </cell>
          <cell r="N99">
            <v>53</v>
          </cell>
          <cell r="O99" t="str">
            <v>OK</v>
          </cell>
          <cell r="P99" t="str">
            <v>SIM</v>
          </cell>
          <cell r="Q99" t="str">
            <v>SIM</v>
          </cell>
          <cell r="R99" t="str">
            <v>SIM</v>
          </cell>
          <cell r="S99" t="str">
            <v>https://goias.gov.br/goiasparcerias/carta-anual-de-governanca-corporativa/</v>
          </cell>
          <cell r="BF99" t="str">
            <v>08.235.587/0001-20</v>
          </cell>
          <cell r="BG99" t="str">
            <v>Companhia de Investimento e Parcerias do Estado de Goiás</v>
          </cell>
          <cell r="BH99" t="str">
            <v>GOIASPARCERIAS</v>
          </cell>
        </row>
        <row r="100">
          <cell r="E100" t="str">
            <v>01.541.283/0001-41</v>
          </cell>
          <cell r="F100" t="str">
            <v>ATIVA</v>
          </cell>
          <cell r="G100" t="str">
            <v>SAÚDE</v>
          </cell>
          <cell r="H100" t="str">
            <v>SOCIEDADE DE ECONOMIA MISTA</v>
          </cell>
          <cell r="I100" t="str">
            <v>S.A.</v>
          </cell>
          <cell r="J100" t="str">
            <v>FECHADO</v>
          </cell>
          <cell r="K100" t="str">
            <v>NÃO</v>
          </cell>
          <cell r="L100" t="str">
            <v>NÃO</v>
          </cell>
          <cell r="M100" t="str">
            <v>DEPENDENTE</v>
          </cell>
          <cell r="N100">
            <v>244</v>
          </cell>
          <cell r="O100" t="str">
            <v>OK</v>
          </cell>
          <cell r="P100" t="str">
            <v>SIM</v>
          </cell>
          <cell r="Q100" t="str">
            <v>SIM</v>
          </cell>
          <cell r="R100" t="str">
            <v>SIM</v>
          </cell>
          <cell r="S100" t="str">
            <v>https://goias.gov.br/iquego/carta-anual-de-governanca-corporativa-2/</v>
          </cell>
          <cell r="BF100" t="str">
            <v>01.541.283/0001-41</v>
          </cell>
          <cell r="BG100" t="str">
            <v>Indústria Química do Estado de Goiás</v>
          </cell>
          <cell r="BH100" t="str">
            <v>IQUEGO</v>
          </cell>
        </row>
        <row r="101">
          <cell r="E101" t="str">
            <v>19.698.987/0001-98</v>
          </cell>
          <cell r="F101" t="str">
            <v>ATIVA</v>
          </cell>
          <cell r="G101" t="str">
            <v>ENERGIA</v>
          </cell>
          <cell r="H101" t="str">
            <v>SOCIEDADE DE ECONOMIA MISTA</v>
          </cell>
          <cell r="I101" t="str">
            <v>S.A.</v>
          </cell>
          <cell r="J101" t="str">
            <v>FECHADO</v>
          </cell>
          <cell r="K101" t="str">
            <v>NÃO</v>
          </cell>
          <cell r="L101" t="str">
            <v>NÃO</v>
          </cell>
          <cell r="M101" t="str">
            <v>NÃO DEPENDENTE</v>
          </cell>
          <cell r="N101">
            <v>6</v>
          </cell>
          <cell r="O101" t="str">
            <v>OK</v>
          </cell>
          <cell r="P101" t="str">
            <v>SIM</v>
          </cell>
          <cell r="Q101" t="str">
            <v>SIM</v>
          </cell>
          <cell r="R101" t="str">
            <v>NÃO</v>
          </cell>
          <cell r="S101" t="str">
            <v>https://laztrans.com.br/AcessoItem.aspx?39</v>
          </cell>
          <cell r="BF101" t="str">
            <v>19.698.987/0001-98</v>
          </cell>
          <cell r="BG101" t="str">
            <v>Lago Azul Transmissão S/A</v>
          </cell>
          <cell r="BH101" t="str">
            <v>LAZ</v>
          </cell>
        </row>
        <row r="102">
          <cell r="E102" t="str">
            <v>02.392.459/0001-03</v>
          </cell>
          <cell r="F102" t="str">
            <v>ATIVA</v>
          </cell>
          <cell r="G102" t="str">
            <v>TRANSPORTE</v>
          </cell>
          <cell r="H102" t="str">
            <v>SOCIEDADE DE ECONOMIA MISTA</v>
          </cell>
          <cell r="I102" t="str">
            <v>S.A.</v>
          </cell>
          <cell r="J102" t="str">
            <v>FECHADO</v>
          </cell>
          <cell r="K102" t="str">
            <v>NÃO</v>
          </cell>
          <cell r="L102" t="str">
            <v>NÃO</v>
          </cell>
          <cell r="M102" t="str">
            <v>DEPENDENTE</v>
          </cell>
          <cell r="N102">
            <v>682</v>
          </cell>
          <cell r="O102" t="str">
            <v>OK</v>
          </cell>
          <cell r="P102" t="str">
            <v>SIM</v>
          </cell>
          <cell r="Q102" t="str">
            <v>SIM</v>
          </cell>
          <cell r="R102" t="str">
            <v>NÃO</v>
          </cell>
          <cell r="S102" t="str">
            <v>https://goias.gov.br/metrobus/carta-anual-de-governanca-corporativa/</v>
          </cell>
          <cell r="BF102" t="str">
            <v>02.392.459/0001-03</v>
          </cell>
          <cell r="BG102" t="str">
            <v>Metrobus Transporte Coletivo S/A</v>
          </cell>
          <cell r="BH102" t="str">
            <v>METROBUS</v>
          </cell>
        </row>
        <row r="103">
          <cell r="E103" t="str">
            <v>24.812.554/0001-51</v>
          </cell>
          <cell r="F103" t="str">
            <v>EM LIQUIDAÇÃO</v>
          </cell>
          <cell r="G103" t="str">
            <v>INFORMÁTICA E TECNOLOGIA DA INFORMAÇÃO</v>
          </cell>
          <cell r="H103" t="str">
            <v>EMPRESA PÚBLICA</v>
          </cell>
          <cell r="I103" t="str">
            <v>OUTRAS</v>
          </cell>
          <cell r="J103" t="str">
            <v>FECHADO</v>
          </cell>
          <cell r="K103" t="str">
            <v>NÃO</v>
          </cell>
          <cell r="L103" t="str">
            <v>NÃO</v>
          </cell>
          <cell r="M103" t="str">
            <v>NÃO DEPENDENTE</v>
          </cell>
          <cell r="N103">
            <v>14</v>
          </cell>
          <cell r="O103" t="str">
            <v>OK</v>
          </cell>
          <cell r="P103" t="str">
            <v>NÃO</v>
          </cell>
          <cell r="Q103" t="str">
            <v>SIM</v>
          </cell>
          <cell r="R103" t="str">
            <v>NÃO</v>
          </cell>
          <cell r="S103" t="str">
            <v>http://www.administracao.go.gov.br</v>
          </cell>
          <cell r="BF103" t="str">
            <v>24.812.554/0001-51</v>
          </cell>
          <cell r="BG103" t="str">
            <v>Empresa Estadual de Processamento de Dados de Goiás</v>
          </cell>
          <cell r="BH103" t="str">
            <v>PRODAGO</v>
          </cell>
        </row>
        <row r="104">
          <cell r="E104" t="str">
            <v>01.616.929/0001-02</v>
          </cell>
          <cell r="F104" t="str">
            <v>ATIVA</v>
          </cell>
          <cell r="G104" t="str">
            <v>SANEAMENTO</v>
          </cell>
          <cell r="H104" t="str">
            <v>SOCIEDADE DE ECONOMIA MISTA</v>
          </cell>
          <cell r="I104" t="str">
            <v>S.A.</v>
          </cell>
          <cell r="J104" t="str">
            <v>ABERTO</v>
          </cell>
          <cell r="K104" t="str">
            <v>NÃO</v>
          </cell>
          <cell r="L104" t="str">
            <v>NÃO</v>
          </cell>
          <cell r="M104" t="str">
            <v>NÃO DEPENDENTE</v>
          </cell>
          <cell r="N104">
            <v>6374</v>
          </cell>
          <cell r="O104" t="str">
            <v>OK</v>
          </cell>
          <cell r="P104" t="str">
            <v>SIM</v>
          </cell>
          <cell r="Q104" t="str">
            <v>SIM</v>
          </cell>
          <cell r="R104" t="str">
            <v>SIM</v>
          </cell>
          <cell r="S104" t="str">
            <v>https://ri.saneago.com.br/relatorios-anuais</v>
          </cell>
          <cell r="BF104" t="str">
            <v>01.616.929/0001-02</v>
          </cell>
          <cell r="BG104" t="str">
            <v>Saneamento de Goiás S/A</v>
          </cell>
          <cell r="BH104" t="str">
            <v>SANEAGO</v>
          </cell>
        </row>
        <row r="105">
          <cell r="E105" t="str">
            <v>06.274.757/0084-87</v>
          </cell>
          <cell r="F105" t="str">
            <v>ATIVA</v>
          </cell>
          <cell r="G105" t="str">
            <v>SANEAMENTO</v>
          </cell>
          <cell r="H105" t="str">
            <v>SOCIEDADE DE ECONOMIA MISTA</v>
          </cell>
          <cell r="I105" t="str">
            <v>OUTRAS</v>
          </cell>
          <cell r="J105" t="str">
            <v>FECHADO</v>
          </cell>
          <cell r="K105" t="str">
            <v>NÃO</v>
          </cell>
          <cell r="L105" t="str">
            <v>NÃO</v>
          </cell>
          <cell r="M105" t="str">
            <v>NÃO DEPENDENTE</v>
          </cell>
          <cell r="N105">
            <v>2098</v>
          </cell>
          <cell r="O105" t="str">
            <v>OK</v>
          </cell>
          <cell r="P105" t="str">
            <v>SIM</v>
          </cell>
          <cell r="Q105" t="str">
            <v>SIM</v>
          </cell>
          <cell r="R105" t="str">
            <v>SIM</v>
          </cell>
          <cell r="S105" t="str">
            <v>https://www.caema.ma.gov.br/index.php/a-caema/governanca/carta-anual</v>
          </cell>
          <cell r="BF105" t="str">
            <v>06.274.757/0084-87</v>
          </cell>
          <cell r="BG105" t="str">
            <v>Companhia de Saneamento Ambiental do Maranhão</v>
          </cell>
          <cell r="BH105" t="str">
            <v>CAEMA</v>
          </cell>
        </row>
        <row r="106">
          <cell r="E106" t="str">
            <v>03.650.060/0001-48</v>
          </cell>
          <cell r="F106" t="str">
            <v>ATIVA</v>
          </cell>
          <cell r="G106" t="str">
            <v>PORTOS E HIDROVIAS</v>
          </cell>
          <cell r="H106" t="str">
            <v>EMPRESA PÚBLICA</v>
          </cell>
          <cell r="I106" t="str">
            <v>OUTRAS</v>
          </cell>
          <cell r="J106" t="str">
            <v>FECHADO</v>
          </cell>
          <cell r="K106" t="str">
            <v>NÃO</v>
          </cell>
          <cell r="L106" t="str">
            <v>NÃO</v>
          </cell>
          <cell r="M106" t="str">
            <v>NÃO DEPENDENTE</v>
          </cell>
          <cell r="N106">
            <v>308</v>
          </cell>
          <cell r="O106" t="str">
            <v>OK</v>
          </cell>
          <cell r="P106" t="str">
            <v>SIM</v>
          </cell>
          <cell r="Q106" t="str">
            <v>SIM</v>
          </cell>
          <cell r="R106" t="str">
            <v>SIM</v>
          </cell>
          <cell r="S106" t="str">
            <v>https://www.portodoitaqui.com/emap/carta-anual</v>
          </cell>
          <cell r="BF106" t="str">
            <v>03.650.060/0001-48</v>
          </cell>
          <cell r="BG106" t="str">
            <v>Empresa Maranhense de Administração Portuária</v>
          </cell>
          <cell r="BH106" t="str">
            <v>EMAP</v>
          </cell>
        </row>
        <row r="107">
          <cell r="E107" t="str">
            <v>18.519.709/0001-63</v>
          </cell>
          <cell r="F107" t="str">
            <v>ATIVA</v>
          </cell>
          <cell r="G107" t="str">
            <v>SAÚDE</v>
          </cell>
          <cell r="H107" t="str">
            <v>EMPRESA PÚBLICA</v>
          </cell>
          <cell r="I107" t="str">
            <v>OUTRAS</v>
          </cell>
          <cell r="J107" t="str">
            <v>FECHADO</v>
          </cell>
          <cell r="K107" t="str">
            <v>NÃO</v>
          </cell>
          <cell r="L107" t="str">
            <v>NÃO</v>
          </cell>
          <cell r="M107" t="str">
            <v>NÃO DEPENDENTE</v>
          </cell>
          <cell r="N107">
            <v>17336</v>
          </cell>
          <cell r="O107" t="str">
            <v>OK</v>
          </cell>
          <cell r="P107" t="str">
            <v>SIM</v>
          </cell>
          <cell r="Q107" t="str">
            <v>SIM</v>
          </cell>
          <cell r="R107" t="str">
            <v>SIM</v>
          </cell>
          <cell r="S107" t="str">
            <v>https://www.emserh.ma.gov.br/carta-anual-de-politicas-publicas-e-governanca/</v>
          </cell>
          <cell r="BF107" t="str">
            <v>18.519.709/0001-63</v>
          </cell>
          <cell r="BG107" t="str">
            <v>Empresa Maranhense de Serviços Hospitalares</v>
          </cell>
          <cell r="BH107" t="str">
            <v>EMSERH</v>
          </cell>
        </row>
        <row r="108">
          <cell r="E108" t="str">
            <v>05.121.359/0001-30</v>
          </cell>
          <cell r="F108" t="str">
            <v>ATIVA</v>
          </cell>
          <cell r="G108" t="str">
            <v>GÁS E DERIVADOS</v>
          </cell>
          <cell r="H108" t="str">
            <v>SOCIEDADE DE ECONOMIA MISTA</v>
          </cell>
          <cell r="I108" t="str">
            <v>S.A.</v>
          </cell>
          <cell r="J108" t="str">
            <v>FECHADO</v>
          </cell>
          <cell r="K108" t="str">
            <v>NÃO</v>
          </cell>
          <cell r="L108" t="str">
            <v>NÃO</v>
          </cell>
          <cell r="M108" t="str">
            <v>NÃO DEPENDENTE</v>
          </cell>
          <cell r="N108">
            <v>61</v>
          </cell>
          <cell r="O108" t="str">
            <v>OK</v>
          </cell>
          <cell r="P108" t="str">
            <v>SIM</v>
          </cell>
          <cell r="Q108" t="str">
            <v>SIM</v>
          </cell>
          <cell r="R108" t="str">
            <v>NÃO</v>
          </cell>
          <cell r="S108" t="str">
            <v>https://www.gasmar.com.br/carta-anual-de-governanca</v>
          </cell>
          <cell r="BF108" t="str">
            <v>05.121.359/0001-30</v>
          </cell>
          <cell r="BG108" t="str">
            <v>Companhia Maranhense de Gás</v>
          </cell>
          <cell r="BH108" t="str">
            <v>GASMAR</v>
          </cell>
        </row>
        <row r="109">
          <cell r="E109" t="str">
            <v>06.281.794/0001-95</v>
          </cell>
          <cell r="F109" t="str">
            <v>ATIVA</v>
          </cell>
          <cell r="G109" t="str">
            <v>GESTÃO DE ATIVOS</v>
          </cell>
          <cell r="H109" t="str">
            <v>SOCIEDADE DE ECONOMIA MISTA</v>
          </cell>
          <cell r="I109" t="str">
            <v>S.A.</v>
          </cell>
          <cell r="J109" t="str">
            <v>FECHADO</v>
          </cell>
          <cell r="K109" t="str">
            <v>NÃO</v>
          </cell>
          <cell r="L109" t="str">
            <v>NÃO</v>
          </cell>
          <cell r="M109" t="str">
            <v>NÃO DEPENDENTE</v>
          </cell>
          <cell r="N109">
            <v>458</v>
          </cell>
          <cell r="O109" t="str">
            <v>OK</v>
          </cell>
          <cell r="P109" t="str">
            <v>SIM</v>
          </cell>
          <cell r="Q109" t="str">
            <v>SIM</v>
          </cell>
          <cell r="R109" t="str">
            <v>NÃO</v>
          </cell>
          <cell r="S109" t="str">
            <v>https://mapa.ma.gov.br/programas-ou-campanhas/carta-anual</v>
          </cell>
          <cell r="BF109" t="str">
            <v>06.281.794/0001-95</v>
          </cell>
          <cell r="BG109" t="str">
            <v>Maranhão Parcerias</v>
          </cell>
          <cell r="BH109" t="str">
            <v>MAPA</v>
          </cell>
        </row>
        <row r="110">
          <cell r="E110" t="str">
            <v>38.486.817/0001-94</v>
          </cell>
          <cell r="F110" t="str">
            <v>ATIVA</v>
          </cell>
          <cell r="G110" t="str">
            <v>FINANCEIRO</v>
          </cell>
          <cell r="H110" t="str">
            <v>EMPRESA PÚBLICA</v>
          </cell>
          <cell r="I110" t="str">
            <v>S.A.</v>
          </cell>
          <cell r="J110" t="str">
            <v>FECHADO</v>
          </cell>
          <cell r="K110" t="str">
            <v>NÃO</v>
          </cell>
          <cell r="L110" t="str">
            <v>NÃO</v>
          </cell>
          <cell r="M110" t="str">
            <v>NÃO DEPENDENTE</v>
          </cell>
          <cell r="N110">
            <v>544</v>
          </cell>
          <cell r="O110" t="str">
            <v>OK</v>
          </cell>
          <cell r="P110" t="str">
            <v>SIM</v>
          </cell>
          <cell r="Q110" t="str">
            <v>SIM</v>
          </cell>
          <cell r="R110" t="str">
            <v>SIM</v>
          </cell>
          <cell r="S110" t="str">
            <v>https://www.bdmg.mg.gov.br/wp-content/uploads/2023/05/230303_Carta_Anual_Politicas_Publicas_e_Gov_Corporativa_BDMG_2022.pdf</v>
          </cell>
          <cell r="BF110" t="str">
            <v>38.486.817/0001-94</v>
          </cell>
          <cell r="BG110" t="str">
            <v>Banco de Desenvolvimento de Minas Gerais S/A</v>
          </cell>
          <cell r="BH110" t="str">
            <v>BDMG</v>
          </cell>
        </row>
        <row r="111">
          <cell r="E111" t="str">
            <v>17.155.730/0001-64</v>
          </cell>
          <cell r="F111" t="str">
            <v>ATIVA</v>
          </cell>
          <cell r="G111" t="str">
            <v>ENERGIA</v>
          </cell>
          <cell r="H111" t="str">
            <v>SOCIEDADE DE ECONOMIA MISTA</v>
          </cell>
          <cell r="I111" t="str">
            <v>S.A.</v>
          </cell>
          <cell r="J111" t="str">
            <v>ABERTO</v>
          </cell>
          <cell r="K111" t="str">
            <v>SIM</v>
          </cell>
          <cell r="L111" t="str">
            <v>NÃO</v>
          </cell>
          <cell r="M111" t="str">
            <v>NÃO DEPENDENTE</v>
          </cell>
          <cell r="N111">
            <v>28128</v>
          </cell>
          <cell r="O111" t="str">
            <v>OK</v>
          </cell>
          <cell r="P111" t="str">
            <v>SIM</v>
          </cell>
          <cell r="Q111" t="str">
            <v>SIM</v>
          </cell>
          <cell r="R111" t="str">
            <v>SIM</v>
          </cell>
          <cell r="S111" t="str">
            <v>https://www.cemig.com.br/search/carta+anual</v>
          </cell>
          <cell r="BF111" t="str">
            <v>17.155.730/0001-64</v>
          </cell>
          <cell r="BG111" t="str">
            <v>Companhia Energética de Minas Gerais</v>
          </cell>
          <cell r="BH111" t="str">
            <v>CEMIG</v>
          </cell>
        </row>
        <row r="112">
          <cell r="E112" t="str">
            <v>29.768.219/0001-17</v>
          </cell>
          <cell r="F112" t="str">
            <v>ATIVA</v>
          </cell>
          <cell r="G112" t="str">
            <v>DESENVOLVIMENTO REGIONAL</v>
          </cell>
          <cell r="H112" t="str">
            <v>EMPRESA PÚBLICA</v>
          </cell>
          <cell r="I112" t="str">
            <v>S.A.</v>
          </cell>
          <cell r="J112" t="str">
            <v>FECHADO</v>
          </cell>
          <cell r="K112" t="str">
            <v>NÃO</v>
          </cell>
          <cell r="L112" t="str">
            <v>NÃO</v>
          </cell>
          <cell r="M112" t="str">
            <v>NÃO DEPENDENTE</v>
          </cell>
          <cell r="N112">
            <v>434</v>
          </cell>
          <cell r="O112" t="str">
            <v>OK</v>
          </cell>
          <cell r="P112" t="str">
            <v>SIM</v>
          </cell>
          <cell r="Q112" t="str">
            <v>SIM</v>
          </cell>
          <cell r="R112" t="str">
            <v>SIM</v>
          </cell>
          <cell r="S112" t="str">
            <v>http://www.codemge.com.br/a-codemge/governanca/</v>
          </cell>
          <cell r="BF112" t="str">
            <v>29.768.219/0001-17</v>
          </cell>
          <cell r="BG112" t="str">
            <v>Companhia de Desenvolvimento de Minas Gerais</v>
          </cell>
          <cell r="BH112" t="str">
            <v>CODEMGE</v>
          </cell>
        </row>
        <row r="113">
          <cell r="E113" t="str">
            <v>19.791.581/0001-55</v>
          </cell>
          <cell r="F113" t="str">
            <v>ATIVA</v>
          </cell>
          <cell r="G113" t="str">
            <v>DESENVOLVIMENTO REGIONAL</v>
          </cell>
          <cell r="H113" t="str">
            <v>SOCIEDADE DE ECONOMIA MISTA</v>
          </cell>
          <cell r="I113" t="str">
            <v>S.A.</v>
          </cell>
          <cell r="J113" t="str">
            <v>FECHADO</v>
          </cell>
          <cell r="K113" t="str">
            <v>NÃO</v>
          </cell>
          <cell r="L113" t="str">
            <v>SIM</v>
          </cell>
          <cell r="M113" t="str">
            <v>NÃO DEPENDENTE</v>
          </cell>
          <cell r="N113">
            <v>0</v>
          </cell>
          <cell r="O113" t="str">
            <v>VERIFICAR</v>
          </cell>
          <cell r="P113" t="str">
            <v>SIM</v>
          </cell>
          <cell r="Q113" t="str">
            <v>SIM</v>
          </cell>
          <cell r="R113" t="str">
            <v>SIM</v>
          </cell>
          <cell r="S113" t="str">
            <v>http://www.codemig.com.br/a-codemig/governanca/</v>
          </cell>
          <cell r="BF113" t="str">
            <v>19.791.581/0001-55</v>
          </cell>
          <cell r="BG113" t="str">
            <v>Companhia de Desenvolvimento Econômico de Minas Gerais</v>
          </cell>
          <cell r="BH113" t="str">
            <v>CODEMIG</v>
          </cell>
        </row>
        <row r="114">
          <cell r="E114" t="str">
            <v>17.161.837/0001-15</v>
          </cell>
          <cell r="F114" t="str">
            <v>ATIVA</v>
          </cell>
          <cell r="G114" t="str">
            <v>HABITAÇÃO E URBANIZAÇÃO</v>
          </cell>
          <cell r="H114" t="str">
            <v>SOCIEDADE DE ECONOMIA MISTA</v>
          </cell>
          <cell r="I114" t="str">
            <v>S.A.</v>
          </cell>
          <cell r="J114" t="str">
            <v>FECHADO</v>
          </cell>
          <cell r="K114" t="str">
            <v>NÃO</v>
          </cell>
          <cell r="L114" t="str">
            <v>NÃO</v>
          </cell>
          <cell r="M114" t="str">
            <v>NÃO DEPENDENTE</v>
          </cell>
          <cell r="N114">
            <v>199</v>
          </cell>
          <cell r="O114" t="str">
            <v>OK</v>
          </cell>
          <cell r="P114" t="str">
            <v>SIM</v>
          </cell>
          <cell r="Q114" t="str">
            <v>SIM</v>
          </cell>
          <cell r="R114" t="str">
            <v>NÃO</v>
          </cell>
          <cell r="S114" t="str">
            <v>http://www.cohab.mg.gov.br/carta-anual-de-politicas-publicas-e-governanca-corporativa/</v>
          </cell>
          <cell r="BF114" t="str">
            <v>17.161.837/0001-15</v>
          </cell>
          <cell r="BG114" t="str">
            <v>Companhia de Habitação do Estado de Minas Gerais</v>
          </cell>
          <cell r="BH114" t="str">
            <v>COHAB MINAS</v>
          </cell>
        </row>
        <row r="115">
          <cell r="E115" t="str">
            <v>09.104.426/0001-60</v>
          </cell>
          <cell r="F115" t="str">
            <v>ATIVA</v>
          </cell>
          <cell r="G115" t="str">
            <v>SANEAMENTO</v>
          </cell>
          <cell r="H115" t="str">
            <v>SOCIEDADE DE ECONOMIA MISTA</v>
          </cell>
          <cell r="I115" t="str">
            <v>S.A.</v>
          </cell>
          <cell r="J115" t="str">
            <v>FECHADO</v>
          </cell>
          <cell r="K115" t="str">
            <v>NÃO</v>
          </cell>
          <cell r="L115" t="str">
            <v>SIM</v>
          </cell>
          <cell r="M115" t="str">
            <v>NÃO DEPENDENTE</v>
          </cell>
          <cell r="N115">
            <v>460</v>
          </cell>
          <cell r="O115" t="str">
            <v>OK</v>
          </cell>
          <cell r="P115" t="str">
            <v>NÃO</v>
          </cell>
          <cell r="Q115" t="str">
            <v>SIM</v>
          </cell>
          <cell r="R115" t="str">
            <v>NÃO</v>
          </cell>
          <cell r="S115" t="str">
            <v>https://api.mziq.com/mzfilemanager/v2/d/8bdb3906-0618-4e78-bbe3-a0be9f02d8cc/22725bd1-70b7-6e6c-bec8-490914f29c7c?origin=2</v>
          </cell>
          <cell r="BF115" t="str">
            <v>09.104.426/0001-60</v>
          </cell>
          <cell r="BG115" t="str">
            <v>Copasa Serviços de Saneamento Integrado do Norte e Nordeste de Minas Gerais S/A</v>
          </cell>
          <cell r="BH115" t="str">
            <v>COPANOR</v>
          </cell>
        </row>
        <row r="116">
          <cell r="E116" t="str">
            <v>17.281.106/0001-03</v>
          </cell>
          <cell r="F116" t="str">
            <v>ATIVA</v>
          </cell>
          <cell r="G116" t="str">
            <v>SANEAMENTO</v>
          </cell>
          <cell r="H116" t="str">
            <v>SOCIEDADE DE ECONOMIA MISTA</v>
          </cell>
          <cell r="I116" t="str">
            <v>S.A.</v>
          </cell>
          <cell r="J116" t="str">
            <v>ABERTO</v>
          </cell>
          <cell r="K116" t="str">
            <v>SIM</v>
          </cell>
          <cell r="L116" t="str">
            <v>NÃO</v>
          </cell>
          <cell r="M116" t="str">
            <v>NÃO DEPENDENTE</v>
          </cell>
          <cell r="N116">
            <v>9542</v>
          </cell>
          <cell r="O116" t="str">
            <v>OK</v>
          </cell>
          <cell r="P116" t="str">
            <v>SIM</v>
          </cell>
          <cell r="Q116" t="str">
            <v>SIM</v>
          </cell>
          <cell r="R116" t="str">
            <v>SIM</v>
          </cell>
          <cell r="S116" t="str">
            <v>https://api.mziq.com/mzfilemanager/v2/d/8bdb3906-0618-4e78-bbe3-a0be9f02d8cc/22725bd1-70b7-6e6c-bec8-490914f29c7c?origin=2</v>
          </cell>
          <cell r="BF116" t="str">
            <v>17.281.106/0001-03</v>
          </cell>
          <cell r="BG116" t="str">
            <v>Companhia de Saneamento de Minas Gerais</v>
          </cell>
          <cell r="BH116" t="str">
            <v>COPASA MG</v>
          </cell>
        </row>
        <row r="117">
          <cell r="E117" t="str">
            <v>19.198.118/0001-02</v>
          </cell>
          <cell r="F117" t="str">
            <v>ATIVA</v>
          </cell>
          <cell r="G117" t="str">
            <v>PESQUISA E ASSISTÊNCIA TÉCNICA AGROPECUÁRIA</v>
          </cell>
          <cell r="H117" t="str">
            <v>EMPRESA PÚBLICA</v>
          </cell>
          <cell r="I117" t="str">
            <v>LTDA</v>
          </cell>
          <cell r="J117" t="str">
            <v>FECHADO</v>
          </cell>
          <cell r="K117" t="str">
            <v>NÃO</v>
          </cell>
          <cell r="L117" t="str">
            <v>NÃO</v>
          </cell>
          <cell r="M117" t="str">
            <v>DEPENDENTE</v>
          </cell>
          <cell r="N117">
            <v>1850</v>
          </cell>
          <cell r="O117" t="str">
            <v>OK</v>
          </cell>
          <cell r="P117" t="str">
            <v>SIM</v>
          </cell>
          <cell r="Q117" t="str">
            <v>SIM</v>
          </cell>
          <cell r="R117" t="str">
            <v>NÃO</v>
          </cell>
          <cell r="S117" t="str">
            <v>https://www.emater.mg.gov.br/download.do?id=87220</v>
          </cell>
          <cell r="BF117" t="str">
            <v>19.198.118/0001-02</v>
          </cell>
          <cell r="BG117" t="str">
            <v>Empresa de Assistência Técnica e Extensão Rural do Estado de Minas Gerais</v>
          </cell>
          <cell r="BH117" t="str">
            <v>EMATER MG</v>
          </cell>
        </row>
        <row r="118">
          <cell r="E118" t="str">
            <v>20.234.423/0001-83</v>
          </cell>
          <cell r="F118" t="str">
            <v>ATIVA</v>
          </cell>
          <cell r="G118" t="str">
            <v>COMUNICAÇÃO</v>
          </cell>
          <cell r="H118" t="str">
            <v>EMPRESA PÚBLICA</v>
          </cell>
          <cell r="I118" t="str">
            <v>LTDA</v>
          </cell>
          <cell r="J118" t="str">
            <v>FECHADO</v>
          </cell>
          <cell r="K118" t="str">
            <v>NÃO</v>
          </cell>
          <cell r="L118" t="str">
            <v>NÃO</v>
          </cell>
          <cell r="M118" t="str">
            <v>DEPENDENTE</v>
          </cell>
          <cell r="N118">
            <v>151</v>
          </cell>
          <cell r="O118" t="str">
            <v>OK</v>
          </cell>
          <cell r="P118" t="str">
            <v>SIM</v>
          </cell>
          <cell r="Q118" t="str">
            <v>SIM</v>
          </cell>
          <cell r="R118" t="str">
            <v>NÃO</v>
          </cell>
          <cell r="S118" t="str">
            <v>https://emc.mg.gov.br/institucional/governanca/cartas/</v>
          </cell>
          <cell r="BF118" t="str">
            <v>20.234.423/0001-83</v>
          </cell>
          <cell r="BG118" t="str">
            <v>Empresa Mineira de Comunicação Ltda</v>
          </cell>
          <cell r="BH118" t="str">
            <v>EMC</v>
          </cell>
        </row>
        <row r="119">
          <cell r="E119" t="str">
            <v>17.138.140/0001-23</v>
          </cell>
          <cell r="F119" t="str">
            <v>ATIVA</v>
          </cell>
          <cell r="G119" t="str">
            <v>PESQUISA E ASSISTÊNCIA TÉCNICA AGROPECUÁRIA</v>
          </cell>
          <cell r="H119" t="str">
            <v>EMPRESA PÚBLICA</v>
          </cell>
          <cell r="I119" t="str">
            <v>LTDA</v>
          </cell>
          <cell r="J119" t="str">
            <v>FECHADO</v>
          </cell>
          <cell r="K119" t="str">
            <v>NÃO</v>
          </cell>
          <cell r="L119" t="str">
            <v>NÃO</v>
          </cell>
          <cell r="M119" t="str">
            <v>DEPENDENTE</v>
          </cell>
          <cell r="N119">
            <v>754</v>
          </cell>
          <cell r="O119" t="str">
            <v>OK</v>
          </cell>
          <cell r="P119" t="str">
            <v>SIM</v>
          </cell>
          <cell r="Q119" t="str">
            <v>SIM</v>
          </cell>
          <cell r="R119" t="str">
            <v>NÃO</v>
          </cell>
          <cell r="S119" t="str">
            <v>https://www.epamig.br/wp-content/uploads/2024/04/carta_de_governanca-2023.pdf</v>
          </cell>
          <cell r="BF119" t="str">
            <v>17.138.140/0001-23</v>
          </cell>
          <cell r="BG119" t="str">
            <v>Empresa de Pesquisa Agropecuária de Minas Gerais</v>
          </cell>
          <cell r="BH119" t="str">
            <v>EPAMIG</v>
          </cell>
        </row>
        <row r="120">
          <cell r="E120" t="str">
            <v>22.261.473/0001-85</v>
          </cell>
          <cell r="F120" t="str">
            <v>ATIVA</v>
          </cell>
          <cell r="G120" t="str">
            <v>GÁS E DERIVADOS</v>
          </cell>
          <cell r="H120" t="str">
            <v>SOCIEDADE DE ECONOMIA MISTA</v>
          </cell>
          <cell r="I120" t="str">
            <v>S.A.</v>
          </cell>
          <cell r="J120" t="str">
            <v>ABERTO</v>
          </cell>
          <cell r="K120" t="str">
            <v>NÃO</v>
          </cell>
          <cell r="L120" t="str">
            <v>SIM</v>
          </cell>
          <cell r="M120" t="str">
            <v>NÃO DEPENDENTE</v>
          </cell>
          <cell r="N120">
            <v>323</v>
          </cell>
          <cell r="O120" t="str">
            <v>OK</v>
          </cell>
          <cell r="P120" t="str">
            <v>SIM</v>
          </cell>
          <cell r="Q120" t="str">
            <v>SIM</v>
          </cell>
          <cell r="R120" t="str">
            <v>SIM</v>
          </cell>
          <cell r="S120" t="str">
            <v>https://api.mziq.com/mzfilemanager/v2/d/f991396d-aa51-4366-b93d-af70a51d7b15/f3b62961-fb6b-48bb-ac7e-913d88c8d015?origin=1</v>
          </cell>
          <cell r="BF120" t="str">
            <v>22.261.473/0001-85</v>
          </cell>
          <cell r="BG120" t="str">
            <v>Companhia de Gás de Minas Gerais</v>
          </cell>
          <cell r="BH120" t="str">
            <v>GASMIG</v>
          </cell>
        </row>
        <row r="121">
          <cell r="E121" t="str">
            <v>03.919.139/0001-21</v>
          </cell>
          <cell r="F121" t="str">
            <v>ATIVA</v>
          </cell>
          <cell r="G121" t="str">
            <v>TRANSPORTE</v>
          </cell>
          <cell r="H121" t="str">
            <v>EMPRESA PÚBLICA</v>
          </cell>
          <cell r="I121" t="str">
            <v>S.A.</v>
          </cell>
          <cell r="J121" t="str">
            <v>FECHADO</v>
          </cell>
          <cell r="K121" t="str">
            <v>NÃO</v>
          </cell>
          <cell r="L121" t="str">
            <v>NÃO</v>
          </cell>
          <cell r="M121" t="str">
            <v>NÃO DEPENDENTE</v>
          </cell>
          <cell r="N121">
            <v>0</v>
          </cell>
          <cell r="O121" t="str">
            <v>VERIFICAR</v>
          </cell>
          <cell r="P121" t="str">
            <v>SIM</v>
          </cell>
          <cell r="Q121" t="str">
            <v>SIM</v>
          </cell>
          <cell r="R121" t="str">
            <v>NÃO</v>
          </cell>
          <cell r="S121" t="str">
            <v>http://www.infraestrutura.mg.gov.br/images/documentos/metrominas/publicacoes-anuais/2022/Carta-Anual-de-Governanca-Corporativa.pdf</v>
          </cell>
          <cell r="BF121" t="str">
            <v>03.919.139/0001-21</v>
          </cell>
          <cell r="BG121" t="str">
            <v>Trem Metropolitano de Belo Horizonte S/A</v>
          </cell>
          <cell r="BH121" t="str">
            <v>METROMINAS</v>
          </cell>
        </row>
        <row r="122">
          <cell r="E122" t="str">
            <v>19.296.342/0001-29</v>
          </cell>
          <cell r="F122" t="str">
            <v>ATIVA</v>
          </cell>
          <cell r="G122" t="str">
            <v>GESTÃO DE ATIVOS</v>
          </cell>
          <cell r="H122" t="str">
            <v>SOCIEDADE DE ECONOMIA MISTA</v>
          </cell>
          <cell r="I122" t="str">
            <v>S.A.</v>
          </cell>
          <cell r="J122" t="str">
            <v>FECHADO</v>
          </cell>
          <cell r="K122" t="str">
            <v>NÃO</v>
          </cell>
          <cell r="L122" t="str">
            <v>NÃO</v>
          </cell>
          <cell r="M122" t="str">
            <v>NÃO DEPENDENTE</v>
          </cell>
          <cell r="N122">
            <v>84</v>
          </cell>
          <cell r="O122" t="str">
            <v>OK</v>
          </cell>
          <cell r="P122" t="str">
            <v>SIM</v>
          </cell>
          <cell r="Q122" t="str">
            <v>SIM</v>
          </cell>
          <cell r="R122" t="str">
            <v>SIM</v>
          </cell>
          <cell r="S122" t="str">
            <v>https://www.mgipart.com.br/governanca/PoliticasPublicasEGovernancas</v>
          </cell>
          <cell r="BF122" t="str">
            <v>19.296.342/0001-29</v>
          </cell>
          <cell r="BG122" t="str">
            <v>Minas Gerais Participações S/A</v>
          </cell>
          <cell r="BH122" t="str">
            <v>MGI</v>
          </cell>
        </row>
        <row r="123">
          <cell r="E123" t="str">
            <v>33.224.254/0001-42</v>
          </cell>
          <cell r="F123" t="str">
            <v>ATIVA</v>
          </cell>
          <cell r="G123" t="str">
            <v>OUTROS</v>
          </cell>
          <cell r="H123" t="str">
            <v>EMPRESA PÚBLICA</v>
          </cell>
          <cell r="I123" t="str">
            <v>S.A.</v>
          </cell>
          <cell r="J123" t="str">
            <v>FECHADO</v>
          </cell>
          <cell r="K123" t="str">
            <v>NÃO</v>
          </cell>
          <cell r="L123" t="str">
            <v>NÃO</v>
          </cell>
          <cell r="M123" t="str">
            <v>NÃO DEPENDENTE</v>
          </cell>
          <cell r="N123">
            <v>29528</v>
          </cell>
          <cell r="O123" t="str">
            <v>OK</v>
          </cell>
          <cell r="P123" t="str">
            <v>SIM</v>
          </cell>
          <cell r="Q123" t="str">
            <v>SIM</v>
          </cell>
          <cell r="R123" t="str">
            <v>SIM</v>
          </cell>
          <cell r="S123" t="str">
            <v>https://www.mgs.srv.br/detalhe-da-materia/info/cartas-anuais/16767</v>
          </cell>
          <cell r="BF123" t="str">
            <v>33.224.254/0001-42</v>
          </cell>
          <cell r="BG123" t="str">
            <v>Minas Gerais Administração e Serviços S/A</v>
          </cell>
          <cell r="BH123" t="str">
            <v>MGS</v>
          </cell>
        </row>
        <row r="124">
          <cell r="E124" t="str">
            <v>16.636.540/0001-04</v>
          </cell>
          <cell r="F124" t="str">
            <v>ATIVA</v>
          </cell>
          <cell r="G124" t="str">
            <v>INFORMÁTICA E TECNOLOGIA DA INFORMAÇÃO</v>
          </cell>
          <cell r="H124" t="str">
            <v>SOCIEDADE DE ECONOMIA MISTA</v>
          </cell>
          <cell r="I124" t="str">
            <v>S.A.</v>
          </cell>
          <cell r="J124" t="str">
            <v>FECHADO</v>
          </cell>
          <cell r="K124" t="str">
            <v>NÃO</v>
          </cell>
          <cell r="L124" t="str">
            <v>NÃO</v>
          </cell>
          <cell r="M124" t="str">
            <v>NÃO DEPENDENTE</v>
          </cell>
          <cell r="N124">
            <v>1071</v>
          </cell>
          <cell r="O124" t="str">
            <v>OK</v>
          </cell>
          <cell r="P124" t="str">
            <v>SIM</v>
          </cell>
          <cell r="Q124" t="str">
            <v>SIM</v>
          </cell>
          <cell r="R124" t="str">
            <v>SIM</v>
          </cell>
          <cell r="S124" t="str">
            <v>https://www.prodemge.gov.br/governanca/carta-anual#2023</v>
          </cell>
          <cell r="BF124" t="str">
            <v>16.636.540/0001-04</v>
          </cell>
          <cell r="BG124" t="str">
            <v>Companhia de Tecnologia da Informação do Estado de Minas Gerais</v>
          </cell>
          <cell r="BH124" t="str">
            <v>PRODEMGE</v>
          </cell>
        </row>
        <row r="125">
          <cell r="E125" t="str">
            <v>03.979.598/0001-09</v>
          </cell>
          <cell r="F125" t="str">
            <v>EM LIQUIDAÇÃO</v>
          </cell>
          <cell r="G125" t="str">
            <v>PESQUISA E ASSISTÊNCIA TÉCNICA AGROPECUÁRIA</v>
          </cell>
          <cell r="H125" t="str">
            <v>EMPRESA PÚBLICA</v>
          </cell>
          <cell r="I125" t="str">
            <v>OUTRAS</v>
          </cell>
          <cell r="J125" t="str">
            <v>FECHADO</v>
          </cell>
          <cell r="K125" t="str">
            <v>NÃO</v>
          </cell>
          <cell r="L125" t="str">
            <v>NÃO</v>
          </cell>
          <cell r="M125" t="str">
            <v>DEPENDENTE</v>
          </cell>
          <cell r="N125">
            <v>0</v>
          </cell>
          <cell r="O125" t="str">
            <v>OK</v>
          </cell>
          <cell r="P125" t="str">
            <v>NÃO</v>
          </cell>
          <cell r="Q125" t="str">
            <v>SIM</v>
          </cell>
          <cell r="R125" t="str">
            <v>NÃO</v>
          </cell>
          <cell r="S125" t="str">
            <v>Página da internet não localizada</v>
          </cell>
          <cell r="BF125" t="str">
            <v>03.979.598/0001-09</v>
          </cell>
          <cell r="BG125" t="str">
            <v>Empresa de Serviços Agropecuários de MS</v>
          </cell>
          <cell r="BH125" t="str">
            <v>AGROSUL</v>
          </cell>
        </row>
        <row r="126">
          <cell r="E126" t="str">
            <v>15.414.410/0001-56</v>
          </cell>
          <cell r="F126" t="str">
            <v>ATIVA</v>
          </cell>
          <cell r="G126" t="str">
            <v>ABASTECIMENTO DE ALIMENTOS E OUTROS INSUMOS</v>
          </cell>
          <cell r="H126" t="str">
            <v>SOCIEDADE DE ECONOMIA MISTA</v>
          </cell>
          <cell r="I126" t="str">
            <v>S.A.</v>
          </cell>
          <cell r="J126" t="str">
            <v>FECHADO</v>
          </cell>
          <cell r="K126" t="str">
            <v>NÃO</v>
          </cell>
          <cell r="L126" t="str">
            <v>NÃO</v>
          </cell>
          <cell r="M126" t="str">
            <v>NÃO DEPENDENTE</v>
          </cell>
          <cell r="N126">
            <v>48</v>
          </cell>
          <cell r="O126" t="str">
            <v>OK</v>
          </cell>
          <cell r="P126" t="str">
            <v>SIM</v>
          </cell>
          <cell r="Q126" t="str">
            <v>SIM</v>
          </cell>
          <cell r="R126" t="str">
            <v>NÃO</v>
          </cell>
          <cell r="S126" t="str">
            <v>https://www.ceasa.ms.gov.br/</v>
          </cell>
          <cell r="BF126" t="str">
            <v>15.414.410/0001-56</v>
          </cell>
          <cell r="BG126" t="str">
            <v>Centrais de Abastecimento de Mato Grosso do Sul S/A</v>
          </cell>
          <cell r="BH126" t="str">
            <v>CEASA MS</v>
          </cell>
        </row>
        <row r="127">
          <cell r="E127" t="str">
            <v>01.524.974/0001-37</v>
          </cell>
          <cell r="F127" t="str">
            <v>ATIVA</v>
          </cell>
          <cell r="G127" t="str">
            <v>OUTROS</v>
          </cell>
          <cell r="H127" t="str">
            <v>EMPRESA PÚBLICA</v>
          </cell>
          <cell r="I127" t="str">
            <v>OUTRAS</v>
          </cell>
          <cell r="J127" t="str">
            <v>FECHADO</v>
          </cell>
          <cell r="K127" t="str">
            <v>NÃO</v>
          </cell>
          <cell r="L127" t="str">
            <v>NÃO</v>
          </cell>
          <cell r="M127" t="str">
            <v>NÃO DEPENDENTE</v>
          </cell>
          <cell r="N127">
            <v>0</v>
          </cell>
          <cell r="O127" t="str">
            <v>VERIFICAR</v>
          </cell>
          <cell r="P127" t="str">
            <v>NÃO</v>
          </cell>
          <cell r="Q127" t="str">
            <v>NÃO</v>
          </cell>
          <cell r="R127" t="str">
            <v>NÃO</v>
          </cell>
          <cell r="S127" t="str">
            <v>Página da internet não localizada</v>
          </cell>
          <cell r="BF127" t="str">
            <v>01.524.974/0001-37</v>
          </cell>
          <cell r="BG127" t="str">
            <v>Loteria Estadual de MS</v>
          </cell>
          <cell r="BH127" t="str">
            <v>LOTESUL</v>
          </cell>
        </row>
        <row r="128">
          <cell r="E128" t="str">
            <v>02.741.679/0001-03</v>
          </cell>
          <cell r="F128" t="str">
            <v>ATIVA</v>
          </cell>
          <cell r="G128" t="str">
            <v>GÁS E DERIVADOS</v>
          </cell>
          <cell r="H128" t="str">
            <v>SOCIEDADE DE ECONOMIA MISTA</v>
          </cell>
          <cell r="I128" t="str">
            <v>S.A.</v>
          </cell>
          <cell r="J128" t="str">
            <v>FECHADO</v>
          </cell>
          <cell r="K128" t="str">
            <v>NÃO</v>
          </cell>
          <cell r="L128" t="str">
            <v>NÃO</v>
          </cell>
          <cell r="M128" t="str">
            <v>NÃO DEPENDENTE</v>
          </cell>
          <cell r="N128">
            <v>86</v>
          </cell>
          <cell r="O128" t="str">
            <v>OK</v>
          </cell>
          <cell r="P128" t="str">
            <v>SIM</v>
          </cell>
          <cell r="Q128" t="str">
            <v>SIM</v>
          </cell>
          <cell r="R128" t="str">
            <v>SIM</v>
          </cell>
          <cell r="S128" t="str">
            <v>https://transparencia.msgas.com.br/GovernancaCorporativa</v>
          </cell>
          <cell r="BF128" t="str">
            <v>02.741.679/0001-03</v>
          </cell>
          <cell r="BG128" t="str">
            <v>Companhia de Gás do Estado de Mato Grosso do Sul</v>
          </cell>
          <cell r="BH128" t="str">
            <v>MS GÁS</v>
          </cell>
        </row>
        <row r="129">
          <cell r="E129" t="str">
            <v>03.994.647/0001-74</v>
          </cell>
          <cell r="F129" t="str">
            <v>ATIVA</v>
          </cell>
          <cell r="G129" t="str">
            <v>MINERAÇÃO</v>
          </cell>
          <cell r="H129" t="str">
            <v>EMPRESA PÚBLICA</v>
          </cell>
          <cell r="I129" t="str">
            <v>OUTRAS</v>
          </cell>
          <cell r="J129" t="str">
            <v>FECHADO</v>
          </cell>
          <cell r="K129" t="str">
            <v>NÃO</v>
          </cell>
          <cell r="L129" t="str">
            <v>NÃO</v>
          </cell>
          <cell r="M129" t="str">
            <v>DEPENDENTE</v>
          </cell>
          <cell r="N129">
            <v>0</v>
          </cell>
          <cell r="O129" t="str">
            <v>VERIFICAR</v>
          </cell>
          <cell r="P129" t="str">
            <v>SIM</v>
          </cell>
          <cell r="Q129" t="str">
            <v>SIM</v>
          </cell>
          <cell r="R129" t="str">
            <v>SIM</v>
          </cell>
          <cell r="S129" t="str">
            <v>https://www.msmineral.ms.gov.br/</v>
          </cell>
          <cell r="BF129" t="str">
            <v>03.994.647/0001-74</v>
          </cell>
          <cell r="BG129" t="str">
            <v>Empresa de Gestão de Recursos Minerais</v>
          </cell>
          <cell r="BH129" t="str">
            <v>MS MINERAL</v>
          </cell>
        </row>
        <row r="130">
          <cell r="E130" t="str">
            <v>03.982.931/0001-20</v>
          </cell>
          <cell r="F130" t="str">
            <v>ATIVA</v>
          </cell>
          <cell r="G130" t="str">
            <v>SANEAMENTO</v>
          </cell>
          <cell r="H130" t="str">
            <v>SOCIEDADE DE ECONOMIA MISTA</v>
          </cell>
          <cell r="I130" t="str">
            <v>S.A.</v>
          </cell>
          <cell r="J130" t="str">
            <v>FECHADO</v>
          </cell>
          <cell r="K130" t="str">
            <v>NÃO</v>
          </cell>
          <cell r="L130" t="str">
            <v>NÃO</v>
          </cell>
          <cell r="M130" t="str">
            <v>NÃO DEPENDENTE</v>
          </cell>
          <cell r="N130">
            <v>1336</v>
          </cell>
          <cell r="O130" t="str">
            <v>OK</v>
          </cell>
          <cell r="P130" t="str">
            <v>SIM</v>
          </cell>
          <cell r="Q130" t="str">
            <v>SIM</v>
          </cell>
          <cell r="R130" t="str">
            <v>SIM</v>
          </cell>
          <cell r="S130" t="str">
            <v>https://www.sanesul.ms.gov.br/governanca-corporativa-na-sanesul</v>
          </cell>
          <cell r="BF130" t="str">
            <v>03.982.931/0001-20</v>
          </cell>
          <cell r="BG130" t="str">
            <v>Empresa de Saneamento de Mato Grosso do Sul S/A</v>
          </cell>
          <cell r="BH130" t="str">
            <v>SANESUL</v>
          </cell>
        </row>
        <row r="131">
          <cell r="E131" t="str">
            <v>06.284.531/0001-30</v>
          </cell>
          <cell r="F131" t="str">
            <v>ATIVA</v>
          </cell>
          <cell r="G131" t="str">
            <v>FINANCEIRO</v>
          </cell>
          <cell r="H131" t="str">
            <v>SOCIEDADE DE ECONOMIA MISTA</v>
          </cell>
          <cell r="I131" t="str">
            <v>S.A.</v>
          </cell>
          <cell r="J131" t="str">
            <v>FECHADO</v>
          </cell>
          <cell r="K131" t="str">
            <v>NÃO</v>
          </cell>
          <cell r="L131" t="str">
            <v>NÃO</v>
          </cell>
          <cell r="M131" t="str">
            <v>NÃO DEPENDENTE</v>
          </cell>
          <cell r="N131">
            <v>66</v>
          </cell>
          <cell r="O131" t="str">
            <v>OK</v>
          </cell>
          <cell r="P131" t="str">
            <v>SIM</v>
          </cell>
          <cell r="Q131" t="str">
            <v>SIM</v>
          </cell>
          <cell r="R131" t="str">
            <v>NÃO</v>
          </cell>
          <cell r="S131" t="str">
            <v>https://www.desenvolve.mt.gov.br/</v>
          </cell>
          <cell r="BF131" t="str">
            <v>06.284.531/0001-30</v>
          </cell>
          <cell r="BG131" t="str">
            <v>Agência de Fomento do Estado de Mato Grosso S/A</v>
          </cell>
          <cell r="BH131" t="str">
            <v>DESENVOLVE MT</v>
          </cell>
        </row>
        <row r="132">
          <cell r="E132" t="str">
            <v>36.886.778/0001-97</v>
          </cell>
          <cell r="F132" t="str">
            <v>ATIVA</v>
          </cell>
          <cell r="G132" t="str">
            <v>PESQUISA E ASSISTÊNCIA TÉCNICA AGROPECUÁRIA</v>
          </cell>
          <cell r="H132" t="str">
            <v>EMPRESA PÚBLICA</v>
          </cell>
          <cell r="I132" t="str">
            <v>OUTRAS</v>
          </cell>
          <cell r="J132" t="str">
            <v>FECHADO</v>
          </cell>
          <cell r="K132" t="str">
            <v>NÃO</v>
          </cell>
          <cell r="L132" t="str">
            <v>NÃO</v>
          </cell>
          <cell r="M132" t="str">
            <v>DEPENDENTE</v>
          </cell>
          <cell r="N132">
            <v>407</v>
          </cell>
          <cell r="O132" t="str">
            <v>OK</v>
          </cell>
          <cell r="P132" t="str">
            <v>SIM</v>
          </cell>
          <cell r="Q132" t="str">
            <v>SIM</v>
          </cell>
          <cell r="R132" t="str">
            <v>NÃO</v>
          </cell>
          <cell r="S132" t="str">
            <v>https://www.empaer.mt.gov.br/</v>
          </cell>
          <cell r="BF132" t="str">
            <v>36.886.778/0001-97</v>
          </cell>
          <cell r="BG132" t="str">
            <v>Empresa Mato-Grossense de Pesquisa, Assistência Técnica e Extensão Rural</v>
          </cell>
          <cell r="BH132" t="str">
            <v>EMPAER MT</v>
          </cell>
        </row>
        <row r="133">
          <cell r="E133" t="str">
            <v>03.020.401/0001-00</v>
          </cell>
          <cell r="F133" t="str">
            <v>ATIVA</v>
          </cell>
          <cell r="G133" t="str">
            <v>MINERAÇÃO</v>
          </cell>
          <cell r="H133" t="str">
            <v>SOCIEDADE DE ECONOMIA MISTA</v>
          </cell>
          <cell r="I133" t="str">
            <v>OUTRAS</v>
          </cell>
          <cell r="J133" t="str">
            <v>FECHADO</v>
          </cell>
          <cell r="K133" t="str">
            <v>NÃO</v>
          </cell>
          <cell r="L133" t="str">
            <v>NÃO</v>
          </cell>
          <cell r="M133" t="str">
            <v>DEPENDENTE</v>
          </cell>
          <cell r="N133">
            <v>82</v>
          </cell>
          <cell r="O133" t="str">
            <v>OK</v>
          </cell>
          <cell r="P133" t="str">
            <v>SIM</v>
          </cell>
          <cell r="Q133" t="str">
            <v>SIM</v>
          </cell>
          <cell r="R133" t="str">
            <v>SIM</v>
          </cell>
          <cell r="S133" t="str">
            <v>https://www.metamat.mt.gov.br/inicio</v>
          </cell>
          <cell r="BF133" t="str">
            <v>03.020.401/0001-00</v>
          </cell>
          <cell r="BG133" t="str">
            <v>Companhia Matogrossense de Mineração</v>
          </cell>
          <cell r="BH133" t="str">
            <v>METAMAT</v>
          </cell>
        </row>
        <row r="134">
          <cell r="E134" t="str">
            <v>06.023.921/0001-56</v>
          </cell>
          <cell r="F134" t="str">
            <v>ATIVA</v>
          </cell>
          <cell r="G134" t="str">
            <v>GÁS E DERIVADOS</v>
          </cell>
          <cell r="H134" t="str">
            <v>SOCIEDADE DE ECONOMIA MISTA</v>
          </cell>
          <cell r="I134" t="str">
            <v>S.A.</v>
          </cell>
          <cell r="J134" t="str">
            <v>FECHADO</v>
          </cell>
          <cell r="K134" t="str">
            <v>NÃO</v>
          </cell>
          <cell r="L134" t="str">
            <v>NÃO</v>
          </cell>
          <cell r="M134" t="str">
            <v>DEPENDENTE</v>
          </cell>
          <cell r="N134">
            <v>21</v>
          </cell>
          <cell r="O134" t="str">
            <v>OK</v>
          </cell>
          <cell r="P134" t="str">
            <v>SIM</v>
          </cell>
          <cell r="Q134" t="str">
            <v>SIM</v>
          </cell>
          <cell r="R134" t="str">
            <v>NÃO</v>
          </cell>
          <cell r="S134" t="str">
            <v>https://mtgas.com.br/</v>
          </cell>
          <cell r="BF134" t="str">
            <v>06.023.921/0001-56</v>
          </cell>
          <cell r="BG134" t="str">
            <v>Companhia Mato-Grossense de Gas</v>
          </cell>
          <cell r="BH134" t="str">
            <v>MT GAS</v>
          </cell>
        </row>
        <row r="135">
          <cell r="E135" t="str">
            <v>17.816.442/0001-03</v>
          </cell>
          <cell r="F135" t="str">
            <v>ATIVA</v>
          </cell>
          <cell r="G135" t="str">
            <v>GESTÃO DE ATIVOS</v>
          </cell>
          <cell r="H135" t="str">
            <v>SOCIEDADE DE ECONOMIA MISTA</v>
          </cell>
          <cell r="I135" t="str">
            <v>S.A.</v>
          </cell>
          <cell r="J135" t="str">
            <v>FECHADO</v>
          </cell>
          <cell r="K135" t="str">
            <v>NÃO</v>
          </cell>
          <cell r="L135" t="str">
            <v>NÃO</v>
          </cell>
          <cell r="M135" t="str">
            <v>DEPENDENTE</v>
          </cell>
          <cell r="N135">
            <v>96</v>
          </cell>
          <cell r="O135" t="str">
            <v>OK</v>
          </cell>
          <cell r="P135" t="str">
            <v>SIM</v>
          </cell>
          <cell r="Q135" t="str">
            <v>SIM</v>
          </cell>
          <cell r="R135" t="str">
            <v>NÃO</v>
          </cell>
          <cell r="S135" t="str">
            <v>https://www.mtpar.mt.gov.br/cartaanual</v>
          </cell>
          <cell r="BF135" t="str">
            <v>17.816.442/0001-03</v>
          </cell>
          <cell r="BG135" t="str">
            <v>MT Participações e Projetos S/A (Holding)</v>
          </cell>
          <cell r="BH135" t="str">
            <v>MT PAR</v>
          </cell>
        </row>
        <row r="136">
          <cell r="E136" t="str">
            <v>49.157.255/0001-51</v>
          </cell>
          <cell r="F136" t="str">
            <v>ATIVA</v>
          </cell>
          <cell r="G136" t="str">
            <v>GESTÃO DE ATIVOS</v>
          </cell>
          <cell r="H136" t="str">
            <v>EMPRESA PÚBLICA</v>
          </cell>
          <cell r="I136" t="str">
            <v>S.A.</v>
          </cell>
          <cell r="J136" t="str">
            <v>FECHADO</v>
          </cell>
          <cell r="K136" t="str">
            <v>NÃO</v>
          </cell>
          <cell r="L136" t="str">
            <v>SIM</v>
          </cell>
          <cell r="M136" t="str">
            <v>DEPENDENTE</v>
          </cell>
          <cell r="N136">
            <v>0</v>
          </cell>
          <cell r="O136" t="str">
            <v>VERIFICAR</v>
          </cell>
          <cell r="P136" t="str">
            <v>SIM</v>
          </cell>
          <cell r="Q136" t="str">
            <v>SIM</v>
          </cell>
          <cell r="R136" t="str">
            <v>NÃO</v>
          </cell>
          <cell r="S136" t="str">
            <v>https://www.mtpar.mt.gov.br/cartaanual</v>
          </cell>
          <cell r="BF136" t="str">
            <v>49.157.255/0001-51</v>
          </cell>
          <cell r="BG136" t="str">
            <v>MT Par Concessões S/A (Subsidiaria)</v>
          </cell>
          <cell r="BH136" t="str">
            <v>MT PAR ONCESSOES</v>
          </cell>
        </row>
        <row r="137">
          <cell r="E137" t="str">
            <v>51.214.676/0001-19</v>
          </cell>
          <cell r="F137" t="str">
            <v>ATIVA</v>
          </cell>
          <cell r="G137" t="str">
            <v>TURISMO</v>
          </cell>
          <cell r="H137" t="str">
            <v>EMPRESA PÚBLICA</v>
          </cell>
          <cell r="I137" t="str">
            <v>S.A.</v>
          </cell>
          <cell r="J137" t="str">
            <v>FECHADO</v>
          </cell>
          <cell r="K137" t="str">
            <v>NÃO</v>
          </cell>
          <cell r="L137" t="str">
            <v>SIM</v>
          </cell>
          <cell r="M137" t="str">
            <v>DEPENDENTE</v>
          </cell>
          <cell r="N137">
            <v>94</v>
          </cell>
          <cell r="O137" t="str">
            <v>OK</v>
          </cell>
          <cell r="P137" t="str">
            <v>SIM</v>
          </cell>
          <cell r="Q137" t="str">
            <v>SIM</v>
          </cell>
          <cell r="R137" t="str">
            <v>NÃO</v>
          </cell>
          <cell r="S137" t="str">
            <v>https://www.mtpar.mt.gov.br/cartaanual</v>
          </cell>
          <cell r="BF137" t="str">
            <v>51.214.676/0001-19</v>
          </cell>
          <cell r="BG137" t="str">
            <v>MT Parques S/A (Subsidiaria)</v>
          </cell>
          <cell r="BH137" t="str">
            <v>MT PARQUES</v>
          </cell>
        </row>
        <row r="138">
          <cell r="E138" t="str">
            <v>15.011.059/0001-52</v>
          </cell>
          <cell r="F138" t="str">
            <v>ATIVA</v>
          </cell>
          <cell r="G138" t="str">
            <v>INFORMÁTICA E TECNOLOGIA DA INFORMAÇÃO</v>
          </cell>
          <cell r="H138" t="str">
            <v>EMPRESA PÚBLICA</v>
          </cell>
          <cell r="I138" t="str">
            <v>OUTRAS</v>
          </cell>
          <cell r="J138" t="str">
            <v>FECHADO</v>
          </cell>
          <cell r="K138" t="str">
            <v>NÃO</v>
          </cell>
          <cell r="L138" t="str">
            <v>NÃO</v>
          </cell>
          <cell r="M138" t="str">
            <v>DEPENDENTE</v>
          </cell>
          <cell r="N138">
            <v>376</v>
          </cell>
          <cell r="O138" t="str">
            <v>OK</v>
          </cell>
          <cell r="P138" t="str">
            <v>SIM</v>
          </cell>
          <cell r="Q138" t="str">
            <v>SIM</v>
          </cell>
          <cell r="R138" t="str">
            <v>NÃO</v>
          </cell>
          <cell r="S138" t="str">
            <v>https://www.mti.mt.gov.br/cartas</v>
          </cell>
          <cell r="BF138" t="str">
            <v>15.011.059/0001-52</v>
          </cell>
          <cell r="BG138" t="str">
            <v>Empresa Mato-Grossense de Tecnologia da Informação</v>
          </cell>
          <cell r="BH138" t="str">
            <v>MTI</v>
          </cell>
        </row>
        <row r="139">
          <cell r="E139" t="str">
            <v>19.521.322/0001-04</v>
          </cell>
          <cell r="F139" t="str">
            <v>ATIVA</v>
          </cell>
          <cell r="G139" t="str">
            <v>TRANSPORTE</v>
          </cell>
          <cell r="H139" t="str">
            <v>SOCIEDADE DE ECONOMIA MISTA</v>
          </cell>
          <cell r="I139" t="str">
            <v>S.A.</v>
          </cell>
          <cell r="J139" t="str">
            <v>FECHADO</v>
          </cell>
          <cell r="K139" t="str">
            <v>NÃO</v>
          </cell>
          <cell r="L139" t="str">
            <v>SIM</v>
          </cell>
          <cell r="M139" t="str">
            <v>NÃO DEPENDENTE</v>
          </cell>
          <cell r="N139">
            <v>602</v>
          </cell>
          <cell r="O139" t="str">
            <v>OK</v>
          </cell>
          <cell r="P139" t="str">
            <v>SIM</v>
          </cell>
          <cell r="Q139" t="str">
            <v>SIM</v>
          </cell>
          <cell r="R139" t="str">
            <v>NÃO</v>
          </cell>
          <cell r="S139" t="str">
            <v>https://www.mtpar.mt.gov.br/cartaanual</v>
          </cell>
          <cell r="BF139" t="str">
            <v>19.521.322/0001-04</v>
          </cell>
          <cell r="BG139" t="str">
            <v>Concessionaria Rota do Oeste S/A (Subsidiaria)</v>
          </cell>
          <cell r="BH139" t="str">
            <v>NOVA ROTA DO OESTE</v>
          </cell>
        </row>
        <row r="140">
          <cell r="E140" t="str">
            <v>03.470.358/0001-76</v>
          </cell>
          <cell r="F140" t="str">
            <v>EM LIQUIDAÇÃO</v>
          </cell>
          <cell r="G140" t="str">
            <v>SANEAMENTO</v>
          </cell>
          <cell r="H140" t="str">
            <v>SOCIEDADE DE ECONOMIA MISTA</v>
          </cell>
          <cell r="I140" t="str">
            <v>LTDA</v>
          </cell>
          <cell r="J140" t="str">
            <v>ABERTO</v>
          </cell>
          <cell r="K140" t="str">
            <v>NÃO</v>
          </cell>
          <cell r="L140" t="str">
            <v>NÃO</v>
          </cell>
          <cell r="M140" t="str">
            <v>DEPENDENTE</v>
          </cell>
          <cell r="N140">
            <v>8</v>
          </cell>
          <cell r="O140" t="str">
            <v>OK</v>
          </cell>
          <cell r="P140" t="str">
            <v>SIM</v>
          </cell>
          <cell r="Q140" t="str">
            <v>SIM</v>
          </cell>
          <cell r="R140" t="str">
            <v>NÃO</v>
          </cell>
          <cell r="S140" t="str">
            <v>Site não disponível</v>
          </cell>
          <cell r="BF140" t="str">
            <v>03.470.358/0001-76</v>
          </cell>
          <cell r="BG140" t="str">
            <v>Companhia de Saneamento do Estado de Mato Grosso</v>
          </cell>
          <cell r="BH140" t="str">
            <v>SANEMAT</v>
          </cell>
        </row>
        <row r="141">
          <cell r="E141" t="str">
            <v>51.918.277/0001-39</v>
          </cell>
          <cell r="F141" t="str">
            <v>ATIVA</v>
          </cell>
          <cell r="G141" t="str">
            <v>PORTOS E HIDROVIAS</v>
          </cell>
          <cell r="H141" t="str">
            <v>EMPRESA PÚBLICA</v>
          </cell>
          <cell r="I141" t="str">
            <v>S.A.</v>
          </cell>
          <cell r="J141" t="str">
            <v>FECHADO</v>
          </cell>
          <cell r="K141" t="str">
            <v>NÃO</v>
          </cell>
          <cell r="L141" t="str">
            <v>SIM</v>
          </cell>
          <cell r="M141" t="str">
            <v>DEPENDENTE</v>
          </cell>
          <cell r="N141">
            <v>0</v>
          </cell>
          <cell r="O141" t="str">
            <v>VERIFICAR</v>
          </cell>
          <cell r="P141" t="str">
            <v>SIM</v>
          </cell>
          <cell r="Q141" t="str">
            <v>SIM</v>
          </cell>
          <cell r="R141" t="str">
            <v>NÃO</v>
          </cell>
          <cell r="S141" t="str">
            <v>https://www.mtpar.mt.gov.br/cartaanual</v>
          </cell>
          <cell r="BF141" t="str">
            <v>51.918.277/0001-39</v>
          </cell>
          <cell r="BG141" t="str">
            <v>Terminal Portuário de Cáceres S/A (Subsidiaria)</v>
          </cell>
          <cell r="BH141" t="str">
            <v>TERMINAL PORTUARIO DE CACERES</v>
          </cell>
        </row>
        <row r="142">
          <cell r="E142" t="str">
            <v>04.913.711/0001-08</v>
          </cell>
          <cell r="F142" t="str">
            <v>ATIVA</v>
          </cell>
          <cell r="G142" t="str">
            <v>FINANCEIRO</v>
          </cell>
          <cell r="H142" t="str">
            <v>SOCIEDADE DE ECONOMIA MISTA</v>
          </cell>
          <cell r="I142" t="str">
            <v>S.A.</v>
          </cell>
          <cell r="J142" t="str">
            <v>ABERTO</v>
          </cell>
          <cell r="K142" t="str">
            <v>SIM</v>
          </cell>
          <cell r="L142" t="str">
            <v>NÃO</v>
          </cell>
          <cell r="M142" t="str">
            <v>NÃO DEPENDENTE</v>
          </cell>
          <cell r="N142">
            <v>3742</v>
          </cell>
          <cell r="O142" t="str">
            <v>OK</v>
          </cell>
          <cell r="P142" t="str">
            <v>SIM</v>
          </cell>
          <cell r="Q142" t="str">
            <v>SIM</v>
          </cell>
          <cell r="R142" t="str">
            <v>SIM</v>
          </cell>
          <cell r="S142" t="str">
            <v>https://ri.banpara.b.br/governanca-corporativa/carta-anual-de-governanca/</v>
          </cell>
          <cell r="BF142" t="str">
            <v>04.913.711/0001-08</v>
          </cell>
          <cell r="BG142" t="str">
            <v>Banco do Estado do Pará</v>
          </cell>
          <cell r="BH142" t="str">
            <v>BANPARÁ</v>
          </cell>
        </row>
        <row r="143">
          <cell r="E143" t="str">
            <v>13.095.405/0001-00</v>
          </cell>
          <cell r="F143" t="str">
            <v>ATIVA</v>
          </cell>
          <cell r="G143" t="str">
            <v>DESENVOLVIMENTO REGIONAL</v>
          </cell>
          <cell r="H143" t="str">
            <v>SOCIEDADE DE ECONOMIA MISTA</v>
          </cell>
          <cell r="I143" t="str">
            <v>S.A.</v>
          </cell>
          <cell r="J143" t="str">
            <v>FECHADO</v>
          </cell>
          <cell r="K143" t="str">
            <v>NÃO</v>
          </cell>
          <cell r="L143" t="str">
            <v>SIM</v>
          </cell>
          <cell r="M143" t="str">
            <v>NÃO DEPENDENTE</v>
          </cell>
          <cell r="N143">
            <v>0</v>
          </cell>
          <cell r="O143" t="str">
            <v>VERIFICAR</v>
          </cell>
          <cell r="P143" t="str">
            <v>SIM</v>
          </cell>
          <cell r="Q143" t="str">
            <v>SIM</v>
          </cell>
          <cell r="R143" t="str">
            <v>NÃO</v>
          </cell>
          <cell r="S143" t="str">
            <v>https://www.codec.pa.gov.br/sobre-a-cazbar/</v>
          </cell>
          <cell r="BF143" t="str">
            <v>13.095.405/0001-00</v>
          </cell>
          <cell r="BG143" t="str">
            <v>Comp. Adm. da Zona de Processamento de Exp. de Barcarena</v>
          </cell>
          <cell r="BH143" t="str">
            <v>CAZBAR</v>
          </cell>
        </row>
        <row r="144">
          <cell r="E144" t="str">
            <v>04.819.728/0001-09</v>
          </cell>
          <cell r="F144" t="str">
            <v>ATIVA</v>
          </cell>
          <cell r="G144" t="str">
            <v>ABASTECIMENTO DE ALIMENTOS E OUTROS INSUMOS</v>
          </cell>
          <cell r="H144" t="str">
            <v>SOCIEDADE DE ECONOMIA MISTA</v>
          </cell>
          <cell r="I144" t="str">
            <v>S.A.</v>
          </cell>
          <cell r="J144" t="str">
            <v>FECHADO</v>
          </cell>
          <cell r="K144" t="str">
            <v>NÃO</v>
          </cell>
          <cell r="L144" t="str">
            <v>SIM</v>
          </cell>
          <cell r="M144" t="str">
            <v>DEPENDENTE</v>
          </cell>
          <cell r="N144">
            <v>80</v>
          </cell>
          <cell r="O144" t="str">
            <v>OK</v>
          </cell>
          <cell r="P144" t="str">
            <v>SIM</v>
          </cell>
          <cell r="Q144" t="str">
            <v>SIM</v>
          </cell>
          <cell r="R144" t="str">
            <v>SIM</v>
          </cell>
          <cell r="S144" t="str">
            <v>http://www.ceasa.pa.gov.br/</v>
          </cell>
          <cell r="BF144" t="str">
            <v>04.819.728/0001-09</v>
          </cell>
          <cell r="BG144" t="str">
            <v>Centrais de Abastecimento do Pará S/A</v>
          </cell>
          <cell r="BH144" t="str">
            <v>CEASA PA</v>
          </cell>
        </row>
        <row r="145">
          <cell r="E145" t="str">
            <v>05.416.839/0001-29</v>
          </cell>
          <cell r="F145" t="str">
            <v>ATIVA</v>
          </cell>
          <cell r="G145" t="str">
            <v>DESENVOLVIMENTO REGIONAL</v>
          </cell>
          <cell r="H145" t="str">
            <v>SOCIEDADE DE ECONOMIA MISTA</v>
          </cell>
          <cell r="I145" t="str">
            <v>S.A.</v>
          </cell>
          <cell r="J145" t="str">
            <v>FECHADO</v>
          </cell>
          <cell r="K145" t="str">
            <v>NÃO</v>
          </cell>
          <cell r="L145" t="str">
            <v>NÃO</v>
          </cell>
          <cell r="M145" t="str">
            <v>DEPENDENTE</v>
          </cell>
          <cell r="N145">
            <v>64</v>
          </cell>
          <cell r="O145" t="str">
            <v>OK</v>
          </cell>
          <cell r="P145" t="str">
            <v>SIM</v>
          </cell>
          <cell r="Q145" t="str">
            <v>SIM</v>
          </cell>
          <cell r="R145" t="str">
            <v>NÃO</v>
          </cell>
          <cell r="S145" t="str">
            <v>https://www.codec.pa.gov.br/sobre-a-cazbar/</v>
          </cell>
          <cell r="BF145" t="str">
            <v>05.416.839/0001-29</v>
          </cell>
          <cell r="BG145" t="str">
            <v>Companhia de Desenvolvimento Econômico do Pará</v>
          </cell>
          <cell r="BH145" t="str">
            <v>CODEC</v>
          </cell>
        </row>
        <row r="146">
          <cell r="E146" t="str">
            <v>04.887.055/0001-16</v>
          </cell>
          <cell r="F146" t="str">
            <v>ATIVA</v>
          </cell>
          <cell r="G146" t="str">
            <v>HABITAÇÃO E URBANIZAÇÃO</v>
          </cell>
          <cell r="H146" t="str">
            <v>SOCIEDADE DE ECONOMIA MISTA</v>
          </cell>
          <cell r="I146" t="str">
            <v>S.A.</v>
          </cell>
          <cell r="J146" t="str">
            <v>FECHADO</v>
          </cell>
          <cell r="K146" t="str">
            <v>NÃO</v>
          </cell>
          <cell r="L146" t="str">
            <v>NÃO</v>
          </cell>
          <cell r="M146" t="str">
            <v>DEPENDENTE</v>
          </cell>
          <cell r="N146">
            <v>272</v>
          </cell>
          <cell r="O146" t="str">
            <v>OK</v>
          </cell>
          <cell r="P146" t="str">
            <v>SIM</v>
          </cell>
          <cell r="Q146" t="str">
            <v>SIM</v>
          </cell>
          <cell r="R146" t="str">
            <v>NÃO</v>
          </cell>
          <cell r="S146" t="str">
            <v>http://www.cohab.pa.gov.br/node/1848</v>
          </cell>
          <cell r="BF146" t="str">
            <v>04.887.055/0001-16</v>
          </cell>
          <cell r="BG146" t="str">
            <v>Companhia de Habitação do Estado do Pará</v>
          </cell>
          <cell r="BH146" t="str">
            <v>COHAB PA</v>
          </cell>
        </row>
        <row r="147">
          <cell r="E147" t="str">
            <v>04.945.341/0001-90</v>
          </cell>
          <cell r="F147" t="str">
            <v>ATIVA</v>
          </cell>
          <cell r="G147" t="str">
            <v>SANEAMENTO</v>
          </cell>
          <cell r="H147" t="str">
            <v>SOCIEDADE DE ECONOMIA MISTA</v>
          </cell>
          <cell r="I147" t="str">
            <v>S.A.</v>
          </cell>
          <cell r="J147" t="str">
            <v>FECHADO</v>
          </cell>
          <cell r="K147" t="str">
            <v>NÃO</v>
          </cell>
          <cell r="L147" t="str">
            <v>NÃO</v>
          </cell>
          <cell r="M147" t="str">
            <v>NÃO DEPENDENTE</v>
          </cell>
          <cell r="N147">
            <v>1762</v>
          </cell>
          <cell r="O147" t="str">
            <v>OK</v>
          </cell>
          <cell r="P147" t="str">
            <v>SIM</v>
          </cell>
          <cell r="Q147" t="str">
            <v>SIM</v>
          </cell>
          <cell r="R147" t="str">
            <v>SIM</v>
          </cell>
          <cell r="S147" t="str">
            <v>https://www.cosanpa.pa.gov.br/institucional/</v>
          </cell>
          <cell r="BF147" t="str">
            <v>04.945.341/0001-90</v>
          </cell>
          <cell r="BG147" t="str">
            <v>Companhia de Saneamento do Pará</v>
          </cell>
          <cell r="BH147" t="str">
            <v>COSANPA</v>
          </cell>
        </row>
        <row r="148">
          <cell r="E148" t="str">
            <v>05.452.160/0001-95</v>
          </cell>
          <cell r="F148" t="str">
            <v>ATIVA</v>
          </cell>
          <cell r="G148" t="str">
            <v>PORTOS E HIDROVIAS</v>
          </cell>
          <cell r="H148" t="str">
            <v>EMPRESA PÚBLICA</v>
          </cell>
          <cell r="I148" t="str">
            <v>OUTRAS</v>
          </cell>
          <cell r="J148" t="str">
            <v>FECHADO</v>
          </cell>
          <cell r="K148" t="str">
            <v>NÃO</v>
          </cell>
          <cell r="L148" t="str">
            <v>NÃO</v>
          </cell>
          <cell r="M148" t="str">
            <v>DEPENDENTE</v>
          </cell>
          <cell r="N148">
            <v>51</v>
          </cell>
          <cell r="O148" t="str">
            <v>OK</v>
          </cell>
          <cell r="P148" t="str">
            <v>SIM</v>
          </cell>
          <cell r="Q148" t="str">
            <v>SIM</v>
          </cell>
          <cell r="R148" t="str">
            <v>NÃO</v>
          </cell>
          <cell r="S148" t="str">
            <v>https://cph.pa.gov.br/</v>
          </cell>
          <cell r="BF148" t="str">
            <v>05.452.160/0001-95</v>
          </cell>
          <cell r="BG148" t="str">
            <v>Companhia de Portos e Hidrovias do Estado do Pará</v>
          </cell>
          <cell r="BH148" t="str">
            <v>CPH</v>
          </cell>
        </row>
        <row r="149">
          <cell r="E149" t="str">
            <v>05.402.797/0001-77</v>
          </cell>
          <cell r="F149" t="str">
            <v>ATIVA</v>
          </cell>
          <cell r="G149" t="str">
            <v>PESQUISA E ASSISTÊNCIA TÉCNICA AGROPECUÁRIA</v>
          </cell>
          <cell r="H149" t="str">
            <v>EMPRESA PÚBLICA</v>
          </cell>
          <cell r="I149" t="str">
            <v>OUTRAS</v>
          </cell>
          <cell r="J149" t="str">
            <v>FECHADO</v>
          </cell>
          <cell r="K149" t="str">
            <v>NÃO</v>
          </cell>
          <cell r="L149" t="str">
            <v>NÃO</v>
          </cell>
          <cell r="M149" t="str">
            <v>DEPENDENTE</v>
          </cell>
          <cell r="N149">
            <v>966</v>
          </cell>
          <cell r="O149" t="str">
            <v>OK</v>
          </cell>
          <cell r="P149" t="str">
            <v>SIM</v>
          </cell>
          <cell r="Q149" t="str">
            <v>SIM</v>
          </cell>
          <cell r="R149" t="str">
            <v>NÃO</v>
          </cell>
          <cell r="S149" t="str">
            <v>https://www.emater.pa.gov.br/pt-br/carta-anual-de-politicas-publicas-e-governanca-corporativa</v>
          </cell>
          <cell r="BF149" t="str">
            <v>05.402.797/0001-77</v>
          </cell>
          <cell r="BG149" t="str">
            <v>Empresa de Assistência Técnica e Extensão Rural</v>
          </cell>
          <cell r="BH149" t="str">
            <v>EMATER PA</v>
          </cell>
        </row>
        <row r="150">
          <cell r="E150" t="str">
            <v>08.454.441/0001-75</v>
          </cell>
          <cell r="F150" t="str">
            <v>ATIVA</v>
          </cell>
          <cell r="G150" t="str">
            <v>GÁS E DERIVADOS</v>
          </cell>
          <cell r="H150" t="str">
            <v>SOCIEDADE DE ECONOMIA MISTA</v>
          </cell>
          <cell r="I150" t="str">
            <v>OUTRAS</v>
          </cell>
          <cell r="J150" t="str">
            <v>FECHADO</v>
          </cell>
          <cell r="K150" t="str">
            <v>NÃO</v>
          </cell>
          <cell r="L150" t="str">
            <v>NÃO</v>
          </cell>
          <cell r="M150" t="str">
            <v>NÃO DEPENDENTE</v>
          </cell>
          <cell r="N150">
            <v>33</v>
          </cell>
          <cell r="O150" t="str">
            <v>OK</v>
          </cell>
          <cell r="P150" t="str">
            <v>SIM</v>
          </cell>
          <cell r="Q150" t="str">
            <v>SIM</v>
          </cell>
          <cell r="R150" t="str">
            <v>NÃO</v>
          </cell>
          <cell r="S150" t="str">
            <v>https://gasdopara.com.br/transparencia-publica/normativos-internos/</v>
          </cell>
          <cell r="BF150" t="str">
            <v>08.454.441/0001-75</v>
          </cell>
          <cell r="BG150" t="str">
            <v>Companhia de Gás do Pará</v>
          </cell>
          <cell r="BH150" t="str">
            <v>GASPARÁ</v>
          </cell>
        </row>
        <row r="151">
          <cell r="E151" t="str">
            <v>05.059.613/0001-18</v>
          </cell>
          <cell r="F151" t="str">
            <v>ATIVA</v>
          </cell>
          <cell r="G151" t="str">
            <v>INFORMÁTICA E TECNOLOGIA DA INFORMAÇÃO</v>
          </cell>
          <cell r="H151" t="str">
            <v>EMPRESA PÚBLICA</v>
          </cell>
          <cell r="I151" t="str">
            <v>S.A.</v>
          </cell>
          <cell r="J151" t="str">
            <v>FECHADO</v>
          </cell>
          <cell r="K151" t="str">
            <v>NÃO</v>
          </cell>
          <cell r="L151" t="str">
            <v>NÃO</v>
          </cell>
          <cell r="M151" t="str">
            <v>DEPENDENTE</v>
          </cell>
          <cell r="N151">
            <v>315</v>
          </cell>
          <cell r="O151" t="str">
            <v>OK</v>
          </cell>
          <cell r="P151" t="str">
            <v>SIM</v>
          </cell>
          <cell r="Q151" t="str">
            <v>SIM</v>
          </cell>
          <cell r="R151" t="str">
            <v>NÃO</v>
          </cell>
          <cell r="S151" t="str">
            <v>https://www.prodepa.pa.gov.br/quem-somos</v>
          </cell>
          <cell r="BF151" t="str">
            <v>05.059.613/0001-18</v>
          </cell>
          <cell r="BG151" t="str">
            <v>Empresa de Processamento de Dados</v>
          </cell>
          <cell r="BH151" t="str">
            <v>PRODEPA</v>
          </cell>
        </row>
        <row r="152">
          <cell r="E152" t="str">
            <v>09.123.654/0001-87</v>
          </cell>
          <cell r="F152" t="str">
            <v>ATIVA</v>
          </cell>
          <cell r="G152" t="str">
            <v>SANEAMENTO</v>
          </cell>
          <cell r="H152" t="str">
            <v>SOCIEDADE DE ECONOMIA MISTA</v>
          </cell>
          <cell r="I152" t="str">
            <v>S.A.</v>
          </cell>
          <cell r="J152" t="str">
            <v>FECHADO</v>
          </cell>
          <cell r="K152" t="str">
            <v>NÃO</v>
          </cell>
          <cell r="L152" t="str">
            <v>NÃO</v>
          </cell>
          <cell r="M152" t="str">
            <v>NÃO DEPENDENTE</v>
          </cell>
          <cell r="N152">
            <v>2610</v>
          </cell>
          <cell r="O152" t="str">
            <v>OK</v>
          </cell>
          <cell r="P152" t="str">
            <v>SIM</v>
          </cell>
          <cell r="Q152" t="str">
            <v>SIM</v>
          </cell>
          <cell r="R152" t="str">
            <v>SIM</v>
          </cell>
          <cell r="S152" t="str">
            <v>https://www.cagepa.pb.gov.br/carta-anual/</v>
          </cell>
          <cell r="BF152" t="str">
            <v>09.123.654/0001-87</v>
          </cell>
          <cell r="BG152" t="str">
            <v>Companhia de Água e Esgotos da Paraíba</v>
          </cell>
          <cell r="BH152" t="str">
            <v>CAGEPA</v>
          </cell>
        </row>
        <row r="153">
          <cell r="E153" t="str">
            <v>09.307.729/0001-80</v>
          </cell>
          <cell r="F153" t="str">
            <v>EM LIQUIDAÇÃO</v>
          </cell>
          <cell r="G153" t="str">
            <v>MINERAÇÃO</v>
          </cell>
          <cell r="H153" t="str">
            <v>SOCIEDADE DE ECONOMIA MISTA</v>
          </cell>
          <cell r="I153" t="str">
            <v>OUTRAS</v>
          </cell>
          <cell r="J153" t="str">
            <v>FECHADO</v>
          </cell>
          <cell r="K153" t="str">
            <v>NÃO</v>
          </cell>
          <cell r="L153" t="str">
            <v>NÃO</v>
          </cell>
          <cell r="M153" t="str">
            <v>DEPENDENTE</v>
          </cell>
          <cell r="N153">
            <v>0</v>
          </cell>
          <cell r="O153" t="str">
            <v>OK</v>
          </cell>
          <cell r="P153" t="str">
            <v>NÃO</v>
          </cell>
          <cell r="Q153" t="str">
            <v>NÃO</v>
          </cell>
          <cell r="R153" t="str">
            <v>NÃO</v>
          </cell>
          <cell r="S153" t="str">
            <v>Site não disponível</v>
          </cell>
          <cell r="BF153" t="str">
            <v>09.307.729/0001-80</v>
          </cell>
          <cell r="BG153" t="str">
            <v>Companhia de Desenvolvimento de Recursos Minerais da Paraíba</v>
          </cell>
          <cell r="BH153" t="str">
            <v>CDRM</v>
          </cell>
        </row>
        <row r="154">
          <cell r="E154" t="str">
            <v>09.111.618/0001-01</v>
          </cell>
          <cell r="F154" t="str">
            <v>ATIVA</v>
          </cell>
          <cell r="G154" t="str">
            <v>HABITAÇÃO E URBANIZAÇÃO</v>
          </cell>
          <cell r="H154" t="str">
            <v>SOCIEDADE DE ECONOMIA MISTA</v>
          </cell>
          <cell r="I154" t="str">
            <v>S.A.</v>
          </cell>
          <cell r="J154" t="str">
            <v>FECHADO</v>
          </cell>
          <cell r="K154" t="str">
            <v>NÃO</v>
          </cell>
          <cell r="L154" t="str">
            <v>NÃO</v>
          </cell>
          <cell r="M154" t="str">
            <v>DEPENDENTE</v>
          </cell>
          <cell r="N154">
            <v>234</v>
          </cell>
          <cell r="O154" t="str">
            <v>OK</v>
          </cell>
          <cell r="P154" t="str">
            <v>SIM</v>
          </cell>
          <cell r="Q154" t="str">
            <v>SIM</v>
          </cell>
          <cell r="R154" t="str">
            <v>NÃO</v>
          </cell>
          <cell r="S154" t="str">
            <v>http://cehap.pb.gov.br/sitecehap/</v>
          </cell>
          <cell r="BF154" t="str">
            <v>09.111.618/0001-01</v>
          </cell>
          <cell r="BG154" t="str">
            <v>Companhia Estadual de Habitação Popular</v>
          </cell>
          <cell r="BH154" t="str">
            <v>CEHAP</v>
          </cell>
        </row>
        <row r="155">
          <cell r="E155" t="str">
            <v>09.123.027/0001-46</v>
          </cell>
          <cell r="F155" t="str">
            <v>ATIVA</v>
          </cell>
          <cell r="G155" t="str">
            <v>DESENVOLVIMENTO REGIONAL</v>
          </cell>
          <cell r="H155" t="str">
            <v>SOCIEDADE DE ECONOMIA MISTA</v>
          </cell>
          <cell r="I155" t="str">
            <v>S.A.</v>
          </cell>
          <cell r="J155" t="str">
            <v>FECHADO</v>
          </cell>
          <cell r="K155" t="str">
            <v>NÃO</v>
          </cell>
          <cell r="L155" t="str">
            <v>NÃO</v>
          </cell>
          <cell r="M155" t="str">
            <v>DEPENDENTE</v>
          </cell>
          <cell r="N155">
            <v>93</v>
          </cell>
          <cell r="O155" t="str">
            <v>OK</v>
          </cell>
          <cell r="P155" t="str">
            <v>SIM</v>
          </cell>
          <cell r="Q155" t="str">
            <v>SIM</v>
          </cell>
          <cell r="R155" t="str">
            <v>NÃO</v>
          </cell>
          <cell r="S155" t="str">
            <v>http://www.cinep.pb.gov.br/portal/#</v>
          </cell>
          <cell r="BF155" t="str">
            <v>09.123.027/0001-46</v>
          </cell>
          <cell r="BG155" t="str">
            <v>Companhia de Desenvolvimento da Paraíba</v>
          </cell>
          <cell r="BH155" t="str">
            <v>CINEP</v>
          </cell>
        </row>
        <row r="156">
          <cell r="E156" t="str">
            <v>09.189.499/0001-00</v>
          </cell>
          <cell r="F156" t="str">
            <v>ATIVA</v>
          </cell>
          <cell r="G156" t="str">
            <v>INFORMÁTICA E TECNOLOGIA DA INFORMAÇÃO</v>
          </cell>
          <cell r="H156" t="str">
            <v>SOCIEDADE DE ECONOMIA MISTA</v>
          </cell>
          <cell r="I156" t="str">
            <v>S.A.</v>
          </cell>
          <cell r="J156" t="str">
            <v>FECHADO</v>
          </cell>
          <cell r="K156" t="str">
            <v>NÃO</v>
          </cell>
          <cell r="L156" t="str">
            <v>NÃO</v>
          </cell>
          <cell r="M156" t="str">
            <v>NÃO DEPENDENTE</v>
          </cell>
          <cell r="N156">
            <v>207</v>
          </cell>
          <cell r="O156" t="str">
            <v>OK</v>
          </cell>
          <cell r="P156" t="str">
            <v>SIM</v>
          </cell>
          <cell r="Q156" t="str">
            <v>SIM</v>
          </cell>
          <cell r="R156" t="str">
            <v>NÃO</v>
          </cell>
          <cell r="S156" t="str">
            <v>https://codata.pb.gov.br/</v>
          </cell>
          <cell r="BF156" t="str">
            <v>09.189.499/0001-00</v>
          </cell>
          <cell r="BG156" t="str">
            <v>Companhia de Processamento de Dados da Paraíba</v>
          </cell>
          <cell r="BH156" t="str">
            <v>CODATA</v>
          </cell>
        </row>
        <row r="157">
          <cell r="E157" t="str">
            <v>02.343.132/0001-41</v>
          </cell>
          <cell r="F157" t="str">
            <v>ATIVA</v>
          </cell>
          <cell r="G157" t="str">
            <v>PORTOS E HIDROVIAS</v>
          </cell>
          <cell r="H157" t="str">
            <v>SOCIEDADE DE ECONOMIA MISTA</v>
          </cell>
          <cell r="I157" t="str">
            <v>S.A.</v>
          </cell>
          <cell r="J157" t="str">
            <v>FECHADO</v>
          </cell>
          <cell r="K157" t="str">
            <v>NÃO</v>
          </cell>
          <cell r="L157" t="str">
            <v>NÃO</v>
          </cell>
          <cell r="M157" t="str">
            <v>NÃO DEPENDENTE</v>
          </cell>
          <cell r="N157">
            <v>112</v>
          </cell>
          <cell r="O157" t="str">
            <v>OK</v>
          </cell>
          <cell r="P157" t="str">
            <v>SIM</v>
          </cell>
          <cell r="Q157" t="str">
            <v>SIM</v>
          </cell>
          <cell r="R157" t="str">
            <v>SIM</v>
          </cell>
          <cell r="S157" t="str">
            <v>https://portodecabedelo.pb.gov.br/governanca-corporativa/</v>
          </cell>
          <cell r="BF157" t="str">
            <v>02.343.132/0001-41</v>
          </cell>
          <cell r="BG157" t="str">
            <v>Companhia Docas da Paraíba</v>
          </cell>
          <cell r="BH157" t="str">
            <v>DOCAS</v>
          </cell>
        </row>
        <row r="158">
          <cell r="E158" t="str">
            <v>08.973.752/0001-40</v>
          </cell>
          <cell r="F158" t="str">
            <v>EM LIQUIDAÇÃO</v>
          </cell>
          <cell r="G158" t="str">
            <v>PESQUISA E ASSISTÊNCIA TÉCNICA AGROPECUÁRIA</v>
          </cell>
          <cell r="H158" t="str">
            <v>EMPRESA PÚBLICA</v>
          </cell>
          <cell r="I158" t="str">
            <v>OUTRAS</v>
          </cell>
          <cell r="J158" t="str">
            <v>FECHADO</v>
          </cell>
          <cell r="K158" t="str">
            <v>NÃO</v>
          </cell>
          <cell r="L158" t="str">
            <v>NÃO</v>
          </cell>
          <cell r="M158" t="str">
            <v>DEPENDENTE</v>
          </cell>
          <cell r="N158">
            <v>0</v>
          </cell>
          <cell r="O158" t="str">
            <v>OK</v>
          </cell>
          <cell r="P158" t="str">
            <v>NÃO</v>
          </cell>
          <cell r="Q158" t="str">
            <v>SIM</v>
          </cell>
          <cell r="R158" t="str">
            <v>NÃO</v>
          </cell>
          <cell r="S158" t="str">
            <v>Site não disponível</v>
          </cell>
          <cell r="BF158" t="str">
            <v>08.973.752/0001-40</v>
          </cell>
          <cell r="BG158" t="str">
            <v>Empresa de Assistência Técnica e Extensão Rural da Paraíba</v>
          </cell>
          <cell r="BH158" t="str">
            <v>EMATER PB</v>
          </cell>
        </row>
        <row r="159">
          <cell r="E159" t="str">
            <v>09.295.684/0001-70</v>
          </cell>
          <cell r="F159" t="str">
            <v>EM LIQUIDAÇÃO</v>
          </cell>
          <cell r="G159" t="str">
            <v>PESQUISA E ASSISTÊNCIA TÉCNICA AGROPECUÁRIA</v>
          </cell>
          <cell r="H159" t="str">
            <v>EMPRESA PÚBLICA</v>
          </cell>
          <cell r="I159" t="str">
            <v>OUTRAS</v>
          </cell>
          <cell r="J159" t="str">
            <v>FECHADO</v>
          </cell>
          <cell r="K159" t="str">
            <v>NÃO</v>
          </cell>
          <cell r="L159" t="str">
            <v>NÃO</v>
          </cell>
          <cell r="M159" t="str">
            <v>DEPENDENTE</v>
          </cell>
          <cell r="N159">
            <v>0</v>
          </cell>
          <cell r="O159" t="str">
            <v>OK</v>
          </cell>
          <cell r="P159" t="str">
            <v>SIM</v>
          </cell>
          <cell r="Q159" t="str">
            <v>SIM</v>
          </cell>
          <cell r="R159" t="str">
            <v>NÃO</v>
          </cell>
          <cell r="S159" t="str">
            <v>Site não disponível</v>
          </cell>
          <cell r="BF159" t="str">
            <v>09.295.684/0001-70</v>
          </cell>
          <cell r="BG159" t="str">
            <v>Empresa Estadual de Pesquisa Agropecuária</v>
          </cell>
          <cell r="BH159" t="str">
            <v>EMEPA</v>
          </cell>
        </row>
        <row r="160">
          <cell r="E160" t="str">
            <v>33.820.785/0001-06</v>
          </cell>
          <cell r="F160" t="str">
            <v>ATIVA</v>
          </cell>
          <cell r="G160" t="str">
            <v>PESQUISA E ASSISTÊNCIA TÉCNICA AGROPECUÁRIA</v>
          </cell>
          <cell r="H160" t="str">
            <v>EMPRESA PÚBLICA</v>
          </cell>
          <cell r="I160" t="str">
            <v>OUTRAS</v>
          </cell>
          <cell r="J160" t="str">
            <v>FECHADO</v>
          </cell>
          <cell r="K160" t="str">
            <v>NÃO</v>
          </cell>
          <cell r="L160" t="str">
            <v>NÃO</v>
          </cell>
          <cell r="M160" t="str">
            <v>DEPENDENTE</v>
          </cell>
          <cell r="N160">
            <v>1006</v>
          </cell>
          <cell r="O160" t="str">
            <v>OK</v>
          </cell>
          <cell r="P160" t="str">
            <v>SIM</v>
          </cell>
          <cell r="Q160" t="str">
            <v>SIM</v>
          </cell>
          <cell r="R160" t="str">
            <v>NÃO</v>
          </cell>
          <cell r="S160" t="str">
            <v>https://empaer.pb.gov.br/Sevicos</v>
          </cell>
          <cell r="BF160" t="str">
            <v>33.820.785/0001-06</v>
          </cell>
          <cell r="BG160" t="str">
            <v>Empresa Paraibana de Pesquisa, Extensão Rural e Regularização Fundiária</v>
          </cell>
          <cell r="BH160" t="str">
            <v>EMPAER PB</v>
          </cell>
        </row>
        <row r="161">
          <cell r="E161" t="str">
            <v>40.981.516/0001-89</v>
          </cell>
          <cell r="F161" t="str">
            <v>EM LIQUIDAÇÃO</v>
          </cell>
          <cell r="G161" t="str">
            <v>ABASTECIMENTO DE ALIMENTOS E OUTROS INSUMOS</v>
          </cell>
          <cell r="H161" t="str">
            <v>EMPRESA PÚBLICA</v>
          </cell>
          <cell r="I161" t="str">
            <v>OUTRAS</v>
          </cell>
          <cell r="J161" t="str">
            <v>FECHADO</v>
          </cell>
          <cell r="K161" t="str">
            <v>NÃO</v>
          </cell>
          <cell r="L161" t="str">
            <v>SIM</v>
          </cell>
          <cell r="M161" t="str">
            <v>DEPENDENTE</v>
          </cell>
          <cell r="N161">
            <v>252</v>
          </cell>
          <cell r="O161" t="str">
            <v>OK</v>
          </cell>
          <cell r="P161" t="str">
            <v>NÃO</v>
          </cell>
          <cell r="Q161" t="str">
            <v>SIM</v>
          </cell>
          <cell r="R161" t="str">
            <v>NÃO</v>
          </cell>
          <cell r="S161" t="str">
            <v>Site não disponível</v>
          </cell>
          <cell r="BF161" t="str">
            <v>40.981.516/0001-89</v>
          </cell>
          <cell r="BG161" t="str">
            <v>Empresa Paraibana de Abastecimento e Serviços Agrícolas</v>
          </cell>
          <cell r="BH161" t="str">
            <v>EMPASA</v>
          </cell>
        </row>
        <row r="162">
          <cell r="E162" t="str">
            <v>09.366.790/0001-06</v>
          </cell>
          <cell r="F162" t="str">
            <v>ATIVA</v>
          </cell>
          <cell r="G162" t="str">
            <v>COMUNICAÇÃO</v>
          </cell>
          <cell r="H162" t="str">
            <v>EMPRESA PÚBLICA</v>
          </cell>
          <cell r="I162" t="str">
            <v>S.A.</v>
          </cell>
          <cell r="J162" t="str">
            <v>FECHADO</v>
          </cell>
          <cell r="K162" t="str">
            <v>NÃO</v>
          </cell>
          <cell r="L162" t="str">
            <v>NÃO</v>
          </cell>
          <cell r="M162" t="str">
            <v>NÃO DEPENDENTE</v>
          </cell>
          <cell r="N162">
            <v>303</v>
          </cell>
          <cell r="O162" t="str">
            <v>OK</v>
          </cell>
          <cell r="P162" t="str">
            <v>SIM</v>
          </cell>
          <cell r="Q162" t="str">
            <v>SIM</v>
          </cell>
          <cell r="R162" t="str">
            <v>NÃO</v>
          </cell>
          <cell r="S162" t="str">
            <v>https://epc.pb.gov.br/governanca/carta-anual/carta</v>
          </cell>
          <cell r="BF162" t="str">
            <v>09.366.790/0001-06</v>
          </cell>
          <cell r="BG162" t="str">
            <v>Empresa Paraibana de Comunicação</v>
          </cell>
          <cell r="BH162" t="str">
            <v>EPC PB</v>
          </cell>
        </row>
        <row r="163">
          <cell r="E163" t="str">
            <v>02.921.821/0001-96</v>
          </cell>
          <cell r="F163" t="str">
            <v>ATIVA</v>
          </cell>
          <cell r="G163" t="str">
            <v>SAÚDE</v>
          </cell>
          <cell r="H163" t="str">
            <v>SOCIEDADE DE ECONOMIA MISTA</v>
          </cell>
          <cell r="I163" t="str">
            <v>S.A.</v>
          </cell>
          <cell r="J163" t="str">
            <v>FECHADO</v>
          </cell>
          <cell r="K163" t="str">
            <v>NÃO</v>
          </cell>
          <cell r="L163" t="str">
            <v>NÃO</v>
          </cell>
          <cell r="M163" t="str">
            <v>DEPENDENTE</v>
          </cell>
          <cell r="N163">
            <v>17</v>
          </cell>
          <cell r="O163" t="str">
            <v>OK</v>
          </cell>
          <cell r="P163" t="str">
            <v>SIM</v>
          </cell>
          <cell r="Q163" t="str">
            <v>SIM</v>
          </cell>
          <cell r="R163" t="str">
            <v>NÃO</v>
          </cell>
          <cell r="S163" t="str">
            <v>https://lifesa.pb.gov.br/governanca-corporativa</v>
          </cell>
          <cell r="BF163" t="str">
            <v>02.921.821/0001-96</v>
          </cell>
          <cell r="BG163" t="str">
            <v>Laboratório Industrial Farmacêutico do Estado da Paraíba S/A</v>
          </cell>
          <cell r="BH163" t="str">
            <v>LIFESA</v>
          </cell>
        </row>
        <row r="164">
          <cell r="E164" t="str">
            <v>00.371.600/0001-66</v>
          </cell>
          <cell r="F164" t="str">
            <v>ATIVA</v>
          </cell>
          <cell r="G164" t="str">
            <v>GÁS E DERIVADOS</v>
          </cell>
          <cell r="H164" t="str">
            <v>SOCIEDADE DE ECONOMIA MISTA</v>
          </cell>
          <cell r="I164" t="str">
            <v>S.A.</v>
          </cell>
          <cell r="J164" t="str">
            <v>FECHADO</v>
          </cell>
          <cell r="K164" t="str">
            <v>NÃO</v>
          </cell>
          <cell r="L164" t="str">
            <v>NÃO</v>
          </cell>
          <cell r="M164" t="str">
            <v>NÃO DEPENDENTE</v>
          </cell>
          <cell r="N164">
            <v>85</v>
          </cell>
          <cell r="O164" t="str">
            <v>OK</v>
          </cell>
          <cell r="P164" t="str">
            <v>SIM</v>
          </cell>
          <cell r="Q164" t="str">
            <v>SIM</v>
          </cell>
          <cell r="R164" t="str">
            <v>SIM</v>
          </cell>
          <cell r="S164" t="str">
            <v>https://pbgas.com.br/wp-content/uploads/2024/04/2023-DC-PBGAS-.pdf</v>
          </cell>
          <cell r="BF164" t="str">
            <v>00.371.600/0001-66</v>
          </cell>
          <cell r="BG164" t="str">
            <v>Companhia Paraibana de Gás</v>
          </cell>
          <cell r="BH164" t="str">
            <v>PBGÁS</v>
          </cell>
        </row>
        <row r="165">
          <cell r="E165" t="str">
            <v>08.946.006/0001-68</v>
          </cell>
          <cell r="F165" t="str">
            <v>ATIVA</v>
          </cell>
          <cell r="G165" t="str">
            <v>TURISMO</v>
          </cell>
          <cell r="H165" t="str">
            <v>SOCIEDADE DE ECONOMIA MISTA</v>
          </cell>
          <cell r="I165" t="str">
            <v>S.A.</v>
          </cell>
          <cell r="J165" t="str">
            <v>FECHADO</v>
          </cell>
          <cell r="K165" t="str">
            <v>NÃO</v>
          </cell>
          <cell r="L165" t="str">
            <v>NÃO</v>
          </cell>
          <cell r="M165" t="str">
            <v>DEPENDENTE</v>
          </cell>
          <cell r="N165">
            <v>63</v>
          </cell>
          <cell r="O165" t="str">
            <v>OK</v>
          </cell>
          <cell r="P165" t="str">
            <v>SIM</v>
          </cell>
          <cell r="Q165" t="str">
            <v>SIM</v>
          </cell>
          <cell r="R165" t="str">
            <v>NÃO</v>
          </cell>
          <cell r="S165" t="str">
            <v>https://www.pbtur.pb.gov.br/carta-anual-de-politicas-publicas-e-governanca/</v>
          </cell>
          <cell r="BF165" t="str">
            <v>08.946.006/0001-68</v>
          </cell>
          <cell r="BG165" t="str">
            <v>Empresa Paraibana de Turismo S/A</v>
          </cell>
          <cell r="BH165" t="str">
            <v>PBTUR</v>
          </cell>
        </row>
        <row r="166">
          <cell r="E166" t="str">
            <v>09.291.030/0001-79</v>
          </cell>
          <cell r="F166" t="str">
            <v>ATIVA</v>
          </cell>
          <cell r="G166" t="str">
            <v>TURISMO</v>
          </cell>
          <cell r="H166" t="str">
            <v>SOCIEDADE DE ECONOMIA MISTA</v>
          </cell>
          <cell r="I166" t="str">
            <v>S.A.</v>
          </cell>
          <cell r="J166" t="str">
            <v>FECHADO</v>
          </cell>
          <cell r="K166" t="str">
            <v>NÃO</v>
          </cell>
          <cell r="L166" t="str">
            <v>SIM</v>
          </cell>
          <cell r="M166" t="str">
            <v>DEPENDENTE</v>
          </cell>
          <cell r="N166">
            <v>1</v>
          </cell>
          <cell r="O166" t="str">
            <v>OK</v>
          </cell>
          <cell r="P166" t="str">
            <v>SIM</v>
          </cell>
          <cell r="Q166" t="str">
            <v>SIM</v>
          </cell>
          <cell r="R166" t="str">
            <v>NÃO</v>
          </cell>
          <cell r="S166" t="str">
            <v>https://www.pbtur.pb.gov.br/</v>
          </cell>
          <cell r="BF166" t="str">
            <v>09.291.030/0001-79</v>
          </cell>
          <cell r="BG166" t="str">
            <v>PBTUR Hotéis S/A</v>
          </cell>
          <cell r="BH166" t="str">
            <v>PBTUR HOTÉIS</v>
          </cell>
        </row>
        <row r="167">
          <cell r="E167" t="str">
            <v>10.848.646/0001-87</v>
          </cell>
          <cell r="F167" t="str">
            <v>ATIVA</v>
          </cell>
          <cell r="G167" t="str">
            <v>DESENVOLVIMENTO REGIONAL</v>
          </cell>
          <cell r="H167" t="str">
            <v>SOCIEDADE DE ECONOMIA MISTA</v>
          </cell>
          <cell r="I167" t="str">
            <v>S.A.</v>
          </cell>
          <cell r="J167" t="str">
            <v>FECHADO</v>
          </cell>
          <cell r="K167" t="str">
            <v>NÃO</v>
          </cell>
          <cell r="L167" t="str">
            <v>NÃO</v>
          </cell>
          <cell r="M167" t="str">
            <v>NÃO DEPENDENTE</v>
          </cell>
          <cell r="N167">
            <v>285</v>
          </cell>
          <cell r="O167" t="str">
            <v>OK</v>
          </cell>
          <cell r="P167" t="str">
            <v>SIM</v>
          </cell>
          <cell r="Q167" t="str">
            <v>SIM</v>
          </cell>
          <cell r="R167" t="str">
            <v>SIM</v>
          </cell>
          <cell r="S167" t="str">
            <v>https://www.adepe.pe.gov.br/carta-anual-de-politicas-publicas-e-governanca-corporativa/</v>
          </cell>
          <cell r="BF167" t="str">
            <v>10.848.646/0001-87</v>
          </cell>
          <cell r="BG167" t="str">
            <v>Agência de Desenvolvimento Econômico de Pernambuco S/A</v>
          </cell>
          <cell r="BH167" t="str">
            <v>ADEPE</v>
          </cell>
        </row>
        <row r="168">
          <cell r="E168" t="str">
            <v>13.178.690/0001-15</v>
          </cell>
          <cell r="F168" t="str">
            <v>ATIVA</v>
          </cell>
          <cell r="G168" t="str">
            <v>FINANCEIRO</v>
          </cell>
          <cell r="H168" t="str">
            <v>SOCIEDADE DE ECONOMIA MISTA</v>
          </cell>
          <cell r="I168" t="str">
            <v>S.A.</v>
          </cell>
          <cell r="J168" t="str">
            <v>FECHADO</v>
          </cell>
          <cell r="K168" t="str">
            <v>NÃO</v>
          </cell>
          <cell r="L168" t="str">
            <v>NÃO</v>
          </cell>
          <cell r="M168" t="str">
            <v>NÃO DEPENDENTE</v>
          </cell>
          <cell r="N168">
            <v>68</v>
          </cell>
          <cell r="O168" t="str">
            <v>OK</v>
          </cell>
          <cell r="P168" t="str">
            <v>SIM</v>
          </cell>
          <cell r="Q168" t="str">
            <v>SIM</v>
          </cell>
          <cell r="R168" t="str">
            <v>NÃO</v>
          </cell>
          <cell r="S168" t="str">
            <v>https://site.age.pe.gov.br/index.php/governanca-corporativa/</v>
          </cell>
          <cell r="BF168" t="str">
            <v>13.178.690/0001-15</v>
          </cell>
          <cell r="BG168" t="str">
            <v>Agência de Fomento do Estado de Pernambuco S/A</v>
          </cell>
          <cell r="BH168" t="str">
            <v>AGE</v>
          </cell>
        </row>
        <row r="169">
          <cell r="E169" t="str">
            <v>03.206.056/0001-95</v>
          </cell>
          <cell r="F169" t="str">
            <v>ATIVA</v>
          </cell>
          <cell r="G169" t="str">
            <v>HABITAÇÃO E URBANIZAÇÃO</v>
          </cell>
          <cell r="H169" t="str">
            <v>SOCIEDADE DE ECONOMIA MISTA</v>
          </cell>
          <cell r="I169" t="str">
            <v>S.A.</v>
          </cell>
          <cell r="J169" t="str">
            <v>FECHADO</v>
          </cell>
          <cell r="K169" t="str">
            <v>NÃO</v>
          </cell>
          <cell r="L169" t="str">
            <v>NÃO</v>
          </cell>
          <cell r="M169" t="str">
            <v>DEPENDENTE</v>
          </cell>
          <cell r="N169">
            <v>195</v>
          </cell>
          <cell r="O169" t="str">
            <v>OK</v>
          </cell>
          <cell r="P169" t="str">
            <v>SIM</v>
          </cell>
          <cell r="Q169" t="str">
            <v>SIM</v>
          </cell>
          <cell r="R169" t="str">
            <v>NÃO</v>
          </cell>
          <cell r="S169" t="str">
            <v>https://www.cehab.pe.gov.br/carta-anual-de-politicas-publicas-e-governanca-corporativa</v>
          </cell>
          <cell r="BF169" t="str">
            <v>03.206.056/0001-95</v>
          </cell>
          <cell r="BG169" t="str">
            <v>Companhia Estadual de Habitação e Obras</v>
          </cell>
          <cell r="BH169" t="str">
            <v>CEHAB PE</v>
          </cell>
        </row>
        <row r="170">
          <cell r="E170" t="str">
            <v>10.921.252/0001-07</v>
          </cell>
          <cell r="F170" t="str">
            <v>ATIVA</v>
          </cell>
          <cell r="G170" t="str">
            <v>COMUNICAÇÃO</v>
          </cell>
          <cell r="H170" t="str">
            <v>SOCIEDADE DE ECONOMIA MISTA</v>
          </cell>
          <cell r="I170" t="str">
            <v>S.A.</v>
          </cell>
          <cell r="J170" t="str">
            <v>FECHADO</v>
          </cell>
          <cell r="K170" t="str">
            <v>NÃO</v>
          </cell>
          <cell r="L170" t="str">
            <v>NÃO</v>
          </cell>
          <cell r="M170" t="str">
            <v>NÃO DEPENDENTE</v>
          </cell>
          <cell r="N170">
            <v>441</v>
          </cell>
          <cell r="O170" t="str">
            <v>OK</v>
          </cell>
          <cell r="P170" t="str">
            <v>SIM</v>
          </cell>
          <cell r="Q170" t="str">
            <v>SIM</v>
          </cell>
          <cell r="R170" t="str">
            <v>NÃO</v>
          </cell>
          <cell r="S170" t="str">
            <v>https://www.cepe.com.br/transparencia/governanca-corporativa</v>
          </cell>
          <cell r="BF170" t="str">
            <v>10.921.252/0001-07</v>
          </cell>
          <cell r="BG170" t="str">
            <v>Companhia Editora de Pernambuco</v>
          </cell>
          <cell r="BH170" t="str">
            <v>CEPE</v>
          </cell>
        </row>
        <row r="171">
          <cell r="E171" t="str">
            <v>09.769.035/0001-64</v>
          </cell>
          <cell r="F171" t="str">
            <v>ATIVA</v>
          </cell>
          <cell r="G171" t="str">
            <v>SANEAMENTO</v>
          </cell>
          <cell r="H171" t="str">
            <v>SOCIEDADE DE ECONOMIA MISTA</v>
          </cell>
          <cell r="I171" t="str">
            <v>S.A.</v>
          </cell>
          <cell r="J171" t="str">
            <v>FECHADO</v>
          </cell>
          <cell r="K171" t="str">
            <v>NÃO</v>
          </cell>
          <cell r="L171" t="str">
            <v>NÃO</v>
          </cell>
          <cell r="M171" t="str">
            <v>NÃO DEPENDENTE</v>
          </cell>
          <cell r="N171">
            <v>5839</v>
          </cell>
          <cell r="O171" t="str">
            <v>OK</v>
          </cell>
          <cell r="P171" t="str">
            <v>SIM</v>
          </cell>
          <cell r="Q171" t="str">
            <v>SIM</v>
          </cell>
          <cell r="R171" t="str">
            <v>SIM</v>
          </cell>
          <cell r="S171" t="str">
            <v>https://servicos.compesa.com.br/governanca/</v>
          </cell>
          <cell r="BF171" t="str">
            <v>09.769.035/0001-64</v>
          </cell>
          <cell r="BG171" t="str">
            <v>Companhia Pernambucana de Saneamento</v>
          </cell>
          <cell r="BH171" t="str">
            <v>COMPESA</v>
          </cell>
        </row>
        <row r="172">
          <cell r="E172" t="str">
            <v>41.025.313/0001-81</v>
          </cell>
          <cell r="F172" t="str">
            <v>ATIVA</v>
          </cell>
          <cell r="G172" t="str">
            <v>GÁS E DERIVADOS</v>
          </cell>
          <cell r="H172" t="str">
            <v>SOCIEDADE DE ECONOMIA MISTA</v>
          </cell>
          <cell r="I172" t="str">
            <v>S.A.</v>
          </cell>
          <cell r="J172" t="str">
            <v>FECHADO</v>
          </cell>
          <cell r="K172" t="str">
            <v>NÃO</v>
          </cell>
          <cell r="L172" t="str">
            <v>NÃO</v>
          </cell>
          <cell r="M172" t="str">
            <v>NÃO DEPENDENTE</v>
          </cell>
          <cell r="N172">
            <v>189</v>
          </cell>
          <cell r="O172" t="str">
            <v>OK</v>
          </cell>
          <cell r="P172" t="str">
            <v>SIM</v>
          </cell>
          <cell r="Q172" t="str">
            <v>SIM</v>
          </cell>
          <cell r="R172" t="str">
            <v>SIM</v>
          </cell>
          <cell r="S172" t="str">
            <v>https://novo.copergas.com.br/portais/portal-da-governanca/index.php?option=com_content&amp;view=article&amp;id=29&amp;Itemid=202</v>
          </cell>
          <cell r="BF172" t="str">
            <v>41.025.313/0001-81</v>
          </cell>
          <cell r="BG172" t="str">
            <v>Companhia Pernambucana de Gás</v>
          </cell>
          <cell r="BH172" t="str">
            <v>COPERGÁS</v>
          </cell>
        </row>
        <row r="173">
          <cell r="E173" t="str">
            <v>10.309.806/0001-10</v>
          </cell>
          <cell r="F173" t="str">
            <v>ATIVA</v>
          </cell>
          <cell r="G173" t="str">
            <v>TRANSPORTE</v>
          </cell>
          <cell r="H173" t="str">
            <v>EMPRESA PÚBLICA</v>
          </cell>
          <cell r="I173" t="str">
            <v>LTDA</v>
          </cell>
          <cell r="J173" t="str">
            <v>FECHADO</v>
          </cell>
          <cell r="K173" t="str">
            <v>NÃO</v>
          </cell>
          <cell r="L173" t="str">
            <v>NÃO</v>
          </cell>
          <cell r="M173" t="str">
            <v>DEPENDENTE</v>
          </cell>
          <cell r="N173">
            <v>623</v>
          </cell>
          <cell r="O173" t="str">
            <v>OK</v>
          </cell>
          <cell r="P173" t="str">
            <v>SIM</v>
          </cell>
          <cell r="Q173" t="str">
            <v>SIM</v>
          </cell>
          <cell r="R173" t="str">
            <v>NÃO</v>
          </cell>
          <cell r="S173" t="str">
            <v>https://www.granderecife.pe.gov.br/instrumentos-de-governanca/</v>
          </cell>
          <cell r="BF173" t="str">
            <v>10.309.806/0001-10</v>
          </cell>
          <cell r="BG173" t="str">
            <v>Consórcio de Transportes da Região Metropolitana do Recife</v>
          </cell>
          <cell r="BH173" t="str">
            <v>CTM</v>
          </cell>
        </row>
        <row r="174">
          <cell r="E174" t="str">
            <v>10.931.533/0001-40</v>
          </cell>
          <cell r="F174" t="str">
            <v>ATIVA</v>
          </cell>
          <cell r="G174" t="str">
            <v>TURISMO</v>
          </cell>
          <cell r="H174" t="str">
            <v>SOCIEDADE DE ECONOMIA MISTA</v>
          </cell>
          <cell r="I174" t="str">
            <v>S.A.</v>
          </cell>
          <cell r="J174" t="str">
            <v>ABERTO</v>
          </cell>
          <cell r="K174" t="str">
            <v>NÃO</v>
          </cell>
          <cell r="L174" t="str">
            <v>NÃO</v>
          </cell>
          <cell r="M174" t="str">
            <v>DEPENDENTE</v>
          </cell>
          <cell r="N174">
            <v>361</v>
          </cell>
          <cell r="O174" t="str">
            <v>OK</v>
          </cell>
          <cell r="P174" t="str">
            <v>SIM</v>
          </cell>
          <cell r="Q174" t="str">
            <v>SIM</v>
          </cell>
          <cell r="R174" t="str">
            <v>NÃO</v>
          </cell>
          <cell r="S174" t="str">
            <v>https://www.empetur.pe.gov.br/transparencia/governanca-corporativa/74-transparencia/1410-carta-anual-sobre-politicas-publicas-e-governanca-corporativa</v>
          </cell>
          <cell r="BF174" t="str">
            <v>10.931.533/0001-40</v>
          </cell>
          <cell r="BG174" t="str">
            <v>Empresa de Turismo de Pernambuco Governador Eduardo Campos</v>
          </cell>
          <cell r="BH174" t="str">
            <v>EMPETUR</v>
          </cell>
        </row>
        <row r="175">
          <cell r="E175" t="str">
            <v>17.659.736/0001-79</v>
          </cell>
          <cell r="F175" t="str">
            <v>ATIVA</v>
          </cell>
          <cell r="G175" t="str">
            <v>COMUNICAÇÃO</v>
          </cell>
          <cell r="H175" t="str">
            <v>EMPRESA PÚBLICA</v>
          </cell>
          <cell r="I175" t="str">
            <v>S.A.</v>
          </cell>
          <cell r="J175" t="str">
            <v>FECHADO</v>
          </cell>
          <cell r="K175" t="str">
            <v>NÃO</v>
          </cell>
          <cell r="L175" t="str">
            <v>NÃO</v>
          </cell>
          <cell r="M175" t="str">
            <v>DEPENDENTE</v>
          </cell>
          <cell r="N175">
            <v>62</v>
          </cell>
          <cell r="O175" t="str">
            <v>OK</v>
          </cell>
          <cell r="P175" t="str">
            <v>SIM</v>
          </cell>
          <cell r="Q175" t="str">
            <v>SIM</v>
          </cell>
          <cell r="R175" t="str">
            <v>NÃO</v>
          </cell>
          <cell r="S175" t="str">
            <v>https://www.epc.pe.gov.br/documentos/</v>
          </cell>
          <cell r="BF175" t="str">
            <v>17.659.736/0001-79</v>
          </cell>
          <cell r="BG175" t="str">
            <v>Empresa Pernambuco de Comunicação S/A</v>
          </cell>
          <cell r="BH175" t="str">
            <v>EPC PE</v>
          </cell>
        </row>
        <row r="176">
          <cell r="E176" t="str">
            <v>13.526.225/0001-28</v>
          </cell>
          <cell r="F176" t="str">
            <v>ATIVA</v>
          </cell>
          <cell r="G176" t="str">
            <v>TRANSPORTE</v>
          </cell>
          <cell r="H176" t="str">
            <v>EMPRESA PÚBLICA</v>
          </cell>
          <cell r="I176" t="str">
            <v>OUTRAS</v>
          </cell>
          <cell r="J176" t="str">
            <v>FECHADO</v>
          </cell>
          <cell r="K176" t="str">
            <v>NÃO</v>
          </cell>
          <cell r="L176" t="str">
            <v>NÃO</v>
          </cell>
          <cell r="M176" t="str">
            <v>DEPENDENTE</v>
          </cell>
          <cell r="N176">
            <v>43</v>
          </cell>
          <cell r="O176" t="str">
            <v>OK</v>
          </cell>
          <cell r="P176" t="str">
            <v>SIM</v>
          </cell>
          <cell r="Q176" t="str">
            <v>SIM</v>
          </cell>
          <cell r="R176" t="str">
            <v>NÃO</v>
          </cell>
          <cell r="S176" t="str">
            <v>https://www.epti.pe.gov.br/carta-anual-de-politicas-publicas-e-governanca-corporativa/</v>
          </cell>
          <cell r="BF176" t="str">
            <v>13.526.225/0001-28</v>
          </cell>
          <cell r="BG176" t="str">
            <v>Empresa Pernambucana de Transporte Coletivo Intermunicipal</v>
          </cell>
          <cell r="BH176" t="str">
            <v>EPTI</v>
          </cell>
        </row>
        <row r="177">
          <cell r="E177" t="str">
            <v>10.912.293/0001-37</v>
          </cell>
          <cell r="F177" t="str">
            <v>ATIVA</v>
          </cell>
          <cell r="G177" t="str">
            <v>PESQUISA E ASSISTÊNCIA TÉCNICA AGROPECUÁRIA</v>
          </cell>
          <cell r="H177" t="str">
            <v>EMPRESA PÚBLICA</v>
          </cell>
          <cell r="I177" t="str">
            <v>OUTRAS</v>
          </cell>
          <cell r="J177" t="str">
            <v>FECHADO</v>
          </cell>
          <cell r="K177" t="str">
            <v>NÃO</v>
          </cell>
          <cell r="L177" t="str">
            <v>NÃO</v>
          </cell>
          <cell r="M177" t="str">
            <v>DEPENDENTE</v>
          </cell>
          <cell r="N177">
            <v>1142</v>
          </cell>
          <cell r="O177" t="str">
            <v>OK</v>
          </cell>
          <cell r="P177" t="str">
            <v>SIM</v>
          </cell>
          <cell r="Q177" t="str">
            <v>SIM</v>
          </cell>
          <cell r="R177" t="str">
            <v>NÃO</v>
          </cell>
          <cell r="S177" t="str">
            <v>https://site.ipa.br/transparencia/</v>
          </cell>
          <cell r="BF177" t="str">
            <v>10.912.293/0001-37</v>
          </cell>
          <cell r="BG177" t="str">
            <v>Instituto Agronômico de Pernambuco</v>
          </cell>
          <cell r="BH177" t="str">
            <v>IPA</v>
          </cell>
        </row>
        <row r="178">
          <cell r="E178" t="str">
            <v>10.877.926/0001-13</v>
          </cell>
          <cell r="F178" t="str">
            <v>ATIVA</v>
          </cell>
          <cell r="G178" t="str">
            <v>SAÚDE</v>
          </cell>
          <cell r="H178" t="str">
            <v>SOCIEDADE DE ECONOMIA MISTA</v>
          </cell>
          <cell r="I178" t="str">
            <v>S.A.</v>
          </cell>
          <cell r="J178" t="str">
            <v>FECHADO</v>
          </cell>
          <cell r="K178" t="str">
            <v>NÃO</v>
          </cell>
          <cell r="L178" t="str">
            <v>NÃO</v>
          </cell>
          <cell r="M178" t="str">
            <v>NÃO DEPENDENTE</v>
          </cell>
          <cell r="N178">
            <v>703</v>
          </cell>
          <cell r="O178" t="str">
            <v>OK</v>
          </cell>
          <cell r="P178" t="str">
            <v>SIM</v>
          </cell>
          <cell r="Q178" t="str">
            <v>SIM</v>
          </cell>
          <cell r="R178" t="str">
            <v>SIM</v>
          </cell>
          <cell r="S178" t="str">
            <v>https://www.lafepe.pe.gov.br/governanca</v>
          </cell>
          <cell r="BF178" t="str">
            <v>10.877.926/0001-13</v>
          </cell>
          <cell r="BG178" t="str">
            <v>Laboratório Farmacêutico do Estado de PE Gov. Miguel Arraes S/A</v>
          </cell>
          <cell r="BH178" t="str">
            <v>LAFEPE</v>
          </cell>
        </row>
        <row r="179">
          <cell r="E179" t="str">
            <v>02.534.914/0001-68</v>
          </cell>
          <cell r="F179" t="str">
            <v>ATIVA</v>
          </cell>
          <cell r="G179" t="str">
            <v>GESTÃO DE ATIVOS</v>
          </cell>
          <cell r="H179" t="str">
            <v>SOCIEDADE DE ECONOMIA MISTA</v>
          </cell>
          <cell r="I179" t="str">
            <v>S.A.</v>
          </cell>
          <cell r="J179" t="str">
            <v>FECHADO</v>
          </cell>
          <cell r="K179" t="str">
            <v>NÃO</v>
          </cell>
          <cell r="L179" t="str">
            <v>NÃO</v>
          </cell>
          <cell r="M179" t="str">
            <v>DEPENDENTE</v>
          </cell>
          <cell r="N179">
            <v>287</v>
          </cell>
          <cell r="O179" t="str">
            <v>OK</v>
          </cell>
          <cell r="P179" t="str">
            <v>SIM</v>
          </cell>
          <cell r="Q179" t="str">
            <v>SIM</v>
          </cell>
          <cell r="R179" t="str">
            <v>NÃO</v>
          </cell>
          <cell r="S179" t="str">
            <v>https://www.perpart.pe.gov.br/transparencia/governanca/politicas-e-regulamentos</v>
          </cell>
          <cell r="BF179" t="str">
            <v>02.534.914/0001-68</v>
          </cell>
          <cell r="BG179" t="str">
            <v>Pernambuco Participações e Investimentos S/A</v>
          </cell>
          <cell r="BH179" t="str">
            <v>PERPART</v>
          </cell>
        </row>
        <row r="180">
          <cell r="E180" t="str">
            <v>04.417.870/0001-11</v>
          </cell>
          <cell r="F180" t="str">
            <v>ATIVA</v>
          </cell>
          <cell r="G180" t="str">
            <v>PORTOS E HIDROVIAS</v>
          </cell>
          <cell r="H180" t="str">
            <v>SOCIEDADE DE ECONOMIA MISTA</v>
          </cell>
          <cell r="I180" t="str">
            <v>S.A.</v>
          </cell>
          <cell r="J180" t="str">
            <v>FECHADO</v>
          </cell>
          <cell r="K180" t="str">
            <v>NÃO</v>
          </cell>
          <cell r="L180" t="str">
            <v>NÃO</v>
          </cell>
          <cell r="M180" t="str">
            <v>NÃO DEPENDENTE</v>
          </cell>
          <cell r="N180">
            <v>202</v>
          </cell>
          <cell r="O180" t="str">
            <v>OK</v>
          </cell>
          <cell r="P180" t="str">
            <v>SIM</v>
          </cell>
          <cell r="Q180" t="str">
            <v>SIM</v>
          </cell>
          <cell r="R180" t="str">
            <v>NÃO</v>
          </cell>
          <cell r="S180" t="str">
            <v>https://www.portodorecife.pe.gov.br/governanca-corporativa.php</v>
          </cell>
          <cell r="BF180" t="str">
            <v>04.417.870/0001-11</v>
          </cell>
          <cell r="BG180" t="str">
            <v>Porto do Recife S/A</v>
          </cell>
          <cell r="BH180" t="str">
            <v>PORTO DO RECIFE</v>
          </cell>
        </row>
        <row r="181">
          <cell r="E181" t="str">
            <v>11.448.933/0001-62</v>
          </cell>
          <cell r="F181" t="str">
            <v>ATIVA</v>
          </cell>
          <cell r="G181" t="str">
            <v>PORTOS E HIDROVIAS</v>
          </cell>
          <cell r="H181" t="str">
            <v>EMPRESA PÚBLICA</v>
          </cell>
          <cell r="I181" t="str">
            <v>OUTRAS</v>
          </cell>
          <cell r="J181" t="str">
            <v>FECHADO</v>
          </cell>
          <cell r="K181" t="str">
            <v>NÃO</v>
          </cell>
          <cell r="L181" t="str">
            <v>NÃO</v>
          </cell>
          <cell r="M181" t="str">
            <v>NÃO DEPENDENTE</v>
          </cell>
          <cell r="N181">
            <v>639</v>
          </cell>
          <cell r="O181" t="str">
            <v>OK</v>
          </cell>
          <cell r="P181" t="str">
            <v>SIM</v>
          </cell>
          <cell r="Q181" t="str">
            <v>SIM</v>
          </cell>
          <cell r="R181" t="str">
            <v>SIM</v>
          </cell>
          <cell r="S181" t="str">
            <v>https://www.suape.pe.gov.br/pt/transparencia/governanca-corporativa/carta-anual-de-politicas-publicas-e-de-governanca-corporativa</v>
          </cell>
          <cell r="BF181" t="str">
            <v>11.448.933/0001-62</v>
          </cell>
          <cell r="BG181" t="str">
            <v>Complexo Industrial Portuário Governador Eraldo Gueiros</v>
          </cell>
          <cell r="BH181" t="str">
            <v>SUAPE</v>
          </cell>
        </row>
        <row r="182">
          <cell r="E182" t="str">
            <v>06.845.747/0001-27</v>
          </cell>
          <cell r="F182" t="str">
            <v>ATIVA</v>
          </cell>
          <cell r="G182" t="str">
            <v>SANEAMENTO</v>
          </cell>
          <cell r="H182" t="str">
            <v>SOCIEDADE DE ECONOMIA MISTA</v>
          </cell>
          <cell r="I182" t="str">
            <v>S.A.</v>
          </cell>
          <cell r="J182" t="str">
            <v>FECHADO</v>
          </cell>
          <cell r="K182" t="str">
            <v>NÃO</v>
          </cell>
          <cell r="L182" t="str">
            <v>NÃO</v>
          </cell>
          <cell r="M182" t="str">
            <v>NÃO DEPENDENTE</v>
          </cell>
          <cell r="N182">
            <v>904</v>
          </cell>
          <cell r="O182" t="str">
            <v>OK</v>
          </cell>
          <cell r="P182" t="str">
            <v>SIM</v>
          </cell>
          <cell r="Q182" t="str">
            <v>SIM</v>
          </cell>
          <cell r="R182" t="str">
            <v>SIM</v>
          </cell>
          <cell r="S182" t="str">
            <v>https://www.agespisa.com.br/site/pages/public/index.jsf</v>
          </cell>
          <cell r="BF182" t="str">
            <v>06.845.747/0001-27</v>
          </cell>
          <cell r="BG182" t="str">
            <v>Águas e Esgotos do Piauí S/A</v>
          </cell>
          <cell r="BH182" t="str">
            <v>AGESPISA</v>
          </cell>
        </row>
        <row r="183">
          <cell r="E183" t="str">
            <v>11.836.226/0001-43</v>
          </cell>
          <cell r="F183" t="str">
            <v>ATIVA</v>
          </cell>
          <cell r="G183" t="str">
            <v>FINANCEIRO</v>
          </cell>
          <cell r="H183" t="str">
            <v>SOCIEDADE DE ECONOMIA MISTA</v>
          </cell>
          <cell r="I183" t="str">
            <v>S.A.</v>
          </cell>
          <cell r="J183" t="str">
            <v>FECHADO</v>
          </cell>
          <cell r="K183" t="str">
            <v>NÃO</v>
          </cell>
          <cell r="L183" t="str">
            <v>NÃO</v>
          </cell>
          <cell r="M183" t="str">
            <v>NÃO DEPENDENTE</v>
          </cell>
          <cell r="N183">
            <v>31</v>
          </cell>
          <cell r="O183" t="str">
            <v>OK</v>
          </cell>
          <cell r="P183" t="str">
            <v>SIM</v>
          </cell>
          <cell r="Q183" t="str">
            <v>SIM</v>
          </cell>
          <cell r="R183" t="str">
            <v>SIM</v>
          </cell>
          <cell r="S183" t="str">
            <v>https://portal.pi.gov.br/fomento/carta-anual-de-governanca/#123-124-2023-1679469123</v>
          </cell>
          <cell r="BF183" t="str">
            <v>11.836.226/0001-43</v>
          </cell>
          <cell r="BG183" t="str">
            <v>Agência de Fomento e Desenvolvimento do Estado do Piauí S/A</v>
          </cell>
          <cell r="BH183" t="str">
            <v>BADESPI</v>
          </cell>
        </row>
        <row r="184">
          <cell r="E184" t="str">
            <v>34.972.075/0001-56</v>
          </cell>
          <cell r="F184" t="str">
            <v>ATIVA</v>
          </cell>
          <cell r="G184" t="str">
            <v>TRANSPORTE</v>
          </cell>
          <cell r="H184" t="str">
            <v>SOCIEDADE DE ECONOMIA MISTA</v>
          </cell>
          <cell r="I184" t="str">
            <v>S.A.</v>
          </cell>
          <cell r="J184" t="str">
            <v>FECHADO</v>
          </cell>
          <cell r="K184" t="str">
            <v>NÃO</v>
          </cell>
          <cell r="L184" t="str">
            <v>NÃO</v>
          </cell>
          <cell r="M184" t="str">
            <v>DEPENDENTE</v>
          </cell>
          <cell r="N184">
            <v>135</v>
          </cell>
          <cell r="O184" t="str">
            <v>OK</v>
          </cell>
          <cell r="P184" t="str">
            <v>SIM</v>
          </cell>
          <cell r="Q184" t="str">
            <v>SIM</v>
          </cell>
          <cell r="R184" t="str">
            <v>NÃO</v>
          </cell>
          <cell r="S184" t="str">
            <v>Site não disponível</v>
          </cell>
          <cell r="BF184" t="str">
            <v>34.972.075/0001-56</v>
          </cell>
          <cell r="BG184" t="str">
            <v>Companhia Ferroviária e Logística do Piauí</v>
          </cell>
          <cell r="BH184" t="str">
            <v>CFLP</v>
          </cell>
        </row>
        <row r="185">
          <cell r="E185" t="str">
            <v>06.643.068/0001-75</v>
          </cell>
          <cell r="F185" t="str">
            <v>ATIVA</v>
          </cell>
          <cell r="G185" t="str">
            <v>GESTÃO DE ATIVOS</v>
          </cell>
          <cell r="H185" t="str">
            <v>SOCIEDADE DE ECONOMIA MISTA</v>
          </cell>
          <cell r="I185" t="str">
            <v>S.A.</v>
          </cell>
          <cell r="J185" t="str">
            <v>FECHADO</v>
          </cell>
          <cell r="K185" t="str">
            <v>NÃO</v>
          </cell>
          <cell r="L185" t="str">
            <v>NÃO</v>
          </cell>
          <cell r="M185" t="str">
            <v>DEPENDENTE</v>
          </cell>
          <cell r="N185">
            <v>687</v>
          </cell>
          <cell r="O185" t="str">
            <v>OK</v>
          </cell>
          <cell r="P185" t="str">
            <v>SIM</v>
          </cell>
          <cell r="Q185" t="str">
            <v>SIM</v>
          </cell>
          <cell r="R185" t="str">
            <v>NÃO</v>
          </cell>
          <cell r="S185" t="str">
            <v>https://portal.pi.gov.br/emgerpi/</v>
          </cell>
          <cell r="BF185" t="str">
            <v>06.643.068/0001-75</v>
          </cell>
          <cell r="BG185" t="str">
            <v>Empresa de Gestão de Recursos do Estado do Piauí S/A</v>
          </cell>
          <cell r="BH185" t="str">
            <v>EMGERPI</v>
          </cell>
        </row>
        <row r="186">
          <cell r="E186" t="str">
            <v>08.839.135/0001-57</v>
          </cell>
          <cell r="F186" t="str">
            <v>ATIVA</v>
          </cell>
          <cell r="G186" t="str">
            <v>INFORMÁTICA E TECNOLOGIA DA INFORMAÇÃO</v>
          </cell>
          <cell r="H186" t="str">
            <v>SOCIEDADE DE ECONOMIA MISTA</v>
          </cell>
          <cell r="I186" t="str">
            <v>S.A.</v>
          </cell>
          <cell r="J186" t="str">
            <v>FECHADO</v>
          </cell>
          <cell r="K186" t="str">
            <v>NÃO</v>
          </cell>
          <cell r="L186" t="str">
            <v>NÃO</v>
          </cell>
          <cell r="M186" t="str">
            <v>NÃO DEPENDENTE</v>
          </cell>
          <cell r="N186">
            <v>268</v>
          </cell>
          <cell r="O186" t="str">
            <v>OK</v>
          </cell>
          <cell r="P186" t="str">
            <v>SIM</v>
          </cell>
          <cell r="Q186" t="str">
            <v>SIM</v>
          </cell>
          <cell r="R186" t="str">
            <v>SIM</v>
          </cell>
          <cell r="S186" t="str">
            <v>https://www.etipi.com.br/documentos/governanca</v>
          </cell>
          <cell r="BF186" t="str">
            <v>08.839.135/0001-57</v>
          </cell>
          <cell r="BG186" t="str">
            <v>Empresa de Tecnologia da Informação do Piauí</v>
          </cell>
          <cell r="BH186" t="str">
            <v>ETIPI</v>
          </cell>
        </row>
        <row r="187">
          <cell r="E187" t="str">
            <v>04.934.243/0001-58</v>
          </cell>
          <cell r="F187" t="str">
            <v>ATIVA</v>
          </cell>
          <cell r="G187" t="str">
            <v>GÁS E DERIVADOS</v>
          </cell>
          <cell r="H187" t="str">
            <v>SOCIEDADE DE ECONOMIA MISTA</v>
          </cell>
          <cell r="I187" t="str">
            <v>S.A.</v>
          </cell>
          <cell r="J187" t="str">
            <v>FECHADO</v>
          </cell>
          <cell r="K187" t="str">
            <v>NÃO</v>
          </cell>
          <cell r="L187" t="str">
            <v>NÃO</v>
          </cell>
          <cell r="M187" t="str">
            <v>NÃO DEPENDENTE</v>
          </cell>
          <cell r="N187">
            <v>2</v>
          </cell>
          <cell r="O187" t="str">
            <v>OK</v>
          </cell>
          <cell r="P187" t="str">
            <v>SIM</v>
          </cell>
          <cell r="Q187" t="str">
            <v>SIM</v>
          </cell>
          <cell r="R187" t="str">
            <v>NÃO</v>
          </cell>
          <cell r="S187" t="str">
            <v>Site não disponível</v>
          </cell>
          <cell r="BF187" t="str">
            <v>04.934.243/0001-58</v>
          </cell>
          <cell r="BG187" t="str">
            <v>Companhia de Gás do Piauí</v>
          </cell>
          <cell r="BH187" t="str">
            <v>GASPISA</v>
          </cell>
        </row>
        <row r="188">
          <cell r="E188" t="str">
            <v>44.660.105/0001-42</v>
          </cell>
          <cell r="F188" t="str">
            <v>ATIVA</v>
          </cell>
          <cell r="G188" t="str">
            <v>DESENVOLVIMENTO REGIONAL</v>
          </cell>
          <cell r="H188" t="str">
            <v>SOCIEDADE DE ECONOMIA MISTA</v>
          </cell>
          <cell r="I188" t="str">
            <v>S.A.</v>
          </cell>
          <cell r="J188" t="str">
            <v>FECHADO</v>
          </cell>
          <cell r="K188" t="str">
            <v>NÃO</v>
          </cell>
          <cell r="L188" t="str">
            <v>NÃO</v>
          </cell>
          <cell r="M188" t="str">
            <v>NÃO DEPENDENTE</v>
          </cell>
          <cell r="N188">
            <v>74</v>
          </cell>
          <cell r="O188" t="str">
            <v>OK</v>
          </cell>
          <cell r="P188" t="str">
            <v>SIM</v>
          </cell>
          <cell r="Q188" t="str">
            <v>SIM</v>
          </cell>
          <cell r="R188" t="str">
            <v>SIM</v>
          </cell>
          <cell r="S188" t="str">
            <v>https://investepiaui.com/nossos-servicos/</v>
          </cell>
          <cell r="BF188" t="str">
            <v>44.660.105/0001-42</v>
          </cell>
          <cell r="BG188" t="str">
            <v>Agência de Atração de Investimentos Estratégicos do Piauí S/A</v>
          </cell>
          <cell r="BH188" t="str">
            <v>INVESTE PIAUÍ</v>
          </cell>
        </row>
        <row r="189">
          <cell r="E189" t="str">
            <v>19.045.674/0001-30</v>
          </cell>
          <cell r="F189" t="str">
            <v>ATIVA</v>
          </cell>
          <cell r="G189" t="str">
            <v>PORTOS E HIDROVIAS</v>
          </cell>
          <cell r="H189" t="str">
            <v>SOCIEDADE DE ECONOMIA MISTA</v>
          </cell>
          <cell r="I189" t="str">
            <v>S.A.</v>
          </cell>
          <cell r="J189" t="str">
            <v>FECHADO</v>
          </cell>
          <cell r="K189" t="str">
            <v>NÃO</v>
          </cell>
          <cell r="L189" t="str">
            <v>SIM</v>
          </cell>
          <cell r="M189" t="str">
            <v>NÃO DEPENDENTE</v>
          </cell>
          <cell r="N189">
            <v>20</v>
          </cell>
          <cell r="O189" t="str">
            <v>OK</v>
          </cell>
          <cell r="P189" t="str">
            <v>SIM</v>
          </cell>
          <cell r="Q189" t="str">
            <v>SIM</v>
          </cell>
          <cell r="R189" t="str">
            <v>SIM</v>
          </cell>
          <cell r="S189" t="str">
            <v>https://portopiaui.com/#</v>
          </cell>
          <cell r="BF189" t="str">
            <v>19.045.674/0001-30</v>
          </cell>
          <cell r="BG189" t="str">
            <v>Companhia de Terminais Alfandegados do Piauí</v>
          </cell>
          <cell r="BH189" t="str">
            <v>PORTO PIAUI</v>
          </cell>
        </row>
        <row r="190">
          <cell r="E190" t="str">
            <v>13.031.118/0001-29</v>
          </cell>
          <cell r="F190" t="str">
            <v>ATIVA</v>
          </cell>
          <cell r="G190" t="str">
            <v>DESENVOLVIMENTO REGIONAL</v>
          </cell>
          <cell r="H190" t="str">
            <v>SOCIEDADE DE ECONOMIA MISTA</v>
          </cell>
          <cell r="I190" t="str">
            <v>S.A.</v>
          </cell>
          <cell r="J190" t="str">
            <v>FECHADO</v>
          </cell>
          <cell r="K190" t="str">
            <v>NÃO</v>
          </cell>
          <cell r="L190" t="str">
            <v>SIM</v>
          </cell>
          <cell r="M190" t="str">
            <v>NÃO DEPENDENTE</v>
          </cell>
          <cell r="N190">
            <v>35</v>
          </cell>
          <cell r="O190" t="str">
            <v>OK</v>
          </cell>
          <cell r="P190" t="str">
            <v>SIM</v>
          </cell>
          <cell r="Q190" t="str">
            <v>SIM</v>
          </cell>
          <cell r="R190" t="str">
            <v>NÃO</v>
          </cell>
          <cell r="S190" t="str">
            <v>https://investepiaui.com/zpe/</v>
          </cell>
          <cell r="BF190" t="str">
            <v>13.031.118/0001-29</v>
          </cell>
          <cell r="BG190" t="str">
            <v>Companhia Administradora da Zona de Processamento de Exportação de Parnaíba-PI S/A</v>
          </cell>
          <cell r="BH190" t="str">
            <v>ZPE PIAUÍ</v>
          </cell>
        </row>
        <row r="191">
          <cell r="E191" t="str">
            <v>79.621.439/0001-91</v>
          </cell>
          <cell r="F191" t="str">
            <v>ATIVA</v>
          </cell>
          <cell r="G191" t="str">
            <v>PORTOS E HIDROVIAS</v>
          </cell>
          <cell r="H191" t="str">
            <v>EMPRESA PÚBLICA</v>
          </cell>
          <cell r="I191" t="str">
            <v>OUTRAS</v>
          </cell>
          <cell r="J191" t="str">
            <v>FECHADO</v>
          </cell>
          <cell r="K191" t="str">
            <v>NÃO</v>
          </cell>
          <cell r="L191" t="str">
            <v>NÃO</v>
          </cell>
          <cell r="M191" t="str">
            <v>NÃO DEPENDENTE</v>
          </cell>
          <cell r="N191">
            <v>526</v>
          </cell>
          <cell r="O191" t="str">
            <v>OK</v>
          </cell>
          <cell r="P191" t="str">
            <v>SIM</v>
          </cell>
          <cell r="Q191" t="str">
            <v>SIM</v>
          </cell>
          <cell r="R191" t="str">
            <v>SIM</v>
          </cell>
          <cell r="S191" t="str">
            <v>https://www.portosdoparana.pr.gov.br/sites/portos/arquivos_restritos/files/documento/2024-04/carta_de_governanca_2023_publicavel.pdf</v>
          </cell>
          <cell r="BF191" t="str">
            <v>79.621.439/0001-91</v>
          </cell>
          <cell r="BG191" t="str">
            <v>Administração dos Portos de Paranaguá e Antonina</v>
          </cell>
          <cell r="BH191" t="str">
            <v>APPA</v>
          </cell>
        </row>
        <row r="192">
          <cell r="E192" t="str">
            <v>75.063.164/0001-67</v>
          </cell>
          <cell r="F192" t="str">
            <v>ATIVA</v>
          </cell>
          <cell r="G192" t="str">
            <v>ABASTECIMENTO DE ALIMENTOS E OUTROS INSUMOS</v>
          </cell>
          <cell r="H192" t="str">
            <v>SOCIEDADE DE ECONOMIA MISTA</v>
          </cell>
          <cell r="I192" t="str">
            <v>OUTRAS</v>
          </cell>
          <cell r="J192" t="str">
            <v>FECHADO</v>
          </cell>
          <cell r="K192" t="str">
            <v>NÃO</v>
          </cell>
          <cell r="L192" t="str">
            <v>NÃO</v>
          </cell>
          <cell r="M192" t="str">
            <v>NÃO DEPENDENTE</v>
          </cell>
          <cell r="N192">
            <v>138</v>
          </cell>
          <cell r="O192" t="str">
            <v>OK</v>
          </cell>
          <cell r="P192" t="str">
            <v>SIM</v>
          </cell>
          <cell r="Q192" t="str">
            <v>SIM</v>
          </cell>
          <cell r="R192" t="str">
            <v>NÃO</v>
          </cell>
          <cell r="S192" t="str">
            <v>https://www.ceasa.pr.gov.br/Pagina/Governanca-Corporativa</v>
          </cell>
          <cell r="BF192" t="str">
            <v>75.063.164/0001-67</v>
          </cell>
          <cell r="BG192" t="str">
            <v>Centrais de Abastecimento do Paraná S/A</v>
          </cell>
          <cell r="BH192" t="str">
            <v>CEASA PR</v>
          </cell>
        </row>
        <row r="193">
          <cell r="E193" t="str">
            <v>76.545.011/0001-19</v>
          </cell>
          <cell r="F193" t="str">
            <v>ATIVA</v>
          </cell>
          <cell r="G193" t="str">
            <v>INFORMÁTICA E TECNOLOGIA DA INFORMAÇÃO</v>
          </cell>
          <cell r="H193" t="str">
            <v>SOCIEDADE DE ECONOMIA MISTA</v>
          </cell>
          <cell r="I193" t="str">
            <v>S.A.</v>
          </cell>
          <cell r="J193" t="str">
            <v>FECHADO</v>
          </cell>
          <cell r="K193" t="str">
            <v>NÃO</v>
          </cell>
          <cell r="L193" t="str">
            <v>NÃO</v>
          </cell>
          <cell r="M193" t="str">
            <v>NÃO DEPENDENTE</v>
          </cell>
          <cell r="N193">
            <v>1220</v>
          </cell>
          <cell r="O193" t="str">
            <v>OK</v>
          </cell>
          <cell r="P193" t="str">
            <v>SIM</v>
          </cell>
          <cell r="Q193" t="str">
            <v>SIM</v>
          </cell>
          <cell r="R193" t="str">
            <v>SIM</v>
          </cell>
          <cell r="S193" t="str">
            <v>https://www.celepar.pr.gov.br/sites/celepar/arquivos_restritos/files/documento/2024-04/cartadegovernancacorporativa2023_4.pdf</v>
          </cell>
          <cell r="BF193" t="str">
            <v>76.545.011/0001-19</v>
          </cell>
          <cell r="BG193" t="str">
            <v>Companhia de Tecnologia da Informação e Comunicação do Paraná</v>
          </cell>
          <cell r="BH193" t="str">
            <v>CELEPAR</v>
          </cell>
        </row>
        <row r="194">
          <cell r="E194" t="str">
            <v>76.592.807/0001-22</v>
          </cell>
          <cell r="F194" t="str">
            <v>ATIVA</v>
          </cell>
          <cell r="G194" t="str">
            <v>HABITAÇÃO E URBANIZAÇÃO</v>
          </cell>
          <cell r="H194" t="str">
            <v>SOCIEDADE DE ECONOMIA MISTA</v>
          </cell>
          <cell r="I194" t="str">
            <v>S.A.</v>
          </cell>
          <cell r="J194" t="str">
            <v>FECHADO</v>
          </cell>
          <cell r="K194" t="str">
            <v>NÃO</v>
          </cell>
          <cell r="L194" t="str">
            <v>NÃO</v>
          </cell>
          <cell r="M194" t="str">
            <v>DEPENDENTE</v>
          </cell>
          <cell r="N194">
            <v>425</v>
          </cell>
          <cell r="O194" t="str">
            <v>OK</v>
          </cell>
          <cell r="P194" t="str">
            <v>SIM</v>
          </cell>
          <cell r="Q194" t="str">
            <v>SIM</v>
          </cell>
          <cell r="R194" t="str">
            <v>NÃO</v>
          </cell>
          <cell r="S194" t="str">
            <v>https://www.cohapar.pr.gov.br/</v>
          </cell>
          <cell r="BF194" t="str">
            <v>76.592.807/0001-22</v>
          </cell>
          <cell r="BG194" t="str">
            <v>Companhia de Habitação do Paraná</v>
          </cell>
          <cell r="BH194" t="str">
            <v>COHAPAR</v>
          </cell>
        </row>
        <row r="195">
          <cell r="E195" t="str">
            <v>80.544.042/0001-22</v>
          </cell>
          <cell r="F195" t="str">
            <v>ATIVA</v>
          </cell>
          <cell r="G195" t="str">
            <v>OUTROS</v>
          </cell>
          <cell r="H195" t="str">
            <v>SOCIEDADE DE ECONOMIA MISTA</v>
          </cell>
          <cell r="I195" t="str">
            <v>S.A.</v>
          </cell>
          <cell r="J195" t="str">
            <v>FECHADO</v>
          </cell>
          <cell r="K195" t="str">
            <v>NÃO</v>
          </cell>
          <cell r="L195" t="str">
            <v>NÃO</v>
          </cell>
          <cell r="M195" t="str">
            <v>NÃO DEPENDENTE</v>
          </cell>
          <cell r="N195">
            <v>132</v>
          </cell>
          <cell r="O195" t="str">
            <v>OK</v>
          </cell>
          <cell r="P195" t="str">
            <v>SIM</v>
          </cell>
          <cell r="Q195" t="str">
            <v>SIM</v>
          </cell>
          <cell r="R195" t="str">
            <v>NÃO</v>
          </cell>
          <cell r="S195" t="str">
            <v>https://www.ferroeste.pr.gov.br/</v>
          </cell>
          <cell r="BF195" t="str">
            <v>80.544.042/0001-22</v>
          </cell>
          <cell r="BG195" t="str">
            <v>Estrada de Ferro Paraná Oeste S/A</v>
          </cell>
          <cell r="BH195" t="str">
            <v>FERROESTE</v>
          </cell>
        </row>
        <row r="196">
          <cell r="E196" t="str">
            <v>03.584.906/0001-99</v>
          </cell>
          <cell r="F196" t="str">
            <v>ATIVA</v>
          </cell>
          <cell r="G196" t="str">
            <v>FINANCEIRO</v>
          </cell>
          <cell r="H196" t="str">
            <v>SOCIEDADE DE ECONOMIA MISTA</v>
          </cell>
          <cell r="I196" t="str">
            <v>S.A.</v>
          </cell>
          <cell r="J196" t="str">
            <v>FECHADO</v>
          </cell>
          <cell r="K196" t="str">
            <v>NÃO</v>
          </cell>
          <cell r="L196" t="str">
            <v>NÃO</v>
          </cell>
          <cell r="M196" t="str">
            <v>NÃO DEPENDENTE</v>
          </cell>
          <cell r="N196">
            <v>160</v>
          </cell>
          <cell r="O196" t="str">
            <v>OK</v>
          </cell>
          <cell r="P196" t="str">
            <v>SIM</v>
          </cell>
          <cell r="Q196" t="str">
            <v>SIM</v>
          </cell>
          <cell r="R196" t="str">
            <v>SIM</v>
          </cell>
          <cell r="S196" t="str">
            <v>https://www.fomento.pr.gov.br/Pagina/GOVERNANCA-CORPORATIVA</v>
          </cell>
          <cell r="BF196" t="str">
            <v>03.584.906/0001-99</v>
          </cell>
          <cell r="BG196" t="str">
            <v>Agência de Fomento do Paraná S/A</v>
          </cell>
          <cell r="BH196" t="str">
            <v>FOMENTO PR</v>
          </cell>
        </row>
        <row r="197">
          <cell r="E197" t="str">
            <v>76.484.013/0001-45</v>
          </cell>
          <cell r="F197" t="str">
            <v>ATIVA</v>
          </cell>
          <cell r="G197" t="str">
            <v>SANEAMENTO</v>
          </cell>
          <cell r="H197" t="str">
            <v>SOCIEDADE DE ECONOMIA MISTA</v>
          </cell>
          <cell r="I197" t="str">
            <v>S.A.</v>
          </cell>
          <cell r="J197" t="str">
            <v>ABERTO</v>
          </cell>
          <cell r="K197" t="str">
            <v>SIM</v>
          </cell>
          <cell r="L197" t="str">
            <v>NÃO</v>
          </cell>
          <cell r="M197" t="str">
            <v>NÃO DEPENDENTE</v>
          </cell>
          <cell r="N197">
            <v>6121</v>
          </cell>
          <cell r="O197" t="str">
            <v>OK</v>
          </cell>
          <cell r="P197" t="str">
            <v>SIM</v>
          </cell>
          <cell r="Q197" t="str">
            <v>SIM</v>
          </cell>
          <cell r="R197" t="str">
            <v>SIM</v>
          </cell>
          <cell r="S197" t="str">
            <v>https://ri.sanepar.com.br/governanca-corporativa/praticas-de-governanca-corporativa/2023</v>
          </cell>
          <cell r="BF197" t="str">
            <v>76.484.013/0001-45</v>
          </cell>
          <cell r="BG197" t="str">
            <v>Companhia de Saneamento do Estado do Paraná</v>
          </cell>
          <cell r="BH197" t="str">
            <v>SANEPAR</v>
          </cell>
        </row>
        <row r="198">
          <cell r="E198" t="str">
            <v>77.964.393/0001-88</v>
          </cell>
          <cell r="F198" t="str">
            <v>ATIVA</v>
          </cell>
          <cell r="G198" t="str">
            <v>INFORMÁTICA E TECNOLOGIA DA INFORMAÇÃO</v>
          </cell>
          <cell r="H198" t="str">
            <v>EMPRESA PÚBLICA</v>
          </cell>
          <cell r="I198" t="str">
            <v>OUTRAS</v>
          </cell>
          <cell r="J198" t="str">
            <v>FECHADO</v>
          </cell>
          <cell r="K198" t="str">
            <v>NÃO</v>
          </cell>
          <cell r="L198" t="str">
            <v>NÃO</v>
          </cell>
          <cell r="M198" t="str">
            <v>DEPENDENTE</v>
          </cell>
          <cell r="N198">
            <v>458</v>
          </cell>
          <cell r="O198" t="str">
            <v>OK</v>
          </cell>
          <cell r="P198" t="str">
            <v>SIM</v>
          </cell>
          <cell r="Q198" t="str">
            <v>SIM</v>
          </cell>
          <cell r="R198" t="str">
            <v>SIM</v>
          </cell>
          <cell r="S198" t="str">
            <v>https://www.tecpar.br/Pagina/Governanca-Corporativa</v>
          </cell>
          <cell r="BF198" t="str">
            <v>77.964.393/0001-88</v>
          </cell>
          <cell r="BG198" t="str">
            <v>Instituto de Tecnologia do Paraná</v>
          </cell>
          <cell r="BH198" t="str">
            <v>TECPAR</v>
          </cell>
        </row>
        <row r="199">
          <cell r="E199" t="str">
            <v>05.940.203/0001-81</v>
          </cell>
          <cell r="F199" t="str">
            <v>ATIVA</v>
          </cell>
          <cell r="G199" t="str">
            <v>FINANCEIRO</v>
          </cell>
          <cell r="H199" t="str">
            <v>SOCIEDADE DE ECONOMIA MISTA</v>
          </cell>
          <cell r="I199" t="str">
            <v>S.A.</v>
          </cell>
          <cell r="J199" t="str">
            <v>FECHADO</v>
          </cell>
          <cell r="K199" t="str">
            <v>NÃO</v>
          </cell>
          <cell r="L199" t="str">
            <v>NÃO</v>
          </cell>
          <cell r="M199" t="str">
            <v>NÃO DEPENDENTE</v>
          </cell>
          <cell r="N199">
            <v>167</v>
          </cell>
          <cell r="O199" t="str">
            <v>OK</v>
          </cell>
          <cell r="P199" t="str">
            <v>SIM</v>
          </cell>
          <cell r="Q199" t="str">
            <v>SIM</v>
          </cell>
          <cell r="R199" t="str">
            <v>SIM</v>
          </cell>
          <cell r="S199" t="str">
            <v>https://www.agerio.com.br/institucional/governanca-corporativa/</v>
          </cell>
          <cell r="BF199" t="str">
            <v>05.940.203/0001-81</v>
          </cell>
          <cell r="BG199" t="str">
            <v>Agência de Fomento do Estado do RJ</v>
          </cell>
          <cell r="BH199" t="str">
            <v>AGERIO</v>
          </cell>
        </row>
        <row r="200">
          <cell r="E200" t="str">
            <v>30.133.060/0001-43</v>
          </cell>
          <cell r="F200" t="str">
            <v>EM LIQUIDAÇÃO</v>
          </cell>
          <cell r="G200" t="str">
            <v>FINANCEIRO</v>
          </cell>
          <cell r="H200" t="str">
            <v>SOCIEDADE DE ECONOMIA MISTA</v>
          </cell>
          <cell r="I200" t="str">
            <v>S.A.</v>
          </cell>
          <cell r="J200" t="str">
            <v>FECHADO</v>
          </cell>
          <cell r="K200" t="str">
            <v>NÃO</v>
          </cell>
          <cell r="L200" t="str">
            <v>NÃO</v>
          </cell>
          <cell r="M200" t="str">
            <v>NÃO DEPENDENTE</v>
          </cell>
          <cell r="N200">
            <v>3</v>
          </cell>
          <cell r="O200" t="str">
            <v>OK</v>
          </cell>
          <cell r="P200" t="str">
            <v>NÃO</v>
          </cell>
          <cell r="Q200" t="str">
            <v>NÃO</v>
          </cell>
          <cell r="R200" t="str">
            <v>NÃO</v>
          </cell>
          <cell r="S200" t="str">
            <v>Site não disponível</v>
          </cell>
          <cell r="BF200" t="str">
            <v>30.133.060/0001-43</v>
          </cell>
          <cell r="BG200" t="str">
            <v>Banco de Desenvolvimento do Estado do RJ S/A - Em Liquidação</v>
          </cell>
          <cell r="BH200" t="str">
            <v>BDRIO</v>
          </cell>
        </row>
        <row r="201">
          <cell r="E201" t="str">
            <v>33.135.641/0001-02</v>
          </cell>
          <cell r="F201" t="str">
            <v>ATIVA</v>
          </cell>
          <cell r="G201" t="str">
            <v>ABASTECIMENTO DE ALIMENTOS E OUTROS INSUMOS</v>
          </cell>
          <cell r="H201" t="str">
            <v>SOCIEDADE DE ECONOMIA MISTA</v>
          </cell>
          <cell r="I201" t="str">
            <v>OUTRAS</v>
          </cell>
          <cell r="J201" t="str">
            <v>FECHADO</v>
          </cell>
          <cell r="K201" t="str">
            <v>NÃO</v>
          </cell>
          <cell r="L201" t="str">
            <v>NÃO</v>
          </cell>
          <cell r="M201" t="str">
            <v>DEPENDENTE</v>
          </cell>
          <cell r="N201">
            <v>52</v>
          </cell>
          <cell r="O201" t="str">
            <v>OK</v>
          </cell>
          <cell r="P201" t="str">
            <v>SIM</v>
          </cell>
          <cell r="Q201" t="str">
            <v>SIM</v>
          </cell>
          <cell r="R201" t="str">
            <v>NÃO</v>
          </cell>
          <cell r="S201" t="str">
            <v>Site não disponível</v>
          </cell>
          <cell r="BF201" t="str">
            <v>33.135.641/0001-02</v>
          </cell>
          <cell r="BG201" t="str">
            <v>Companhia de Armazéns e Silos do Estado do Rio de Janeiro</v>
          </cell>
          <cell r="BH201" t="str">
            <v>CASERJ</v>
          </cell>
        </row>
        <row r="202">
          <cell r="E202" t="str">
            <v>34.105.205/0001-53</v>
          </cell>
          <cell r="F202" t="str">
            <v>ATIVA</v>
          </cell>
          <cell r="G202" t="str">
            <v>ABASTECIMENTO DE ALIMENTOS E OUTROS INSUMOS</v>
          </cell>
          <cell r="H202" t="str">
            <v>SOCIEDADE DE ECONOMIA MISTA</v>
          </cell>
          <cell r="I202" t="str">
            <v>OUTRAS</v>
          </cell>
          <cell r="J202" t="str">
            <v>FECHADO</v>
          </cell>
          <cell r="K202" t="str">
            <v>NÃO</v>
          </cell>
          <cell r="L202" t="str">
            <v>NÃO</v>
          </cell>
          <cell r="M202" t="str">
            <v>DEPENDENTE</v>
          </cell>
          <cell r="N202">
            <v>247</v>
          </cell>
          <cell r="O202" t="str">
            <v>OK</v>
          </cell>
          <cell r="P202" t="str">
            <v>SIM</v>
          </cell>
          <cell r="Q202" t="str">
            <v>SIM</v>
          </cell>
          <cell r="R202" t="str">
            <v>NÃO</v>
          </cell>
          <cell r="S202" t="str">
            <v>Site não disponível</v>
          </cell>
          <cell r="BF202" t="str">
            <v>34.105.205/0001-53</v>
          </cell>
          <cell r="BG202" t="str">
            <v>Centrais de Abastecimento do Estado do Rio de Janeiro S/A</v>
          </cell>
          <cell r="BH202" t="str">
            <v>CEASA RJ</v>
          </cell>
        </row>
        <row r="203">
          <cell r="E203" t="str">
            <v>33.352.394/0001-04</v>
          </cell>
          <cell r="F203" t="str">
            <v>ATIVA</v>
          </cell>
          <cell r="G203" t="str">
            <v>SANEAMENTO</v>
          </cell>
          <cell r="H203" t="str">
            <v>SOCIEDADE DE ECONOMIA MISTA</v>
          </cell>
          <cell r="I203" t="str">
            <v>S.A.</v>
          </cell>
          <cell r="J203" t="str">
            <v>ABERTO</v>
          </cell>
          <cell r="K203" t="str">
            <v>NÃO</v>
          </cell>
          <cell r="L203" t="str">
            <v>NÃO</v>
          </cell>
          <cell r="M203" t="str">
            <v>NÃO DEPENDENTE</v>
          </cell>
          <cell r="N203">
            <v>3061</v>
          </cell>
          <cell r="O203" t="str">
            <v>OK</v>
          </cell>
          <cell r="P203" t="str">
            <v>SIM</v>
          </cell>
          <cell r="Q203" t="str">
            <v>SIM</v>
          </cell>
          <cell r="R203" t="str">
            <v>SIM</v>
          </cell>
          <cell r="S203" t="str">
            <v>https://cedae.com.br/governancacorporativa</v>
          </cell>
          <cell r="BF203" t="str">
            <v>33.352.394/0001-04</v>
          </cell>
          <cell r="BG203" t="str">
            <v>Companhia Estadual de Águas e Esgotos</v>
          </cell>
          <cell r="BH203" t="str">
            <v>CEDAE</v>
          </cell>
        </row>
        <row r="204">
          <cell r="E204" t="str">
            <v>33.525.221/0001-32</v>
          </cell>
          <cell r="F204" t="str">
            <v>ATIVA</v>
          </cell>
          <cell r="G204" t="str">
            <v>HABITAÇÃO E URBANIZAÇÃO</v>
          </cell>
          <cell r="H204" t="str">
            <v>SOCIEDADE DE ECONOMIA MISTA</v>
          </cell>
          <cell r="I204" t="str">
            <v>S.A.</v>
          </cell>
          <cell r="J204" t="str">
            <v>FECHADO</v>
          </cell>
          <cell r="K204" t="str">
            <v>NÃO</v>
          </cell>
          <cell r="L204" t="str">
            <v>SIM</v>
          </cell>
          <cell r="M204" t="str">
            <v>DEPENDENTE</v>
          </cell>
          <cell r="N204">
            <v>334</v>
          </cell>
          <cell r="O204" t="str">
            <v>OK</v>
          </cell>
          <cell r="P204" t="str">
            <v>SIM</v>
          </cell>
          <cell r="Q204" t="str">
            <v>SIM</v>
          </cell>
          <cell r="R204" t="str">
            <v>NÃO</v>
          </cell>
          <cell r="S204" t="str">
            <v>https://www.rj.gov.br/cehab/</v>
          </cell>
          <cell r="BF204" t="str">
            <v>33.525.221/0001-32</v>
          </cell>
          <cell r="BG204" t="str">
            <v>Companhia Estadual de Habitação do Rio de Janeiro</v>
          </cell>
          <cell r="BH204" t="str">
            <v>CEHAB RJ</v>
          </cell>
        </row>
        <row r="205">
          <cell r="E205" t="str">
            <v>30.066.658/0001-67</v>
          </cell>
          <cell r="F205" t="str">
            <v>EM LIQUIDAÇÃO</v>
          </cell>
          <cell r="G205" t="str">
            <v>ENERGIA</v>
          </cell>
          <cell r="H205" t="str">
            <v>SOCIEDADE DE ECONOMIA MISTA</v>
          </cell>
          <cell r="I205" t="str">
            <v>S.A.</v>
          </cell>
          <cell r="J205" t="str">
            <v>FECHADO</v>
          </cell>
          <cell r="K205" t="str">
            <v>NÃO</v>
          </cell>
          <cell r="L205" t="str">
            <v>NÃO</v>
          </cell>
          <cell r="M205" t="str">
            <v>NÃO DEPENDENTE</v>
          </cell>
          <cell r="N205">
            <v>0</v>
          </cell>
          <cell r="O205" t="str">
            <v>OK</v>
          </cell>
          <cell r="P205" t="str">
            <v>NÃO</v>
          </cell>
          <cell r="Q205" t="str">
            <v>NÃO</v>
          </cell>
          <cell r="R205" t="str">
            <v>NÃO</v>
          </cell>
          <cell r="S205" t="str">
            <v>Site não disponível</v>
          </cell>
          <cell r="BF205" t="str">
            <v>30.066.658/0001-67</v>
          </cell>
          <cell r="BG205" t="str">
            <v>Centrais Elétricas Fluminenses S/A</v>
          </cell>
          <cell r="BH205" t="str">
            <v>CELF</v>
          </cell>
        </row>
        <row r="206">
          <cell r="E206" t="str">
            <v>04.585.463/0001-13</v>
          </cell>
          <cell r="F206" t="str">
            <v>ATIVA</v>
          </cell>
          <cell r="G206" t="str">
            <v>TRANSPORTE</v>
          </cell>
          <cell r="H206" t="str">
            <v>EMPRESA PÚBLICA</v>
          </cell>
          <cell r="I206" t="str">
            <v>S.A.</v>
          </cell>
          <cell r="J206" t="str">
            <v>FECHADO</v>
          </cell>
          <cell r="K206" t="str">
            <v>NÃO</v>
          </cell>
          <cell r="L206" t="str">
            <v>NÃO</v>
          </cell>
          <cell r="M206" t="str">
            <v>DEPENDENTE</v>
          </cell>
          <cell r="N206">
            <v>424</v>
          </cell>
          <cell r="O206" t="str">
            <v>OK</v>
          </cell>
          <cell r="P206" t="str">
            <v>SIM</v>
          </cell>
          <cell r="Q206" t="str">
            <v>SIM</v>
          </cell>
          <cell r="R206" t="str">
            <v>SIM</v>
          </cell>
          <cell r="S206" t="str">
            <v>https://www.rj.gov.br/central/node/705</v>
          </cell>
          <cell r="BF206" t="str">
            <v>04.585.463/0001-13</v>
          </cell>
          <cell r="BG206" t="str">
            <v>Companhia Estadual de Engenharia de Transportes e Logística</v>
          </cell>
          <cell r="BH206" t="str">
            <v>CENTRAL</v>
          </cell>
        </row>
        <row r="207">
          <cell r="E207" t="str">
            <v>23.592.981/0001-09</v>
          </cell>
          <cell r="F207" t="str">
            <v>EM LIQUIDAÇÃO</v>
          </cell>
          <cell r="G207" t="str">
            <v>FINANCEIRO</v>
          </cell>
          <cell r="H207" t="str">
            <v>SOCIEDADE DE ECONOMIA MISTA</v>
          </cell>
          <cell r="I207" t="str">
            <v>S.A.</v>
          </cell>
          <cell r="J207" t="str">
            <v>FECHADO</v>
          </cell>
          <cell r="K207" t="str">
            <v>NÃO</v>
          </cell>
          <cell r="L207" t="str">
            <v>NÃO</v>
          </cell>
          <cell r="M207" t="str">
            <v>NÃO DEPENDENTE</v>
          </cell>
          <cell r="N207">
            <v>0</v>
          </cell>
          <cell r="O207" t="str">
            <v>OK</v>
          </cell>
          <cell r="P207" t="str">
            <v>NÃO</v>
          </cell>
          <cell r="Q207" t="str">
            <v>NÃO</v>
          </cell>
          <cell r="R207" t="str">
            <v>NÃO</v>
          </cell>
          <cell r="S207" t="str">
            <v>Site não disponível</v>
          </cell>
          <cell r="BF207" t="str">
            <v>23.592.981/0001-09</v>
          </cell>
          <cell r="BG207" t="str">
            <v>Companhia Fluminense de Securitização S/A - Em Liquidação Ordinária</v>
          </cell>
          <cell r="BH207" t="str">
            <v>CFSEC</v>
          </cell>
        </row>
        <row r="208">
          <cell r="E208" t="str">
            <v>42.467.191/0001-46</v>
          </cell>
          <cell r="F208" t="str">
            <v>ATIVA</v>
          </cell>
          <cell r="G208" t="str">
            <v>TRANSPORTE</v>
          </cell>
          <cell r="H208" t="str">
            <v>SOCIEDADE DE ECONOMIA MISTA</v>
          </cell>
          <cell r="I208" t="str">
            <v>OUTRAS</v>
          </cell>
          <cell r="J208" t="str">
            <v>FECHADO</v>
          </cell>
          <cell r="K208" t="str">
            <v>NÃO</v>
          </cell>
          <cell r="L208" t="str">
            <v>NÃO</v>
          </cell>
          <cell r="M208" t="str">
            <v>DEPENDENTE</v>
          </cell>
          <cell r="N208">
            <v>133</v>
          </cell>
          <cell r="O208" t="str">
            <v>OK</v>
          </cell>
          <cell r="P208" t="str">
            <v>SIM</v>
          </cell>
          <cell r="Q208" t="str">
            <v>SIM</v>
          </cell>
          <cell r="R208" t="str">
            <v>NÃO</v>
          </cell>
          <cell r="S208" t="str">
            <v>https://www.rj.gov.br/coderte/</v>
          </cell>
          <cell r="BF208" t="str">
            <v>42.467.191/0001-46</v>
          </cell>
          <cell r="BG208" t="str">
            <v>Companhia de Desenvolvimento Rodoviário e Terminais do Estado do Rio de Janeiro</v>
          </cell>
          <cell r="BH208" t="str">
            <v>CODERTE</v>
          </cell>
        </row>
        <row r="209">
          <cell r="E209" t="str">
            <v>30.124.754/0001-14</v>
          </cell>
          <cell r="F209" t="str">
            <v>ATIVA</v>
          </cell>
          <cell r="G209" t="str">
            <v>DESENVOLVIMENTO REGIONAL</v>
          </cell>
          <cell r="H209" t="str">
            <v>SOCIEDADE DE ECONOMIA MISTA</v>
          </cell>
          <cell r="I209" t="str">
            <v>S.A.</v>
          </cell>
          <cell r="J209" t="str">
            <v>FECHADO</v>
          </cell>
          <cell r="K209" t="str">
            <v>NÃO</v>
          </cell>
          <cell r="L209" t="str">
            <v>NÃO</v>
          </cell>
          <cell r="M209" t="str">
            <v>DEPENDENTE</v>
          </cell>
          <cell r="N209">
            <v>84</v>
          </cell>
          <cell r="O209" t="str">
            <v>OK</v>
          </cell>
          <cell r="P209" t="str">
            <v>SIM</v>
          </cell>
          <cell r="Q209" t="str">
            <v>SIM</v>
          </cell>
          <cell r="R209" t="str">
            <v>SIM</v>
          </cell>
          <cell r="S209" t="str">
            <v>https://www.codin.rj.gov.br/_files/ugd/c74752_057e39a3af2345ba875bbdd5a9389a38.pdf?index=true</v>
          </cell>
          <cell r="BF209" t="str">
            <v>30.124.754/0001-14</v>
          </cell>
          <cell r="BG209" t="str">
            <v>Companhia de Desenvolvimento Industrial do Estado do Rio de Janeiro</v>
          </cell>
          <cell r="BH209" t="str">
            <v>CODIN</v>
          </cell>
        </row>
        <row r="210">
          <cell r="E210" t="str">
            <v>33.009.663/0001-26</v>
          </cell>
          <cell r="F210" t="str">
            <v>EM LIQUIDAÇÃO</v>
          </cell>
          <cell r="G210" t="str">
            <v>TRANSPORTE</v>
          </cell>
          <cell r="H210" t="str">
            <v>SOCIEDADE DE ECONOMIA MISTA</v>
          </cell>
          <cell r="I210" t="str">
            <v>S.A.</v>
          </cell>
          <cell r="J210" t="str">
            <v>FECHADO</v>
          </cell>
          <cell r="K210" t="str">
            <v>NÃO</v>
          </cell>
          <cell r="L210" t="str">
            <v>NÃO</v>
          </cell>
          <cell r="M210" t="str">
            <v>DEPENDENTE</v>
          </cell>
          <cell r="N210">
            <v>4</v>
          </cell>
          <cell r="O210" t="str">
            <v>OK</v>
          </cell>
          <cell r="P210" t="str">
            <v>NÃO</v>
          </cell>
          <cell r="Q210" t="str">
            <v>NÃO</v>
          </cell>
          <cell r="R210" t="str">
            <v>NÃO</v>
          </cell>
          <cell r="S210" t="str">
            <v>Site não disponível</v>
          </cell>
          <cell r="BF210" t="str">
            <v>33.009.663/0001-26</v>
          </cell>
          <cell r="BG210" t="str">
            <v>Companhia de Transportes Coletivos do Estado do Rio de Janeiro - Em Liquidação</v>
          </cell>
          <cell r="BH210" t="str">
            <v>CTC</v>
          </cell>
        </row>
        <row r="211">
          <cell r="E211" t="str">
            <v>30.123.509/0001-92</v>
          </cell>
          <cell r="F211" t="str">
            <v>EM LIQUIDAÇÃO</v>
          </cell>
          <cell r="G211" t="str">
            <v>FINANCEIRO</v>
          </cell>
          <cell r="H211" t="str">
            <v>SOCIEDADE DE ECONOMIA MISTA</v>
          </cell>
          <cell r="I211" t="str">
            <v>S.A.</v>
          </cell>
          <cell r="J211" t="str">
            <v>FECHADO</v>
          </cell>
          <cell r="K211" t="str">
            <v>NÃO</v>
          </cell>
          <cell r="L211" t="str">
            <v>NÃO</v>
          </cell>
          <cell r="M211" t="str">
            <v>NÃO DEPENDENTE</v>
          </cell>
          <cell r="N211">
            <v>0</v>
          </cell>
          <cell r="O211" t="str">
            <v>OK</v>
          </cell>
          <cell r="P211" t="str">
            <v>NÃO</v>
          </cell>
          <cell r="Q211" t="str">
            <v>NÃO</v>
          </cell>
          <cell r="R211" t="str">
            <v>NÃO</v>
          </cell>
          <cell r="S211" t="str">
            <v>Site não disponível</v>
          </cell>
          <cell r="BF211" t="str">
            <v>30.123.509/0001-92</v>
          </cell>
          <cell r="BG211" t="str">
            <v>Distribuidora de Títulos e Valores Mobiliários do Estado do RJ S/A</v>
          </cell>
          <cell r="BH211" t="str">
            <v>DIVERJ</v>
          </cell>
        </row>
        <row r="212">
          <cell r="E212" t="str">
            <v>29.223.492/0001-66</v>
          </cell>
          <cell r="F212" t="str">
            <v>ATIVA</v>
          </cell>
          <cell r="G212" t="str">
            <v>PESQUISA E ASSISTÊNCIA TÉCNICA AGROPECUÁRIA</v>
          </cell>
          <cell r="H212" t="str">
            <v>EMPRESA PÚBLICA</v>
          </cell>
          <cell r="I212" t="str">
            <v>S.A.</v>
          </cell>
          <cell r="J212" t="str">
            <v>FECHADO</v>
          </cell>
          <cell r="K212" t="str">
            <v>NÃO</v>
          </cell>
          <cell r="L212" t="str">
            <v>NÃO</v>
          </cell>
          <cell r="M212" t="str">
            <v>DEPENDENTE</v>
          </cell>
          <cell r="N212">
            <v>573</v>
          </cell>
          <cell r="O212" t="str">
            <v>OK</v>
          </cell>
          <cell r="P212" t="str">
            <v>SIM</v>
          </cell>
          <cell r="Q212" t="str">
            <v>SIM</v>
          </cell>
          <cell r="R212" t="str">
            <v>NÃO</v>
          </cell>
          <cell r="S212" t="str">
            <v>https://www.rj.gov.br/emater/</v>
          </cell>
          <cell r="BF212" t="str">
            <v>29.223.492/0001-66</v>
          </cell>
          <cell r="BG212" t="str">
            <v>Empresa de Assistência Técnica e Extensão Rural do Estado do Rio de Janeiro</v>
          </cell>
          <cell r="BH212" t="str">
            <v>EMATER-RIO</v>
          </cell>
        </row>
        <row r="213">
          <cell r="E213" t="str">
            <v>42.411.249/0001-30</v>
          </cell>
          <cell r="F213" t="str">
            <v>ATIVA</v>
          </cell>
          <cell r="G213" t="str">
            <v>HABITAÇÃO E URBANIZAÇÃO</v>
          </cell>
          <cell r="H213" t="str">
            <v>EMPRESA PÚBLICA</v>
          </cell>
          <cell r="I213" t="str">
            <v>S.A.</v>
          </cell>
          <cell r="J213" t="str">
            <v>FECHADO</v>
          </cell>
          <cell r="K213" t="str">
            <v>NÃO</v>
          </cell>
          <cell r="L213" t="str">
            <v>NÃO</v>
          </cell>
          <cell r="M213" t="str">
            <v>DEPENDENTE</v>
          </cell>
          <cell r="N213">
            <v>4902</v>
          </cell>
          <cell r="O213" t="str">
            <v>OK</v>
          </cell>
          <cell r="P213" t="str">
            <v>SIM</v>
          </cell>
          <cell r="Q213" t="str">
            <v>SIM</v>
          </cell>
          <cell r="R213" t="str">
            <v>NÃO</v>
          </cell>
          <cell r="S213" t="str">
            <v>https://www.emop.rj.gov.br/</v>
          </cell>
          <cell r="BF213" t="str">
            <v>42.411.249/0001-30</v>
          </cell>
          <cell r="BG213" t="str">
            <v>Empresa de Obras Públicas do Estado do Rio de Janeiro</v>
          </cell>
          <cell r="BH213" t="str">
            <v>EMOP</v>
          </cell>
        </row>
        <row r="214">
          <cell r="E214" t="str">
            <v>00.389.526/0001-05</v>
          </cell>
          <cell r="F214" t="str">
            <v>EM LIQUIDAÇÃO</v>
          </cell>
          <cell r="G214" t="str">
            <v>TRANSPORTE</v>
          </cell>
          <cell r="H214" t="str">
            <v>EMPRESA PÚBLICA</v>
          </cell>
          <cell r="I214" t="str">
            <v>S.A.</v>
          </cell>
          <cell r="J214" t="str">
            <v>FECHADO</v>
          </cell>
          <cell r="K214" t="str">
            <v>NÃO</v>
          </cell>
          <cell r="L214" t="str">
            <v>NÃO</v>
          </cell>
          <cell r="M214" t="str">
            <v>DEPENDENTE</v>
          </cell>
          <cell r="N214">
            <v>5</v>
          </cell>
          <cell r="O214" t="str">
            <v>OK</v>
          </cell>
          <cell r="P214" t="str">
            <v>NÃO</v>
          </cell>
          <cell r="Q214" t="str">
            <v>NÃO</v>
          </cell>
          <cell r="R214" t="str">
            <v>NÃO</v>
          </cell>
          <cell r="S214" t="str">
            <v>Site não disponível</v>
          </cell>
          <cell r="BF214" t="str">
            <v>00.389.526/0001-05</v>
          </cell>
          <cell r="BG214" t="str">
            <v>Companhia Fluminense de Trens Urbanos</v>
          </cell>
          <cell r="BH214" t="str">
            <v>FLUMITRENS</v>
          </cell>
        </row>
        <row r="215">
          <cell r="E215" t="str">
            <v>28.542.017/0001-90</v>
          </cell>
          <cell r="F215" t="str">
            <v>ATIVA</v>
          </cell>
          <cell r="G215" t="str">
            <v>COMUNICAÇÃO</v>
          </cell>
          <cell r="H215" t="str">
            <v>EMPRESA PÚBLICA</v>
          </cell>
          <cell r="I215" t="str">
            <v>OUTRAS</v>
          </cell>
          <cell r="J215" t="str">
            <v>FECHADO</v>
          </cell>
          <cell r="K215" t="str">
            <v>NÃO</v>
          </cell>
          <cell r="L215" t="str">
            <v>NÃO</v>
          </cell>
          <cell r="M215" t="str">
            <v>NÃO DEPENDENTE</v>
          </cell>
          <cell r="N215">
            <v>226</v>
          </cell>
          <cell r="O215" t="str">
            <v>OK</v>
          </cell>
          <cell r="P215" t="str">
            <v>SIM</v>
          </cell>
          <cell r="Q215" t="str">
            <v>SIM</v>
          </cell>
          <cell r="R215" t="str">
            <v>SIM</v>
          </cell>
          <cell r="S215" t="str">
            <v>https://portal.ioerj.com.br/</v>
          </cell>
          <cell r="BF215" t="str">
            <v>28.542.017/0001-90</v>
          </cell>
          <cell r="BG215" t="str">
            <v>Imprensa Oficial do Estado do Rio de Janeiro</v>
          </cell>
          <cell r="BH215" t="str">
            <v>IOERJ</v>
          </cell>
        </row>
        <row r="216">
          <cell r="E216" t="str">
            <v>30.064.034/0001-00</v>
          </cell>
          <cell r="F216" t="str">
            <v>ATIVA</v>
          </cell>
          <cell r="G216" t="str">
            <v>SAÚDE</v>
          </cell>
          <cell r="H216" t="str">
            <v>SOCIEDADE DE ECONOMIA MISTA</v>
          </cell>
          <cell r="I216" t="str">
            <v>S.A.</v>
          </cell>
          <cell r="J216" t="str">
            <v>ABERTO</v>
          </cell>
          <cell r="K216" t="str">
            <v>NÃO</v>
          </cell>
          <cell r="L216" t="str">
            <v>NÃO</v>
          </cell>
          <cell r="M216" t="str">
            <v>DEPENDENTE</v>
          </cell>
          <cell r="N216">
            <v>416</v>
          </cell>
          <cell r="O216" t="str">
            <v>OK</v>
          </cell>
          <cell r="P216" t="str">
            <v>SIM</v>
          </cell>
          <cell r="Q216" t="str">
            <v>SIM</v>
          </cell>
          <cell r="R216" t="str">
            <v>SIM</v>
          </cell>
          <cell r="S216" t="str">
            <v>https://www.rj.gov.br/vitalbrazil/</v>
          </cell>
          <cell r="BF216" t="str">
            <v>30.064.034/0001-00</v>
          </cell>
          <cell r="BG216" t="str">
            <v>Instituto Vital Brazil S/A</v>
          </cell>
          <cell r="BH216" t="str">
            <v>IVB</v>
          </cell>
        </row>
        <row r="217">
          <cell r="E217" t="str">
            <v>33.890.294/0001-23</v>
          </cell>
          <cell r="F217" t="str">
            <v>EM LIQUIDAÇÃO</v>
          </cell>
          <cell r="G217" t="str">
            <v>TRANSPORTE</v>
          </cell>
          <cell r="H217" t="str">
            <v>SOCIEDADE DE ECONOMIA MISTA</v>
          </cell>
          <cell r="I217" t="str">
            <v>S.A.</v>
          </cell>
          <cell r="J217" t="str">
            <v>FECHADO</v>
          </cell>
          <cell r="K217" t="str">
            <v>NÃO</v>
          </cell>
          <cell r="L217" t="str">
            <v>NÃO</v>
          </cell>
          <cell r="M217" t="str">
            <v>DEPENDENTE</v>
          </cell>
          <cell r="N217">
            <v>0</v>
          </cell>
          <cell r="O217" t="str">
            <v>OK</v>
          </cell>
          <cell r="P217" t="str">
            <v>NÃO</v>
          </cell>
          <cell r="Q217" t="str">
            <v>NÃO</v>
          </cell>
          <cell r="R217" t="str">
            <v>NÃO</v>
          </cell>
          <cell r="S217" t="str">
            <v>Site não disponível</v>
          </cell>
          <cell r="BF217" t="str">
            <v>33.890.294/0001-23</v>
          </cell>
          <cell r="BG217" t="str">
            <v>Companhia do Metropolitano do Rio de Janeiro</v>
          </cell>
          <cell r="BH217" t="str">
            <v>METRO</v>
          </cell>
        </row>
        <row r="218">
          <cell r="E218" t="str">
            <v>42.516.773/0001-75</v>
          </cell>
          <cell r="F218" t="str">
            <v>ATIVA</v>
          </cell>
          <cell r="G218" t="str">
            <v>PESQUISA E ASSISTÊNCIA TÉCNICA AGROPECUÁRIA</v>
          </cell>
          <cell r="H218" t="str">
            <v>EMPRESA PÚBLICA</v>
          </cell>
          <cell r="I218" t="str">
            <v>S.A.</v>
          </cell>
          <cell r="J218" t="str">
            <v>FECHADO</v>
          </cell>
          <cell r="K218" t="str">
            <v>NÃO</v>
          </cell>
          <cell r="L218" t="str">
            <v>NÃO</v>
          </cell>
          <cell r="M218" t="str">
            <v>DEPENDENTE</v>
          </cell>
          <cell r="N218">
            <v>248</v>
          </cell>
          <cell r="O218" t="str">
            <v>OK</v>
          </cell>
          <cell r="P218" t="str">
            <v>SIM</v>
          </cell>
          <cell r="Q218" t="str">
            <v>SIM</v>
          </cell>
          <cell r="R218" t="str">
            <v>NÃO</v>
          </cell>
          <cell r="S218" t="str">
            <v>https://www.rj.gov.br/pesagro/estatutosocial</v>
          </cell>
          <cell r="BF218" t="str">
            <v>42.516.773/0001-75</v>
          </cell>
          <cell r="BG218" t="str">
            <v>Empresa de Pesquisa Agropecuária do Estado do Rio de Janeiro</v>
          </cell>
          <cell r="BH218" t="str">
            <v>PESAGRO</v>
          </cell>
        </row>
        <row r="219">
          <cell r="E219" t="str">
            <v>04.611.818/0001-00</v>
          </cell>
          <cell r="F219" t="str">
            <v>ATIVA</v>
          </cell>
          <cell r="G219" t="str">
            <v>TRANSPORTE</v>
          </cell>
          <cell r="H219" t="str">
            <v>SOCIEDADE DE ECONOMIA MISTA</v>
          </cell>
          <cell r="I219" t="str">
            <v>S.A.</v>
          </cell>
          <cell r="J219" t="str">
            <v>FECHADO</v>
          </cell>
          <cell r="K219" t="str">
            <v>NÃO</v>
          </cell>
          <cell r="L219" t="str">
            <v>SIM</v>
          </cell>
          <cell r="M219" t="str">
            <v>DEPENDENTE</v>
          </cell>
          <cell r="N219">
            <v>390</v>
          </cell>
          <cell r="O219" t="str">
            <v>OK</v>
          </cell>
          <cell r="P219" t="str">
            <v>SIM</v>
          </cell>
          <cell r="Q219" t="str">
            <v>SIM</v>
          </cell>
          <cell r="R219" t="str">
            <v>SIM</v>
          </cell>
          <cell r="S219" t="str">
            <v>https://www.rj.gov.br/riotrilhos/carta_politica_publica</v>
          </cell>
          <cell r="BF219" t="str">
            <v>04.611.818/0001-00</v>
          </cell>
          <cell r="BG219" t="str">
            <v>Companhia de Transportes Sobre Trilhos do RJ</v>
          </cell>
          <cell r="BH219" t="str">
            <v>RIOTRILHOS</v>
          </cell>
        </row>
        <row r="220">
          <cell r="E220" t="str">
            <v>30.099.147/0001-41</v>
          </cell>
          <cell r="F220" t="str">
            <v>ATIVA</v>
          </cell>
          <cell r="G220" t="str">
            <v>TURISMO</v>
          </cell>
          <cell r="H220" t="str">
            <v>EMPRESA PÚBLICA</v>
          </cell>
          <cell r="I220" t="str">
            <v>OUTRAS</v>
          </cell>
          <cell r="J220" t="str">
            <v>FECHADO</v>
          </cell>
          <cell r="K220" t="str">
            <v>NÃO</v>
          </cell>
          <cell r="L220" t="str">
            <v>NÃO</v>
          </cell>
          <cell r="M220" t="str">
            <v>DEPENDENTE</v>
          </cell>
          <cell r="N220">
            <v>64</v>
          </cell>
          <cell r="O220" t="str">
            <v>OK</v>
          </cell>
          <cell r="P220" t="str">
            <v>SIM</v>
          </cell>
          <cell r="Q220" t="str">
            <v>SIM</v>
          </cell>
          <cell r="R220" t="str">
            <v>NÃO</v>
          </cell>
          <cell r="S220" t="str">
            <v>https://www.turisrio.rj.gov.br/default_institucional.asp</v>
          </cell>
          <cell r="BF220" t="str">
            <v>30.099.147/0001-41</v>
          </cell>
          <cell r="BG220" t="str">
            <v>Companhia de Turismo do Estado do Rio de Janeiro</v>
          </cell>
          <cell r="BH220" t="str">
            <v>TURISRIO</v>
          </cell>
        </row>
        <row r="221">
          <cell r="E221" t="str">
            <v>03.848.103/0001-02</v>
          </cell>
          <cell r="F221" t="str">
            <v>ATIVA</v>
          </cell>
          <cell r="G221" t="str">
            <v>FINANCEIRO</v>
          </cell>
          <cell r="H221" t="str">
            <v>SOCIEDADE DE ECONOMIA MISTA</v>
          </cell>
          <cell r="I221" t="str">
            <v>S.A.</v>
          </cell>
          <cell r="J221" t="str">
            <v>FECHADO</v>
          </cell>
          <cell r="K221" t="str">
            <v>NÃO</v>
          </cell>
          <cell r="L221" t="str">
            <v>NÃO</v>
          </cell>
          <cell r="M221" t="str">
            <v>NÃO DEPENDENTE</v>
          </cell>
          <cell r="N221">
            <v>87</v>
          </cell>
          <cell r="O221" t="str">
            <v>OK</v>
          </cell>
          <cell r="P221" t="str">
            <v>SIM</v>
          </cell>
          <cell r="Q221" t="str">
            <v>SIM</v>
          </cell>
          <cell r="R221" t="str">
            <v>NÃO</v>
          </cell>
          <cell r="S221" t="str">
            <v>https://www.agnrn.com.br/governanca/politicas-e-regulamentos/</v>
          </cell>
          <cell r="BF221" t="str">
            <v>03.848.103/0001-02</v>
          </cell>
          <cell r="BG221" t="str">
            <v>Agência de Fomento do Rio Grande do Norte S/A</v>
          </cell>
          <cell r="BH221" t="str">
            <v>AGN</v>
          </cell>
        </row>
        <row r="222">
          <cell r="E222" t="str">
            <v>08.334.385/0001-35</v>
          </cell>
          <cell r="F222" t="str">
            <v>ATIVA</v>
          </cell>
          <cell r="G222" t="str">
            <v>SANEAMENTO</v>
          </cell>
          <cell r="H222" t="str">
            <v>SOCIEDADE DE ECONOMIA MISTA</v>
          </cell>
          <cell r="I222" t="str">
            <v>S.A.</v>
          </cell>
          <cell r="J222" t="str">
            <v>FECHADO</v>
          </cell>
          <cell r="K222" t="str">
            <v>NÃO</v>
          </cell>
          <cell r="L222" t="str">
            <v>NÃO</v>
          </cell>
          <cell r="M222" t="str">
            <v>NÃO DEPENDENTE</v>
          </cell>
          <cell r="N222">
            <v>2559</v>
          </cell>
          <cell r="O222" t="str">
            <v>OK</v>
          </cell>
          <cell r="P222" t="str">
            <v>SIM</v>
          </cell>
          <cell r="Q222" t="str">
            <v>SIM</v>
          </cell>
          <cell r="R222" t="str">
            <v>SIM</v>
          </cell>
          <cell r="S222" t="str">
            <v>https://www.caern.com.br/</v>
          </cell>
          <cell r="BF222" t="str">
            <v>08.334.385/0001-35</v>
          </cell>
          <cell r="BG222" t="str">
            <v>Companhia de Águas e Esgotos do Rio Grande do Norte</v>
          </cell>
          <cell r="BH222" t="str">
            <v>CAERN</v>
          </cell>
        </row>
        <row r="223">
          <cell r="E223" t="str">
            <v>08.060.899/0001-40</v>
          </cell>
          <cell r="F223" t="str">
            <v>ATIVA</v>
          </cell>
          <cell r="G223" t="str">
            <v>ABASTECIMENTO DE ALIMENTOS E OUTROS INSUMOS</v>
          </cell>
          <cell r="H223" t="str">
            <v>SOCIEDADE DE ECONOMIA MISTA</v>
          </cell>
          <cell r="I223" t="str">
            <v>S.A.</v>
          </cell>
          <cell r="J223" t="str">
            <v>FECHADO</v>
          </cell>
          <cell r="K223" t="str">
            <v>NÃO</v>
          </cell>
          <cell r="L223" t="str">
            <v>NÃO</v>
          </cell>
          <cell r="M223" t="str">
            <v>DEPENDENTE</v>
          </cell>
          <cell r="N223">
            <v>176</v>
          </cell>
          <cell r="O223" t="str">
            <v>OK</v>
          </cell>
          <cell r="P223" t="str">
            <v>SIM</v>
          </cell>
          <cell r="Q223" t="str">
            <v>SIM</v>
          </cell>
          <cell r="R223" t="str">
            <v>NÃO</v>
          </cell>
          <cell r="S223" t="str">
            <v>https://www.ceasa.rn.gov.br/</v>
          </cell>
          <cell r="BF223" t="str">
            <v>08.060.899/0001-40</v>
          </cell>
          <cell r="BG223" t="str">
            <v>Centrais de Abastecimento do Rio Grande do Norte S/A</v>
          </cell>
          <cell r="BH223" t="str">
            <v>CEASA RN</v>
          </cell>
        </row>
        <row r="224">
          <cell r="E224" t="str">
            <v>09.509.294/0001-56</v>
          </cell>
          <cell r="F224" t="str">
            <v>ATIVA</v>
          </cell>
          <cell r="G224" t="str">
            <v>HABITAÇÃO E URBANIZAÇÃO</v>
          </cell>
          <cell r="H224" t="str">
            <v>SOCIEDADE DE ECONOMIA MISTA</v>
          </cell>
          <cell r="I224" t="str">
            <v>OUTRAS</v>
          </cell>
          <cell r="J224" t="str">
            <v>FECHADO</v>
          </cell>
          <cell r="K224" t="str">
            <v>NÃO</v>
          </cell>
          <cell r="L224" t="str">
            <v>NÃO</v>
          </cell>
          <cell r="M224" t="str">
            <v>DEPENDENTE</v>
          </cell>
          <cell r="N224">
            <v>75</v>
          </cell>
          <cell r="O224" t="str">
            <v>OK</v>
          </cell>
          <cell r="P224" t="str">
            <v>SIM</v>
          </cell>
          <cell r="Q224" t="str">
            <v>SIM</v>
          </cell>
          <cell r="R224" t="str">
            <v>NÃO</v>
          </cell>
          <cell r="S224" t="str">
            <v>http://www.cehab.rn.gov.br/Index.asp</v>
          </cell>
          <cell r="BF224" t="str">
            <v>09.509.294/0001-56</v>
          </cell>
          <cell r="BG224" t="str">
            <v>Companhia Estadual de Habitação e Desenvolvimento Urbano</v>
          </cell>
          <cell r="BH224" t="str">
            <v>CEHAB RN</v>
          </cell>
        </row>
        <row r="225">
          <cell r="E225" t="str">
            <v>08.314.874/0001-25</v>
          </cell>
          <cell r="F225" t="str">
            <v>ATIVA</v>
          </cell>
          <cell r="G225" t="str">
            <v>INFORMÁTICA E TECNOLOGIA DA INFORMAÇÃO</v>
          </cell>
          <cell r="H225" t="str">
            <v>SOCIEDADE DE ECONOMIA MISTA</v>
          </cell>
          <cell r="I225" t="str">
            <v>S.A.</v>
          </cell>
          <cell r="J225" t="str">
            <v>FECHADO</v>
          </cell>
          <cell r="K225" t="str">
            <v>NÃO</v>
          </cell>
          <cell r="L225" t="str">
            <v>NÃO</v>
          </cell>
          <cell r="M225" t="str">
            <v>DEPENDENTE</v>
          </cell>
          <cell r="N225">
            <v>54</v>
          </cell>
          <cell r="O225" t="str">
            <v>OK</v>
          </cell>
          <cell r="P225" t="str">
            <v>SIM</v>
          </cell>
          <cell r="Q225" t="str">
            <v>SIM</v>
          </cell>
          <cell r="R225" t="str">
            <v>NÃO</v>
          </cell>
          <cell r="S225" t="str">
            <v>http://www.datanorte.rn.gov.br/Conteudo.asp?TRAN=ITEM&amp;TARG=334261&amp;ACT=&amp;PAGE=0&amp;PARM=&amp;LBL=Transpar%EAncia</v>
          </cell>
          <cell r="BF225" t="str">
            <v>08.314.874/0001-25</v>
          </cell>
          <cell r="BG225" t="str">
            <v>Companhia de Processamento de Dados do RN</v>
          </cell>
          <cell r="BH225" t="str">
            <v>DATANORTE</v>
          </cell>
        </row>
        <row r="226">
          <cell r="E226" t="str">
            <v>10.552.514/0001-03</v>
          </cell>
          <cell r="F226" t="str">
            <v>ATIVA</v>
          </cell>
          <cell r="G226" t="str">
            <v>GESTÃO DE ATIVOS</v>
          </cell>
          <cell r="H226" t="str">
            <v>EMPRESA PÚBLICA</v>
          </cell>
          <cell r="I226" t="str">
            <v>OUTRAS</v>
          </cell>
          <cell r="J226" t="str">
            <v>FECHADO</v>
          </cell>
          <cell r="K226" t="str">
            <v>NÃO</v>
          </cell>
          <cell r="L226" t="str">
            <v>NÃO</v>
          </cell>
          <cell r="M226" t="str">
            <v>NÃO DEPENDENTE</v>
          </cell>
          <cell r="N226">
            <v>28</v>
          </cell>
          <cell r="O226" t="str">
            <v>OK</v>
          </cell>
          <cell r="P226" t="str">
            <v>SIM</v>
          </cell>
          <cell r="Q226" t="str">
            <v>SIM</v>
          </cell>
          <cell r="R226" t="str">
            <v>NÃO</v>
          </cell>
          <cell r="S226" t="str">
            <v>http://www.adcon.rn.gov.br/ACERVO/EMGERN/DOC/DOC000000000328962.PDF</v>
          </cell>
          <cell r="BF226" t="str">
            <v>10.552.514/0001-03</v>
          </cell>
          <cell r="BG226" t="str">
            <v>Empresa Gestora de Ativos</v>
          </cell>
          <cell r="BH226" t="str">
            <v>EMGERN</v>
          </cell>
        </row>
        <row r="227">
          <cell r="E227" t="str">
            <v>08.510.158/0001-13</v>
          </cell>
          <cell r="F227" t="str">
            <v>ATIVA</v>
          </cell>
          <cell r="G227" t="str">
            <v>PESQUISA E ASSISTÊNCIA TÉCNICA AGROPECUÁRIA</v>
          </cell>
          <cell r="H227" t="str">
            <v>EMPRESA PÚBLICA</v>
          </cell>
          <cell r="I227" t="str">
            <v>S.A.</v>
          </cell>
          <cell r="J227" t="str">
            <v>FECHADO</v>
          </cell>
          <cell r="K227" t="str">
            <v>NÃO</v>
          </cell>
          <cell r="L227" t="str">
            <v>NÃO</v>
          </cell>
          <cell r="M227" t="str">
            <v>DEPENDENTE</v>
          </cell>
          <cell r="N227">
            <v>172</v>
          </cell>
          <cell r="O227" t="str">
            <v>OK</v>
          </cell>
          <cell r="P227" t="str">
            <v>SIM</v>
          </cell>
          <cell r="Q227" t="str">
            <v>SIM</v>
          </cell>
          <cell r="R227" t="str">
            <v>NÃO</v>
          </cell>
          <cell r="S227" t="str">
            <v>http://www.emparn.rn.gov.br/Index.asp</v>
          </cell>
          <cell r="BF227" t="str">
            <v>08.510.158/0001-13</v>
          </cell>
          <cell r="BG227" t="str">
            <v>Empresa de Pesquisa Agropecuária do RN</v>
          </cell>
          <cell r="BH227" t="str">
            <v>EMPARN</v>
          </cell>
        </row>
        <row r="228">
          <cell r="E228" t="str">
            <v>10.202.792/0001-30</v>
          </cell>
          <cell r="F228" t="str">
            <v>ATIVA</v>
          </cell>
          <cell r="G228" t="str">
            <v>TURISMO</v>
          </cell>
          <cell r="H228" t="str">
            <v>SOCIEDADE DE ECONOMIA MISTA</v>
          </cell>
          <cell r="I228" t="str">
            <v>S.A.</v>
          </cell>
          <cell r="J228" t="str">
            <v>FECHADO</v>
          </cell>
          <cell r="K228" t="str">
            <v>NÃO</v>
          </cell>
          <cell r="L228" t="str">
            <v>NÃO</v>
          </cell>
          <cell r="M228" t="str">
            <v>DEPENDENTE</v>
          </cell>
          <cell r="N228">
            <v>75</v>
          </cell>
          <cell r="O228" t="str">
            <v>OK</v>
          </cell>
          <cell r="P228" t="str">
            <v>SIM</v>
          </cell>
          <cell r="Q228" t="str">
            <v>SIM</v>
          </cell>
          <cell r="R228" t="str">
            <v>NÃO</v>
          </cell>
          <cell r="S228" t="str">
            <v>https://emprotur.setur.rn.gov.br/storage/documentos/documentos/a72997d84ca675d99b719abb733f669f.pdf</v>
          </cell>
          <cell r="BF228" t="str">
            <v>10.202.792/0001-30</v>
          </cell>
          <cell r="BG228" t="str">
            <v>Empresa Potiguar de Promoção Turística S/A</v>
          </cell>
          <cell r="BH228" t="str">
            <v>EMPROTUR</v>
          </cell>
        </row>
        <row r="229">
          <cell r="E229" t="str">
            <v>70.157.896/0001-00</v>
          </cell>
          <cell r="F229" t="str">
            <v>ATIVA</v>
          </cell>
          <cell r="G229" t="str">
            <v>GÁS E DERIVADOS</v>
          </cell>
          <cell r="H229" t="str">
            <v>SOCIEDADE DE ECONOMIA MISTA</v>
          </cell>
          <cell r="I229" t="str">
            <v>S.A.</v>
          </cell>
          <cell r="J229" t="str">
            <v>FECHADO</v>
          </cell>
          <cell r="K229" t="str">
            <v>NÃO</v>
          </cell>
          <cell r="L229" t="str">
            <v>NÃO</v>
          </cell>
          <cell r="M229" t="str">
            <v>NÃO DEPENDENTE</v>
          </cell>
          <cell r="N229">
            <v>61</v>
          </cell>
          <cell r="O229" t="str">
            <v>OK</v>
          </cell>
          <cell r="P229" t="str">
            <v>SIM</v>
          </cell>
          <cell r="Q229" t="str">
            <v>SIM</v>
          </cell>
          <cell r="R229" t="str">
            <v>SIM</v>
          </cell>
          <cell r="S229" t="str">
            <v>https://potigas.com.br/acesso-a-informacao/cartas</v>
          </cell>
          <cell r="BF229" t="str">
            <v>70.157.896/0001-00</v>
          </cell>
          <cell r="BG229" t="str">
            <v>Companhia Potiguar de Gás</v>
          </cell>
          <cell r="BH229" t="str">
            <v>POTIGÁS</v>
          </cell>
        </row>
        <row r="230">
          <cell r="E230" t="str">
            <v>04.797.262/0001-80</v>
          </cell>
          <cell r="F230" t="str">
            <v>EM LIQUIDAÇÃO</v>
          </cell>
          <cell r="G230" t="str">
            <v>FINANCEIRO</v>
          </cell>
          <cell r="H230" t="str">
            <v>SOCIEDADE DE ECONOMIA MISTA</v>
          </cell>
          <cell r="I230" t="str">
            <v>S.A.</v>
          </cell>
          <cell r="J230" t="str">
            <v>FECHADO</v>
          </cell>
          <cell r="K230" t="str">
            <v>NÃO</v>
          </cell>
          <cell r="L230" t="str">
            <v>NÃO</v>
          </cell>
          <cell r="M230" t="str">
            <v>NÃO DEPENDENTE</v>
          </cell>
          <cell r="N230">
            <v>0</v>
          </cell>
          <cell r="O230" t="str">
            <v>OK</v>
          </cell>
          <cell r="P230" t="str">
            <v>NÃO</v>
          </cell>
          <cell r="Q230" t="str">
            <v>NÃO</v>
          </cell>
          <cell r="R230" t="str">
            <v>NÃO</v>
          </cell>
          <cell r="S230" t="str">
            <v>Site não disponível</v>
          </cell>
          <cell r="BF230" t="str">
            <v>04.797.262/0001-80</v>
          </cell>
          <cell r="BG230" t="str">
            <v>Banco do Estado de Rondônia S/A</v>
          </cell>
          <cell r="BH230" t="str">
            <v>BERON</v>
          </cell>
        </row>
        <row r="231">
          <cell r="E231" t="str">
            <v>05.914.254/0001-39</v>
          </cell>
          <cell r="F231" t="str">
            <v>ATIVA</v>
          </cell>
          <cell r="G231" t="str">
            <v>SANEAMENTO</v>
          </cell>
          <cell r="H231" t="str">
            <v>SOCIEDADE DE ECONOMIA MISTA</v>
          </cell>
          <cell r="I231" t="str">
            <v>S.A.</v>
          </cell>
          <cell r="J231" t="str">
            <v>FECHADO</v>
          </cell>
          <cell r="K231" t="str">
            <v>NÃO</v>
          </cell>
          <cell r="L231" t="str">
            <v>NÃO</v>
          </cell>
          <cell r="M231" t="str">
            <v>NÃO DEPENDENTE</v>
          </cell>
          <cell r="N231">
            <v>742</v>
          </cell>
          <cell r="O231" t="str">
            <v>OK</v>
          </cell>
          <cell r="P231" t="str">
            <v>SIM</v>
          </cell>
          <cell r="Q231" t="str">
            <v>SIM</v>
          </cell>
          <cell r="R231" t="str">
            <v>NÃO</v>
          </cell>
          <cell r="S231" t="str">
            <v>https://transparencia.caerd-ro.com.br/carta-anual-de-politicas-publicas-e-governanca-corporativa</v>
          </cell>
          <cell r="BF231" t="str">
            <v>05.914.254/0001-39</v>
          </cell>
          <cell r="BG231" t="str">
            <v>Companhia de Água e Esgoto de Rondônia</v>
          </cell>
          <cell r="BH231" t="str">
            <v>CAERD</v>
          </cell>
        </row>
        <row r="232">
          <cell r="E232" t="str">
            <v>04.894.374/0001-59</v>
          </cell>
          <cell r="F232" t="str">
            <v>EM LIQUIDAÇÃO</v>
          </cell>
          <cell r="G232" t="str">
            <v>HABITAÇÃO E URBANIZAÇÃO</v>
          </cell>
          <cell r="H232" t="str">
            <v>SOCIEDADE DE ECONOMIA MISTA</v>
          </cell>
          <cell r="I232" t="str">
            <v>S.A.</v>
          </cell>
          <cell r="J232" t="str">
            <v>FECHADO</v>
          </cell>
          <cell r="K232" t="str">
            <v>NÃO</v>
          </cell>
          <cell r="L232" t="str">
            <v>NÃO</v>
          </cell>
          <cell r="M232" t="str">
            <v>NÃO DEPENDENTE</v>
          </cell>
          <cell r="N232">
            <v>0</v>
          </cell>
          <cell r="O232" t="str">
            <v>OK</v>
          </cell>
          <cell r="P232" t="str">
            <v>NÃO</v>
          </cell>
          <cell r="Q232" t="str">
            <v>NÃO</v>
          </cell>
          <cell r="R232" t="str">
            <v>NÃO</v>
          </cell>
          <cell r="S232" t="str">
            <v>Site não disponível</v>
          </cell>
          <cell r="BF232" t="str">
            <v>04.894.374/0001-59</v>
          </cell>
          <cell r="BG232" t="str">
            <v>Companhia de Desenvolvimento Urbano e Rural de Rondônia</v>
          </cell>
          <cell r="BH232" t="str">
            <v>CDHUR</v>
          </cell>
        </row>
        <row r="233">
          <cell r="E233" t="str">
            <v>34.779.934/0001-95</v>
          </cell>
          <cell r="F233" t="str">
            <v>EM LIQUIDAÇÃO</v>
          </cell>
          <cell r="G233" t="str">
            <v>INFORMÁTICA E TECNOLOGIA DA INFORMAÇÃO</v>
          </cell>
          <cell r="H233" t="str">
            <v>SOCIEDADE DE ECONOMIA MISTA</v>
          </cell>
          <cell r="I233" t="str">
            <v>S.A.</v>
          </cell>
          <cell r="J233" t="str">
            <v>FECHADO</v>
          </cell>
          <cell r="K233" t="str">
            <v>NÃO</v>
          </cell>
          <cell r="L233" t="str">
            <v>NÃO</v>
          </cell>
          <cell r="M233" t="str">
            <v>NÃO DEPENDENTE</v>
          </cell>
          <cell r="N233">
            <v>0</v>
          </cell>
          <cell r="O233" t="str">
            <v>OK</v>
          </cell>
          <cell r="P233" t="str">
            <v>NÃO</v>
          </cell>
          <cell r="Q233" t="str">
            <v>NÃO</v>
          </cell>
          <cell r="R233" t="str">
            <v>NÃO</v>
          </cell>
          <cell r="S233" t="str">
            <v>Site não disponível</v>
          </cell>
          <cell r="BF233" t="str">
            <v>34.779.934/0001-95</v>
          </cell>
          <cell r="BG233" t="str">
            <v>Companhia de Processamento de Dados do Estado de Rondônia</v>
          </cell>
          <cell r="BH233" t="str">
            <v>CEPRORD</v>
          </cell>
        </row>
        <row r="234">
          <cell r="E234" t="str">
            <v>04.418.471/0001-75</v>
          </cell>
          <cell r="F234" t="str">
            <v>ATIVA</v>
          </cell>
          <cell r="G234" t="str">
            <v>MINERAÇÃO</v>
          </cell>
          <cell r="H234" t="str">
            <v>EMPRESA PÚBLICA</v>
          </cell>
          <cell r="I234" t="str">
            <v>S.A.</v>
          </cell>
          <cell r="J234" t="str">
            <v>FECHADO</v>
          </cell>
          <cell r="K234" t="str">
            <v>NÃO</v>
          </cell>
          <cell r="L234" t="str">
            <v>NÃO</v>
          </cell>
          <cell r="M234" t="str">
            <v>NÃO DEPENDENTE</v>
          </cell>
          <cell r="N234">
            <v>19</v>
          </cell>
          <cell r="O234" t="str">
            <v>OK</v>
          </cell>
          <cell r="P234" t="str">
            <v>SIM</v>
          </cell>
          <cell r="Q234" t="str">
            <v>SIM</v>
          </cell>
          <cell r="R234" t="str">
            <v>NÃO</v>
          </cell>
          <cell r="S234" t="str">
            <v>https://transparencia.ro.gov.br/PastasEmArvore/Pastas?id=0538a357-5c3a-48d5-95e6-506e925853aa</v>
          </cell>
          <cell r="BF234" t="str">
            <v>04.418.471/0001-75</v>
          </cell>
          <cell r="BG234" t="str">
            <v>Companhia de Mineração de Rondônia</v>
          </cell>
          <cell r="BH234" t="str">
            <v>CMR</v>
          </cell>
        </row>
        <row r="235">
          <cell r="E235" t="str">
            <v>02.796.830/0001-00</v>
          </cell>
          <cell r="F235" t="str">
            <v>ATIVA</v>
          </cell>
          <cell r="G235" t="str">
            <v>GÁS E DERIVADOS</v>
          </cell>
          <cell r="H235" t="str">
            <v>SOCIEDADE DE ECONOMIA MISTA</v>
          </cell>
          <cell r="I235" t="str">
            <v>S.A.</v>
          </cell>
          <cell r="J235" t="str">
            <v>FECHADO</v>
          </cell>
          <cell r="K235" t="str">
            <v>NÃO</v>
          </cell>
          <cell r="L235" t="str">
            <v>NÃO</v>
          </cell>
          <cell r="M235" t="str">
            <v>NÃO DEPENDENTE</v>
          </cell>
          <cell r="N235">
            <v>10</v>
          </cell>
          <cell r="O235" t="str">
            <v>OK</v>
          </cell>
          <cell r="P235" t="str">
            <v>SIM</v>
          </cell>
          <cell r="Q235" t="str">
            <v>SIM</v>
          </cell>
          <cell r="R235" t="str">
            <v>NÃO</v>
          </cell>
          <cell r="S235" t="str">
            <v>http://www.rongas.com.br/site/empresa.asp</v>
          </cell>
          <cell r="BF235" t="str">
            <v>02.796.830/0001-00</v>
          </cell>
          <cell r="BG235" t="str">
            <v>Companhia Rondoniense de Gás</v>
          </cell>
          <cell r="BH235" t="str">
            <v>RONGÁS</v>
          </cell>
        </row>
        <row r="236">
          <cell r="E236" t="str">
            <v>02.278.152/0001-86</v>
          </cell>
          <cell r="F236" t="str">
            <v>ATIVA</v>
          </cell>
          <cell r="G236" t="str">
            <v>PORTOS E HIDROVIAS</v>
          </cell>
          <cell r="H236" t="str">
            <v>EMPRESA PÚBLICA</v>
          </cell>
          <cell r="I236" t="str">
            <v>S.A.</v>
          </cell>
          <cell r="J236" t="str">
            <v>FECHADO</v>
          </cell>
          <cell r="K236" t="str">
            <v>NÃO</v>
          </cell>
          <cell r="L236" t="str">
            <v>NÃO</v>
          </cell>
          <cell r="M236" t="str">
            <v>NÃO DEPENDENTE</v>
          </cell>
          <cell r="N236">
            <v>75</v>
          </cell>
          <cell r="O236" t="str">
            <v>OK</v>
          </cell>
          <cell r="P236" t="str">
            <v>SIM</v>
          </cell>
          <cell r="Q236" t="str">
            <v>SIM</v>
          </cell>
          <cell r="R236" t="str">
            <v>NÃO</v>
          </cell>
          <cell r="S236" t="str">
            <v>https://rondonia.ro.gov.br/wp-content/uploads/2024/04/SEI_0047420215_Ato_3.pdf</v>
          </cell>
          <cell r="BF236" t="str">
            <v>02.278.152/0001-86</v>
          </cell>
          <cell r="BG236" t="str">
            <v>Sociedade de Portos e Hidrovias do Estado de Rondônia</v>
          </cell>
          <cell r="BH236" t="str">
            <v>SOPH</v>
          </cell>
        </row>
        <row r="237">
          <cell r="E237" t="str">
            <v>05.939.467/0001-15</v>
          </cell>
          <cell r="F237" t="str">
            <v>ATIVA</v>
          </cell>
          <cell r="G237" t="str">
            <v>SANEAMENTO</v>
          </cell>
          <cell r="H237" t="str">
            <v>SOCIEDADE DE ECONOMIA MISTA</v>
          </cell>
          <cell r="I237" t="str">
            <v>S.A.</v>
          </cell>
          <cell r="J237" t="str">
            <v>FECHADO</v>
          </cell>
          <cell r="K237" t="str">
            <v>NÃO</v>
          </cell>
          <cell r="L237" t="str">
            <v>NÃO</v>
          </cell>
          <cell r="M237" t="str">
            <v>NÃO DEPENDENTE</v>
          </cell>
          <cell r="N237">
            <v>957</v>
          </cell>
          <cell r="O237" t="str">
            <v>OK</v>
          </cell>
          <cell r="P237" t="str">
            <v>SIM</v>
          </cell>
          <cell r="Q237" t="str">
            <v>SIM</v>
          </cell>
          <cell r="R237" t="str">
            <v>NÃO</v>
          </cell>
          <cell r="S237" t="str">
            <v>https://www.caer.com.br/</v>
          </cell>
          <cell r="BF237" t="str">
            <v>05.939.467/0001-15</v>
          </cell>
          <cell r="BG237" t="str">
            <v>Companhia de Águas e Esgotos de Roraima</v>
          </cell>
          <cell r="BH237" t="str">
            <v>CAER</v>
          </cell>
        </row>
        <row r="238">
          <cell r="E238" t="str">
            <v>05.938.444/0001-96</v>
          </cell>
          <cell r="F238" t="str">
            <v>EM LIQUIDAÇÃO</v>
          </cell>
          <cell r="G238" t="str">
            <v>ENERGIA</v>
          </cell>
          <cell r="H238" t="str">
            <v>SOCIEDADE DE ECONOMIA MISTA</v>
          </cell>
          <cell r="I238" t="str">
            <v>S.A.</v>
          </cell>
          <cell r="J238" t="str">
            <v>FECHADO</v>
          </cell>
          <cell r="K238" t="str">
            <v>NÃO</v>
          </cell>
          <cell r="L238" t="str">
            <v>NÃO</v>
          </cell>
          <cell r="M238" t="str">
            <v>DEPENDENTE</v>
          </cell>
          <cell r="N238">
            <v>242</v>
          </cell>
          <cell r="O238" t="str">
            <v>OK</v>
          </cell>
          <cell r="P238" t="str">
            <v>SIM</v>
          </cell>
          <cell r="Q238" t="str">
            <v>SIM</v>
          </cell>
          <cell r="R238" t="str">
            <v>NÃO</v>
          </cell>
          <cell r="S238" t="str">
            <v>https://www.imprensaoficial.rr.gov.br/app/_visualizar-doe/</v>
          </cell>
          <cell r="BF238" t="str">
            <v>05.938.444/0001-96</v>
          </cell>
          <cell r="BG238" t="str">
            <v>Companhia Energética de Roraima</v>
          </cell>
          <cell r="BH238" t="str">
            <v>CERR</v>
          </cell>
        </row>
        <row r="239">
          <cell r="E239" t="str">
            <v>05.950.290/0001-58</v>
          </cell>
          <cell r="F239" t="str">
            <v>ATIVA</v>
          </cell>
          <cell r="G239" t="str">
            <v>DESENVOLVIMENTO REGIONAL</v>
          </cell>
          <cell r="H239" t="str">
            <v>SOCIEDADE DE ECONOMIA MISTA</v>
          </cell>
          <cell r="I239" t="str">
            <v>S.A.</v>
          </cell>
          <cell r="J239" t="str">
            <v>FECHADO</v>
          </cell>
          <cell r="K239" t="str">
            <v>NÃO</v>
          </cell>
          <cell r="L239" t="str">
            <v>NÃO</v>
          </cell>
          <cell r="M239" t="str">
            <v>DEPENDENTE</v>
          </cell>
          <cell r="N239">
            <v>264</v>
          </cell>
          <cell r="O239" t="str">
            <v>OK</v>
          </cell>
          <cell r="P239" t="str">
            <v>SIM</v>
          </cell>
          <cell r="Q239" t="str">
            <v>SIM</v>
          </cell>
          <cell r="R239" t="str">
            <v>NÃO</v>
          </cell>
          <cell r="S239" t="str">
            <v>https://codesaima.rr.gov.br/</v>
          </cell>
          <cell r="BF239" t="str">
            <v>05.950.290/0001-58</v>
          </cell>
          <cell r="BG239" t="str">
            <v>Companhia de Desenvolvimento de Roraima</v>
          </cell>
          <cell r="BH239" t="str">
            <v>CODESAIMA</v>
          </cell>
        </row>
        <row r="240">
          <cell r="E240" t="str">
            <v>03.058.464/0001-47</v>
          </cell>
          <cell r="F240" t="str">
            <v>ATIVA</v>
          </cell>
          <cell r="G240" t="str">
            <v>FINANCEIRO</v>
          </cell>
          <cell r="H240" t="str">
            <v>SOCIEDADE DE ECONOMIA MISTA</v>
          </cell>
          <cell r="I240" t="str">
            <v>S.A.</v>
          </cell>
          <cell r="J240" t="str">
            <v>FECHADO</v>
          </cell>
          <cell r="K240" t="str">
            <v>NÃO</v>
          </cell>
          <cell r="L240" t="str">
            <v>NÃO</v>
          </cell>
          <cell r="M240" t="str">
            <v>DEPENDENTE</v>
          </cell>
          <cell r="N240">
            <v>41</v>
          </cell>
          <cell r="O240" t="str">
            <v>OK</v>
          </cell>
          <cell r="P240" t="str">
            <v>SIM</v>
          </cell>
          <cell r="Q240" t="str">
            <v>SIM</v>
          </cell>
          <cell r="R240" t="str">
            <v>SIM</v>
          </cell>
          <cell r="S240" t="str">
            <v>https://desenvolve.rr.gov.br/</v>
          </cell>
          <cell r="BF240" t="str">
            <v>03.058.464/0001-47</v>
          </cell>
          <cell r="BG240" t="str">
            <v>Agência de Fomento do Estado de Roraima S/A</v>
          </cell>
          <cell r="BH240" t="str">
            <v>DESENVOLVE</v>
          </cell>
        </row>
        <row r="241">
          <cell r="E241" t="str">
            <v>11.421.743/0001-51</v>
          </cell>
          <cell r="F241" t="str">
            <v>ATIVA</v>
          </cell>
          <cell r="G241" t="str">
            <v>COMUNICAÇÃO</v>
          </cell>
          <cell r="H241" t="str">
            <v>EMPRESA PÚBLICA</v>
          </cell>
          <cell r="I241" t="str">
            <v>OUTRAS</v>
          </cell>
          <cell r="J241" t="str">
            <v>FECHADO</v>
          </cell>
          <cell r="K241" t="str">
            <v>NÃO</v>
          </cell>
          <cell r="L241" t="str">
            <v>NÃO</v>
          </cell>
          <cell r="M241" t="str">
            <v>DEPENDENTE</v>
          </cell>
          <cell r="N241">
            <v>66</v>
          </cell>
          <cell r="O241" t="str">
            <v>OK</v>
          </cell>
          <cell r="P241" t="str">
            <v>SIM</v>
          </cell>
          <cell r="Q241" t="str">
            <v>NÃO</v>
          </cell>
          <cell r="R241" t="str">
            <v>SIM</v>
          </cell>
          <cell r="S241" t="str">
            <v>https://www.radiororaima.com.br/</v>
          </cell>
          <cell r="BF241" t="str">
            <v>11.421.743/0001-51</v>
          </cell>
          <cell r="BG241" t="str">
            <v>Rádio Roraima</v>
          </cell>
          <cell r="BH241" t="str">
            <v>RÁDIO RORAIMA</v>
          </cell>
        </row>
        <row r="242">
          <cell r="E242" t="str">
            <v>02.885.855/0001-72</v>
          </cell>
          <cell r="F242" t="str">
            <v>ATIVA</v>
          </cell>
          <cell r="G242" t="str">
            <v>FINANCEIRO</v>
          </cell>
          <cell r="H242" t="str">
            <v>SOCIEDADE DE ECONOMIA MISTA</v>
          </cell>
          <cell r="I242" t="str">
            <v>S.A.</v>
          </cell>
          <cell r="J242" t="str">
            <v>FECHADO</v>
          </cell>
          <cell r="K242" t="str">
            <v>NÃO</v>
          </cell>
          <cell r="L242" t="str">
            <v>NÃO</v>
          </cell>
          <cell r="M242" t="str">
            <v>NÃO DEPENDENTE</v>
          </cell>
          <cell r="N242">
            <v>151</v>
          </cell>
          <cell r="O242" t="str">
            <v>OK</v>
          </cell>
          <cell r="P242" t="str">
            <v>SIM</v>
          </cell>
          <cell r="Q242" t="str">
            <v>SIM</v>
          </cell>
          <cell r="R242" t="str">
            <v>SIM</v>
          </cell>
          <cell r="S242" t="str">
            <v>https://www.badesul.com.br/transparencia#11</v>
          </cell>
          <cell r="BF242" t="str">
            <v>02.885.855/0001-72</v>
          </cell>
          <cell r="BG242" t="str">
            <v>Badesul Desenvolvimento S/A</v>
          </cell>
          <cell r="BH242" t="str">
            <v>BADESUL</v>
          </cell>
        </row>
        <row r="243">
          <cell r="E243" t="str">
            <v>92.702.067/0001-96</v>
          </cell>
          <cell r="F243" t="str">
            <v>ATIVA</v>
          </cell>
          <cell r="G243" t="str">
            <v>FINANCEIRO</v>
          </cell>
          <cell r="H243" t="str">
            <v>SOCIEDADE DE ECONOMIA MISTA</v>
          </cell>
          <cell r="I243" t="str">
            <v>S.A.</v>
          </cell>
          <cell r="J243" t="str">
            <v>ABERTO</v>
          </cell>
          <cell r="K243" t="str">
            <v>SIM</v>
          </cell>
          <cell r="L243" t="str">
            <v>NÃO</v>
          </cell>
          <cell r="M243" t="str">
            <v>NÃO DEPENDENTE</v>
          </cell>
          <cell r="N243">
            <v>13778</v>
          </cell>
          <cell r="O243" t="str">
            <v>OK</v>
          </cell>
          <cell r="P243" t="str">
            <v>SIM</v>
          </cell>
          <cell r="Q243" t="str">
            <v>SIM</v>
          </cell>
          <cell r="R243" t="str">
            <v>SIM</v>
          </cell>
          <cell r="S243" t="str">
            <v>https://ri.banrisul.com.br/governanca-corporativa/estatuto-politicas-e-documentos/</v>
          </cell>
          <cell r="BF243" t="str">
            <v>92.702.067/0001-96</v>
          </cell>
          <cell r="BG243" t="str">
            <v>Banco do Estado do Rio Grande do Sul</v>
          </cell>
          <cell r="BH243" t="str">
            <v>BANRISUL</v>
          </cell>
        </row>
        <row r="244">
          <cell r="E244" t="str">
            <v>92.816.560/0001-37</v>
          </cell>
          <cell r="F244" t="str">
            <v>ATIVA</v>
          </cell>
          <cell r="G244" t="str">
            <v>FINANCEIRO</v>
          </cell>
          <cell r="H244" t="str">
            <v>EMPRESA PÚBLICA</v>
          </cell>
          <cell r="I244" t="str">
            <v>OUTRAS</v>
          </cell>
          <cell r="J244" t="str">
            <v>FECHADO</v>
          </cell>
          <cell r="K244" t="str">
            <v>NÃO</v>
          </cell>
          <cell r="L244" t="str">
            <v>NÃO</v>
          </cell>
          <cell r="M244" t="str">
            <v>NÃO DEPENDENTE</v>
          </cell>
          <cell r="N244">
            <v>0</v>
          </cell>
          <cell r="O244" t="str">
            <v>VERIFICAR</v>
          </cell>
          <cell r="P244" t="str">
            <v>SIM</v>
          </cell>
          <cell r="Q244" t="str">
            <v>SIM</v>
          </cell>
          <cell r="R244" t="str">
            <v>SIM</v>
          </cell>
          <cell r="S244" t="str">
            <v>https://www.brde.com.br/wp-content/uploads/2023/04/CARTA-ANUAL-2023.pdf</v>
          </cell>
          <cell r="BF244" t="str">
            <v>92.816.560/0001-37</v>
          </cell>
          <cell r="BG244" t="str">
            <v>Banco Regional de Desenvolvimento do Extremo Sul</v>
          </cell>
          <cell r="BH244" t="str">
            <v>BRDE RS</v>
          </cell>
        </row>
        <row r="245">
          <cell r="E245" t="str">
            <v>00.979.969/0001-56</v>
          </cell>
          <cell r="F245" t="str">
            <v>ATIVA</v>
          </cell>
          <cell r="G245" t="str">
            <v>GESTÃO DE ATIVOS</v>
          </cell>
          <cell r="H245" t="str">
            <v>SOCIEDADE DE ECONOMIA MISTA</v>
          </cell>
          <cell r="I245" t="str">
            <v>S.A.</v>
          </cell>
          <cell r="J245" t="str">
            <v>ABERTO</v>
          </cell>
          <cell r="K245" t="str">
            <v>NÃO</v>
          </cell>
          <cell r="L245" t="str">
            <v>NÃO</v>
          </cell>
          <cell r="M245" t="str">
            <v>NÃO DEPENDENTE</v>
          </cell>
          <cell r="N245">
            <v>0</v>
          </cell>
          <cell r="O245" t="str">
            <v>VERIFICAR</v>
          </cell>
          <cell r="P245" t="str">
            <v>SIM</v>
          </cell>
          <cell r="Q245" t="str">
            <v>SIM</v>
          </cell>
          <cell r="R245" t="str">
            <v>NÃO</v>
          </cell>
          <cell r="S245" t="str">
            <v>http://www.cadip.rs.gov.br/lista/631/carta-anual-de-governanca-corporativa</v>
          </cell>
          <cell r="BF245" t="str">
            <v>00.979.969/0001-56</v>
          </cell>
          <cell r="BG245" t="str">
            <v>Caixa de Administração da Dívida Pública Estadual</v>
          </cell>
          <cell r="BH245" t="str">
            <v>CADIP</v>
          </cell>
        </row>
        <row r="246">
          <cell r="E246" t="str">
            <v>92.983.147/0001-67</v>
          </cell>
          <cell r="F246" t="str">
            <v>ATIVA</v>
          </cell>
          <cell r="G246" t="str">
            <v>ABASTECIMENTO DE ALIMENTOS E OUTROS INSUMOS</v>
          </cell>
          <cell r="H246" t="str">
            <v>SOCIEDADE DE ECONOMIA MISTA</v>
          </cell>
          <cell r="I246" t="str">
            <v>S.A.</v>
          </cell>
          <cell r="J246" t="str">
            <v>FECHADO</v>
          </cell>
          <cell r="K246" t="str">
            <v>NÃO</v>
          </cell>
          <cell r="L246" t="str">
            <v>NÃO</v>
          </cell>
          <cell r="M246" t="str">
            <v>NÃO DEPENDENTE</v>
          </cell>
          <cell r="N246">
            <v>262</v>
          </cell>
          <cell r="O246" t="str">
            <v>OK</v>
          </cell>
          <cell r="P246" t="str">
            <v>SIM</v>
          </cell>
          <cell r="Q246" t="str">
            <v>SIM</v>
          </cell>
          <cell r="R246" t="str">
            <v>SIM</v>
          </cell>
          <cell r="S246" t="str">
            <v>https://ceasa.rs.gov.br/carta-anual-de-governanca-corporativa/</v>
          </cell>
          <cell r="BF246" t="str">
            <v>92.983.147/0001-67</v>
          </cell>
          <cell r="BG246" t="str">
            <v>Centrais de Abastecimento do Rio Grande do Sul</v>
          </cell>
          <cell r="BH246" t="str">
            <v>CEASA RS</v>
          </cell>
        </row>
        <row r="247">
          <cell r="E247" t="str">
            <v>92.952.043/0001-95</v>
          </cell>
          <cell r="F247" t="str">
            <v>EM LIQUIDAÇÃO</v>
          </cell>
          <cell r="G247" t="str">
            <v>ABASTECIMENTO DE ALIMENTOS E OUTROS INSUMOS</v>
          </cell>
          <cell r="H247" t="str">
            <v>SOCIEDADE DE ECONOMIA MISTA</v>
          </cell>
          <cell r="I247" t="str">
            <v>OUTRAS</v>
          </cell>
          <cell r="J247" t="str">
            <v>FECHADO</v>
          </cell>
          <cell r="K247" t="str">
            <v>NÃO</v>
          </cell>
          <cell r="L247" t="str">
            <v>NÃO</v>
          </cell>
          <cell r="M247" t="str">
            <v>NÃO DEPENDENTE</v>
          </cell>
          <cell r="N247">
            <v>13</v>
          </cell>
          <cell r="O247" t="str">
            <v>OK</v>
          </cell>
          <cell r="P247" t="str">
            <v>SIM</v>
          </cell>
          <cell r="Q247" t="str">
            <v>SIM</v>
          </cell>
          <cell r="R247" t="str">
            <v>NÃO</v>
          </cell>
          <cell r="S247" t="str">
            <v>http://www.cesa.rs.gov.br/novosite/</v>
          </cell>
          <cell r="BF247" t="str">
            <v>92.952.043/0001-95</v>
          </cell>
          <cell r="BG247" t="str">
            <v>Companhia Estadual de Silos e Armazéns</v>
          </cell>
          <cell r="BH247" t="str">
            <v>CESA</v>
          </cell>
        </row>
        <row r="248">
          <cell r="E248" t="str">
            <v>92.724.145/0001-53</v>
          </cell>
          <cell r="F248" t="str">
            <v>ATIVA</v>
          </cell>
          <cell r="G248" t="str">
            <v>MINERAÇÃO</v>
          </cell>
          <cell r="H248" t="str">
            <v>SOCIEDADE DE ECONOMIA MISTA</v>
          </cell>
          <cell r="I248" t="str">
            <v>S.A.</v>
          </cell>
          <cell r="J248" t="str">
            <v>FECHADO</v>
          </cell>
          <cell r="K248" t="str">
            <v>NÃO</v>
          </cell>
          <cell r="L248" t="str">
            <v>NÃO</v>
          </cell>
          <cell r="M248" t="str">
            <v>NÃO DEPENDENTE</v>
          </cell>
          <cell r="N248">
            <v>351</v>
          </cell>
          <cell r="O248" t="str">
            <v>OK</v>
          </cell>
          <cell r="P248" t="str">
            <v>SIM</v>
          </cell>
          <cell r="Q248" t="str">
            <v>SIM</v>
          </cell>
          <cell r="R248" t="str">
            <v>SIM</v>
          </cell>
          <cell r="S248" t="str">
            <v>http://www.crm.rs.gov.br/upload/arquivos/202203/25101002-carta-anual-de-politicas-publicas-e-governanca-corporativa-2022.pdf</v>
          </cell>
          <cell r="BF248" t="str">
            <v>92.724.145/0001-53</v>
          </cell>
          <cell r="BG248" t="str">
            <v>Companhia Riograndense de Mineração</v>
          </cell>
          <cell r="BH248" t="str">
            <v>CRM</v>
          </cell>
        </row>
        <row r="249">
          <cell r="E249" t="str">
            <v>16.987.837/0001-06</v>
          </cell>
          <cell r="F249" t="str">
            <v>ATIVA</v>
          </cell>
          <cell r="G249" t="str">
            <v>TRANSPORTE</v>
          </cell>
          <cell r="H249" t="str">
            <v>EMPRESA PÚBLICA</v>
          </cell>
          <cell r="I249" t="str">
            <v>S.A.</v>
          </cell>
          <cell r="J249" t="str">
            <v>FECHADO</v>
          </cell>
          <cell r="K249" t="str">
            <v>NÃO</v>
          </cell>
          <cell r="L249" t="str">
            <v>NÃO</v>
          </cell>
          <cell r="M249" t="str">
            <v>NÃO DEPENDENTE</v>
          </cell>
          <cell r="N249">
            <v>45</v>
          </cell>
          <cell r="O249" t="str">
            <v>OK</v>
          </cell>
          <cell r="P249" t="str">
            <v>SIM</v>
          </cell>
          <cell r="Q249" t="str">
            <v>SIM</v>
          </cell>
          <cell r="R249" t="str">
            <v>SIM</v>
          </cell>
          <cell r="S249" t="str">
            <v>https://egr.rs.gov.br/inicial</v>
          </cell>
          <cell r="BF249" t="str">
            <v>16.987.837/0001-06</v>
          </cell>
          <cell r="BG249" t="str">
            <v>Empresa Gaúcha de Rodovias</v>
          </cell>
          <cell r="BH249" t="str">
            <v>EGR</v>
          </cell>
        </row>
        <row r="250">
          <cell r="E250" t="str">
            <v>46.191.353/0001-17</v>
          </cell>
          <cell r="F250" t="str">
            <v>ATIVA</v>
          </cell>
          <cell r="G250" t="str">
            <v>PORTOS E HIDROVIAS</v>
          </cell>
          <cell r="H250" t="str">
            <v>EMPRESA PÚBLICA</v>
          </cell>
          <cell r="I250" t="str">
            <v>S.A.</v>
          </cell>
          <cell r="J250" t="str">
            <v>FECHADO</v>
          </cell>
          <cell r="K250" t="str">
            <v>NÃO</v>
          </cell>
          <cell r="L250" t="str">
            <v>NÃO</v>
          </cell>
          <cell r="M250" t="str">
            <v>NÃO DEPENDENTE</v>
          </cell>
          <cell r="N250">
            <v>553</v>
          </cell>
          <cell r="O250" t="str">
            <v>OK</v>
          </cell>
          <cell r="P250" t="str">
            <v>SIM</v>
          </cell>
          <cell r="Q250" t="str">
            <v>SIM</v>
          </cell>
          <cell r="R250" t="str">
            <v>SIM</v>
          </cell>
          <cell r="S250" t="str">
            <v>https://www.portosrs.com.br/site/public/uploads/site/cartas/2.pdf</v>
          </cell>
          <cell r="BF250" t="str">
            <v>46.191.353/0001-17</v>
          </cell>
          <cell r="BG250" t="str">
            <v>Autoridade Portuária dos Portos do Rio Grande do Sul S/A</v>
          </cell>
          <cell r="BH250" t="str">
            <v>PORTOS-RS</v>
          </cell>
        </row>
        <row r="251">
          <cell r="E251" t="str">
            <v>87.124.582/0001-04</v>
          </cell>
          <cell r="F251" t="str">
            <v>ATIVA</v>
          </cell>
          <cell r="G251" t="str">
            <v>INFORMÁTICA E TECNOLOGIA DA INFORMAÇÃO</v>
          </cell>
          <cell r="H251" t="str">
            <v>SOCIEDADE DE ECONOMIA MISTA</v>
          </cell>
          <cell r="I251" t="str">
            <v>S.A.</v>
          </cell>
          <cell r="J251" t="str">
            <v>FECHADO</v>
          </cell>
          <cell r="K251" t="str">
            <v>NÃO</v>
          </cell>
          <cell r="L251" t="str">
            <v>NÃO</v>
          </cell>
          <cell r="M251" t="str">
            <v>NÃO DEPENDENTE</v>
          </cell>
          <cell r="N251">
            <v>1080</v>
          </cell>
          <cell r="O251" t="str">
            <v>OK</v>
          </cell>
          <cell r="P251" t="str">
            <v>SIM</v>
          </cell>
          <cell r="Q251" t="str">
            <v>SIM</v>
          </cell>
          <cell r="R251" t="str">
            <v>SIM</v>
          </cell>
          <cell r="S251" t="str">
            <v>https://www.procergs.rs.gov.br/carta-de-governanca-corporativa</v>
          </cell>
          <cell r="BF251" t="str">
            <v>87.124.582/0001-04</v>
          </cell>
          <cell r="BG251" t="str">
            <v>Companhia de Processamento de Dados do Estado do RS</v>
          </cell>
          <cell r="BH251" t="str">
            <v>PROCERGS</v>
          </cell>
        </row>
        <row r="252">
          <cell r="E252" t="str">
            <v>82.937.293/0001-00</v>
          </cell>
          <cell r="F252" t="str">
            <v>ATIVA</v>
          </cell>
          <cell r="G252" t="str">
            <v>FINANCEIRO</v>
          </cell>
          <cell r="H252" t="str">
            <v>SOCIEDADE DE ECONOMIA MISTA</v>
          </cell>
          <cell r="I252" t="str">
            <v>S.A.</v>
          </cell>
          <cell r="J252" t="str">
            <v>FECHADO</v>
          </cell>
          <cell r="K252" t="str">
            <v>NÃO</v>
          </cell>
          <cell r="L252" t="str">
            <v>NÃO</v>
          </cell>
          <cell r="M252" t="str">
            <v>NÃO DEPENDENTE</v>
          </cell>
          <cell r="N252">
            <v>118</v>
          </cell>
          <cell r="O252" t="str">
            <v>OK</v>
          </cell>
          <cell r="P252" t="str">
            <v>SIM</v>
          </cell>
          <cell r="Q252" t="str">
            <v>SIM</v>
          </cell>
          <cell r="R252" t="str">
            <v>SIM</v>
          </cell>
          <cell r="S252" t="str">
            <v>http://transparencia.badesc.gov.br/gestaoEstadual/cartaGovernanca</v>
          </cell>
          <cell r="BF252" t="str">
            <v>82.937.293/0001-00</v>
          </cell>
          <cell r="BG252" t="str">
            <v>Agência de Fomento do Estado de Santa Catarina S/A</v>
          </cell>
          <cell r="BH252" t="str">
            <v>BADESC</v>
          </cell>
        </row>
        <row r="253">
          <cell r="E253" t="str">
            <v>82.514.472/0001-27</v>
          </cell>
          <cell r="F253" t="str">
            <v>EM LIQUIDAÇÃO</v>
          </cell>
          <cell r="G253" t="str">
            <v>GESTÃO DE ATIVOS</v>
          </cell>
          <cell r="H253" t="str">
            <v>SOCIEDADE DE ECONOMIA MISTA</v>
          </cell>
          <cell r="I253" t="str">
            <v>S.A.</v>
          </cell>
          <cell r="J253" t="str">
            <v>FECHADO</v>
          </cell>
          <cell r="K253" t="str">
            <v>NÃO</v>
          </cell>
          <cell r="L253" t="str">
            <v>NÃO</v>
          </cell>
          <cell r="M253" t="str">
            <v>NÃO DEPENDENTE</v>
          </cell>
          <cell r="N253">
            <v>3</v>
          </cell>
          <cell r="O253" t="str">
            <v>OK</v>
          </cell>
          <cell r="P253" t="str">
            <v>NÃO</v>
          </cell>
          <cell r="Q253" t="str">
            <v>SIM</v>
          </cell>
          <cell r="R253" t="str">
            <v>NÃO</v>
          </cell>
          <cell r="S253" t="str">
            <v>Site não disponível</v>
          </cell>
          <cell r="BF253" t="str">
            <v>82.514.472/0001-27</v>
          </cell>
          <cell r="BG253" t="str">
            <v>Besc Corretora de Seguros e Administradora de Bens</v>
          </cell>
          <cell r="BH253" t="str">
            <v>BESCOR</v>
          </cell>
        </row>
        <row r="254">
          <cell r="E254" t="str">
            <v>92.816.560/0001-37</v>
          </cell>
          <cell r="F254" t="str">
            <v>ATIVA</v>
          </cell>
          <cell r="G254" t="str">
            <v>FINANCEIRO</v>
          </cell>
          <cell r="H254" t="str">
            <v>EMPRESA PÚBLICA</v>
          </cell>
          <cell r="I254" t="str">
            <v>OUTRAS</v>
          </cell>
          <cell r="J254" t="str">
            <v>FECHADO</v>
          </cell>
          <cell r="K254" t="str">
            <v>NÃO</v>
          </cell>
          <cell r="L254" t="str">
            <v>NÃO</v>
          </cell>
          <cell r="M254" t="str">
            <v>NÃO DEPENDENTE</v>
          </cell>
          <cell r="N254">
            <v>511</v>
          </cell>
          <cell r="O254" t="str">
            <v>OK</v>
          </cell>
          <cell r="P254" t="str">
            <v>SIM</v>
          </cell>
          <cell r="Q254" t="str">
            <v>SIM</v>
          </cell>
          <cell r="R254" t="str">
            <v>SIM</v>
          </cell>
          <cell r="S254" t="str">
            <v>https://www.brde.com.br/wp-content/uploads/2024/10/CARTA-ANUAL_2024.pdf</v>
          </cell>
          <cell r="BF254" t="str">
            <v>92.816.560/0001-37</v>
          </cell>
          <cell r="BG254" t="str">
            <v>Banco Regional de Desenvolvimento do Extremo Sul</v>
          </cell>
          <cell r="BH254" t="str">
            <v>BRDE SC</v>
          </cell>
        </row>
        <row r="255">
          <cell r="E255" t="str">
            <v>82.508.433/0001-17</v>
          </cell>
          <cell r="F255" t="str">
            <v>ATIVA</v>
          </cell>
          <cell r="G255" t="str">
            <v>SANEAMENTO</v>
          </cell>
          <cell r="H255" t="str">
            <v>SOCIEDADE DE ECONOMIA MISTA</v>
          </cell>
          <cell r="I255" t="str">
            <v>S.A.</v>
          </cell>
          <cell r="J255" t="str">
            <v>ABERTO</v>
          </cell>
          <cell r="K255" t="str">
            <v>SIM</v>
          </cell>
          <cell r="L255" t="str">
            <v>NÃO</v>
          </cell>
          <cell r="M255" t="str">
            <v>NÃO DEPENDENTE</v>
          </cell>
          <cell r="N255">
            <v>3393</v>
          </cell>
          <cell r="O255" t="str">
            <v>OK</v>
          </cell>
          <cell r="P255" t="str">
            <v>SIM</v>
          </cell>
          <cell r="Q255" t="str">
            <v>SIM</v>
          </cell>
          <cell r="R255" t="str">
            <v>SIM</v>
          </cell>
          <cell r="S255" t="str">
            <v>https://ri.casan.com.br/governanca-corporativa/carta-anual-de-politicas-publicas-e-governanca-corporativa/</v>
          </cell>
          <cell r="BF255" t="str">
            <v>82.508.433/0001-17</v>
          </cell>
          <cell r="BG255" t="str">
            <v>Companhia Catarinense de Águas e Saneamento</v>
          </cell>
          <cell r="BH255" t="str">
            <v>CASAN</v>
          </cell>
        </row>
        <row r="256">
          <cell r="E256" t="str">
            <v>83.284.828/0001-46</v>
          </cell>
          <cell r="F256" t="str">
            <v>ATIVA</v>
          </cell>
          <cell r="G256" t="str">
            <v>ABASTECIMENTO DE ALIMENTOS E OUTROS INSUMOS</v>
          </cell>
          <cell r="H256" t="str">
            <v>SOCIEDADE DE ECONOMIA MISTA</v>
          </cell>
          <cell r="I256" t="str">
            <v>S.A.</v>
          </cell>
          <cell r="J256" t="str">
            <v>FECHADO</v>
          </cell>
          <cell r="K256" t="str">
            <v>NÃO</v>
          </cell>
          <cell r="L256" t="str">
            <v>NÃO</v>
          </cell>
          <cell r="M256" t="str">
            <v>NÃO DEPENDENTE</v>
          </cell>
          <cell r="N256">
            <v>43</v>
          </cell>
          <cell r="O256" t="str">
            <v>OK</v>
          </cell>
          <cell r="P256" t="str">
            <v>SIM</v>
          </cell>
          <cell r="Q256" t="str">
            <v>SIM</v>
          </cell>
          <cell r="R256" t="str">
            <v>NÃO</v>
          </cell>
          <cell r="S256" t="str">
            <v>http://www.transparencia.ceasa.sc.gov.br/</v>
          </cell>
          <cell r="BF256" t="str">
            <v>83.284.828/0001-46</v>
          </cell>
          <cell r="BG256" t="str">
            <v>Centrais de Abastecimento de Santa Catarina</v>
          </cell>
          <cell r="BH256" t="str">
            <v>CEASA SC</v>
          </cell>
        </row>
        <row r="257">
          <cell r="E257" t="str">
            <v>83.878.892/0001-55</v>
          </cell>
          <cell r="F257" t="str">
            <v>ATIVA</v>
          </cell>
          <cell r="G257" t="str">
            <v>ENERGIA</v>
          </cell>
          <cell r="H257" t="str">
            <v>SOCIEDADE DE ECONOMIA MISTA</v>
          </cell>
          <cell r="I257" t="str">
            <v>S.A.</v>
          </cell>
          <cell r="J257" t="str">
            <v>ABERTO</v>
          </cell>
          <cell r="K257" t="str">
            <v>SIM</v>
          </cell>
          <cell r="L257" t="str">
            <v>NÃO</v>
          </cell>
          <cell r="M257" t="str">
            <v>NÃO DEPENDENTE</v>
          </cell>
          <cell r="N257">
            <v>7668</v>
          </cell>
          <cell r="O257" t="str">
            <v>OK</v>
          </cell>
          <cell r="P257" t="str">
            <v>SIM</v>
          </cell>
          <cell r="Q257" t="str">
            <v>SIM</v>
          </cell>
          <cell r="R257" t="str">
            <v>SIM</v>
          </cell>
          <cell r="S257" t="str">
            <v>https://api.mziq.com/mzfilemanager/v2/d/137b4414-3d0c-493e-8b59-0d02bc3e4072/5096cbae-96bc-0bcc-6a35-59e93c983a5e?origin=1</v>
          </cell>
          <cell r="BF257" t="str">
            <v>83.878.892/0001-55</v>
          </cell>
          <cell r="BG257" t="str">
            <v>Centrais Elétricas de Santa Catarina S/A</v>
          </cell>
          <cell r="BH257" t="str">
            <v>CELESC</v>
          </cell>
        </row>
        <row r="258">
          <cell r="E258" t="str">
            <v>83.043.745/0001-65</v>
          </cell>
          <cell r="F258" t="str">
            <v>ATIVA</v>
          </cell>
          <cell r="G258" t="str">
            <v>INFORMÁTICA E TECNOLOGIA DA INFORMAÇÃO</v>
          </cell>
          <cell r="H258" t="str">
            <v>EMPRESA PÚBLICA</v>
          </cell>
          <cell r="I258" t="str">
            <v>S.A.</v>
          </cell>
          <cell r="J258" t="str">
            <v>FECHADO</v>
          </cell>
          <cell r="K258" t="str">
            <v>NÃO</v>
          </cell>
          <cell r="L258" t="str">
            <v>NÃO</v>
          </cell>
          <cell r="M258" t="str">
            <v>NÃO DEPENDENTE</v>
          </cell>
          <cell r="N258">
            <v>362</v>
          </cell>
          <cell r="O258" t="str">
            <v>OK</v>
          </cell>
          <cell r="P258" t="str">
            <v>SIM</v>
          </cell>
          <cell r="Q258" t="str">
            <v>SIM</v>
          </cell>
          <cell r="R258" t="str">
            <v>NÃO</v>
          </cell>
          <cell r="S258" t="str">
            <v>https://transparencia.ciasc.sc.gov.br/ciasc/gestao/planos-relatorios-e-indicadores/relatorio-de-administracao/307-relatorio-de-administracao-2023/file</v>
          </cell>
          <cell r="BF258" t="str">
            <v>83.043.745/0001-65</v>
          </cell>
          <cell r="BG258" t="str">
            <v>Centro de Informática e Automação do Estado de Santa Catarina S/A</v>
          </cell>
          <cell r="BH258" t="str">
            <v>CIASC</v>
          </cell>
        </row>
        <row r="259">
          <cell r="E259" t="str">
            <v>83.807.586/0001-28</v>
          </cell>
          <cell r="F259" t="str">
            <v>ATIVA</v>
          </cell>
          <cell r="G259" t="str">
            <v>PESQUISA E ASSISTÊNCIA TÉCNICA AGROPECUÁRIA</v>
          </cell>
          <cell r="H259" t="str">
            <v>EMPRESA PÚBLICA</v>
          </cell>
          <cell r="I259" t="str">
            <v>OUTRAS</v>
          </cell>
          <cell r="J259" t="str">
            <v>FECHADO</v>
          </cell>
          <cell r="K259" t="str">
            <v>NÃO</v>
          </cell>
          <cell r="L259" t="str">
            <v>NÃO</v>
          </cell>
          <cell r="M259" t="str">
            <v>DEPENDENTE</v>
          </cell>
          <cell r="N259">
            <v>1375</v>
          </cell>
          <cell r="O259" t="str">
            <v>OK</v>
          </cell>
          <cell r="P259" t="str">
            <v>SIM</v>
          </cell>
          <cell r="Q259" t="str">
            <v>SIM</v>
          </cell>
          <cell r="R259" t="str">
            <v>NÃO</v>
          </cell>
          <cell r="S259" t="str">
            <v>https://www.cidasc.sc.gov.br/wp-content/uploads/2023/04/CAGC-2023.docx-1.pdf</v>
          </cell>
          <cell r="BF259" t="str">
            <v>83.807.586/0001-28</v>
          </cell>
          <cell r="BG259" t="str">
            <v>Companhia Integrada de Desenvolvimento Agrícola de Santa Catarina</v>
          </cell>
          <cell r="BH259" t="str">
            <v>CIDASC</v>
          </cell>
        </row>
        <row r="260">
          <cell r="E260" t="str">
            <v>83.883.710/0001-34</v>
          </cell>
          <cell r="F260" t="str">
            <v>EM LIQUIDAÇÃO</v>
          </cell>
          <cell r="G260" t="str">
            <v>HABITAÇÃO E URBANIZAÇÃO</v>
          </cell>
          <cell r="H260" t="str">
            <v>SOCIEDADE DE ECONOMIA MISTA</v>
          </cell>
          <cell r="I260" t="str">
            <v>S.A.</v>
          </cell>
          <cell r="J260" t="str">
            <v>FECHADO</v>
          </cell>
          <cell r="K260" t="str">
            <v>NÃO</v>
          </cell>
          <cell r="L260" t="str">
            <v>NÃO</v>
          </cell>
          <cell r="M260" t="str">
            <v>DEPENDENTE</v>
          </cell>
          <cell r="N260">
            <v>20</v>
          </cell>
          <cell r="O260" t="str">
            <v>OK</v>
          </cell>
          <cell r="P260" t="str">
            <v>NÃO</v>
          </cell>
          <cell r="Q260" t="str">
            <v>SIM</v>
          </cell>
          <cell r="R260" t="str">
            <v>NÃO</v>
          </cell>
          <cell r="S260" t="str">
            <v>http://www.cohab.sc.gov.br/</v>
          </cell>
          <cell r="BF260" t="str">
            <v>83.883.710/0001-34</v>
          </cell>
          <cell r="BG260" t="str">
            <v>Companhia de Habitação do Estado de Santa Catarina</v>
          </cell>
          <cell r="BH260" t="str">
            <v>COHAB/SC</v>
          </cell>
        </row>
        <row r="261">
          <cell r="E261" t="str">
            <v>83.052.191/0001-62</v>
          </cell>
          <cell r="F261" t="str">
            <v>ATIVA</v>
          </cell>
          <cell r="G261" t="str">
            <v>PESQUISA E ASSISTÊNCIA TÉCNICA AGROPECUÁRIA</v>
          </cell>
          <cell r="H261" t="str">
            <v>EMPRESA PÚBLICA</v>
          </cell>
          <cell r="I261" t="str">
            <v>LTDA</v>
          </cell>
          <cell r="J261" t="str">
            <v>FECHADO</v>
          </cell>
          <cell r="K261" t="str">
            <v>NÃO</v>
          </cell>
          <cell r="L261" t="str">
            <v>NÃO</v>
          </cell>
          <cell r="M261" t="str">
            <v>DEPENDENTE</v>
          </cell>
          <cell r="N261">
            <v>1816</v>
          </cell>
          <cell r="O261" t="str">
            <v>OK</v>
          </cell>
          <cell r="P261" t="str">
            <v>SIM</v>
          </cell>
          <cell r="Q261" t="str">
            <v>SIM</v>
          </cell>
          <cell r="R261" t="str">
            <v>NÃO</v>
          </cell>
          <cell r="S261" t="str">
            <v>https://transparencia.epagri.sc.gov.br/?page_id=919</v>
          </cell>
          <cell r="BF261" t="str">
            <v>83.052.191/0001-62</v>
          </cell>
          <cell r="BG261" t="str">
            <v>Empresa de Pesquisa Agropecuária e Extensão Rural de Santa Catarina</v>
          </cell>
          <cell r="BH261" t="str">
            <v>EPAGRI</v>
          </cell>
        </row>
        <row r="262">
          <cell r="E262" t="str">
            <v>83.470.716/0001-80</v>
          </cell>
          <cell r="F262" t="str">
            <v>ATIVA</v>
          </cell>
          <cell r="G262" t="str">
            <v>OUTROS</v>
          </cell>
          <cell r="H262" t="str">
            <v>SOCIEDADE DE ECONOMIA MISTA</v>
          </cell>
          <cell r="I262" t="str">
            <v>S.A.</v>
          </cell>
          <cell r="J262" t="str">
            <v>FECHADO</v>
          </cell>
          <cell r="K262" t="str">
            <v>NÃO</v>
          </cell>
          <cell r="L262" t="str">
            <v>NÃO</v>
          </cell>
          <cell r="M262" t="str">
            <v>NÃO DEPENDENTE</v>
          </cell>
          <cell r="N262">
            <v>57</v>
          </cell>
          <cell r="O262" t="str">
            <v>OK</v>
          </cell>
          <cell r="P262" t="str">
            <v>SIM</v>
          </cell>
          <cell r="Q262" t="str">
            <v>SIM</v>
          </cell>
          <cell r="R262" t="str">
            <v>NÃO</v>
          </cell>
          <cell r="S262" t="str">
            <v>https://hidrocaldas.com.br/</v>
          </cell>
          <cell r="BF262" t="str">
            <v>83.470.716/0001-80</v>
          </cell>
          <cell r="BG262" t="str">
            <v>Companhia Hidromineral Caldas da Imperatriz</v>
          </cell>
          <cell r="BH262" t="str">
            <v>HIDROCALDAS</v>
          </cell>
        </row>
        <row r="263">
          <cell r="E263" t="str">
            <v>00.124.055/0001-03</v>
          </cell>
          <cell r="F263" t="str">
            <v>ATIVA</v>
          </cell>
          <cell r="G263" t="str">
            <v>DESENVOLVIMENTO REGIONAL</v>
          </cell>
          <cell r="H263" t="str">
            <v>SOCIEDADE DE ECONOMIA MISTA</v>
          </cell>
          <cell r="I263" t="str">
            <v>S.A.</v>
          </cell>
          <cell r="J263" t="str">
            <v>FECHADO</v>
          </cell>
          <cell r="K263" t="str">
            <v>NÃO</v>
          </cell>
          <cell r="L263" t="str">
            <v>NÃO</v>
          </cell>
          <cell r="M263" t="str">
            <v>NÃO DEPENDENTE</v>
          </cell>
          <cell r="N263">
            <v>2</v>
          </cell>
          <cell r="O263" t="str">
            <v>OK</v>
          </cell>
          <cell r="P263" t="str">
            <v>SIM</v>
          </cell>
          <cell r="Q263" t="str">
            <v>SIM</v>
          </cell>
          <cell r="R263" t="str">
            <v>NÃO</v>
          </cell>
          <cell r="S263" t="str">
            <v>Site não disponível</v>
          </cell>
          <cell r="BF263" t="str">
            <v>00.124.055/0001-03</v>
          </cell>
          <cell r="BG263" t="str">
            <v>Administradora da Zona de Processamento de Exportação S/A</v>
          </cell>
          <cell r="BH263" t="str">
            <v>IAZPE</v>
          </cell>
        </row>
        <row r="264">
          <cell r="E264" t="str">
            <v>00.897.864/0001-58</v>
          </cell>
          <cell r="F264" t="str">
            <v>ATIVA</v>
          </cell>
          <cell r="G264" t="str">
            <v>FINANCEIRO</v>
          </cell>
          <cell r="H264" t="str">
            <v>SOCIEDADE DE ECONOMIA MISTA</v>
          </cell>
          <cell r="I264" t="str">
            <v>S.A.</v>
          </cell>
          <cell r="J264" t="str">
            <v>FECHADO</v>
          </cell>
          <cell r="K264" t="str">
            <v>NÃO</v>
          </cell>
          <cell r="L264" t="str">
            <v>NÃO</v>
          </cell>
          <cell r="M264" t="str">
            <v>NÃO DEPENDENTE</v>
          </cell>
          <cell r="N264">
            <v>0</v>
          </cell>
          <cell r="O264" t="str">
            <v>VERIFICAR</v>
          </cell>
          <cell r="P264" t="str">
            <v>SIM</v>
          </cell>
          <cell r="Q264" t="str">
            <v>SIM</v>
          </cell>
          <cell r="R264" t="str">
            <v>SIM</v>
          </cell>
          <cell r="S264" t="str">
            <v>Site não disponível</v>
          </cell>
          <cell r="BF264" t="str">
            <v>00.897.864/0001-58</v>
          </cell>
          <cell r="BG264" t="str">
            <v>Santa Catarina Participação e Investimentos S/A</v>
          </cell>
          <cell r="BH264" t="str">
            <v>INVESC</v>
          </cell>
        </row>
        <row r="265">
          <cell r="E265" t="str">
            <v>83.469.908/0001-76</v>
          </cell>
          <cell r="F265" t="str">
            <v>EM LIQUIDAÇÃO</v>
          </cell>
          <cell r="G265" t="str">
            <v>TURISMO</v>
          </cell>
          <cell r="H265" t="str">
            <v>SOCIEDADE DE ECONOMIA MISTA</v>
          </cell>
          <cell r="I265" t="str">
            <v>S.A.</v>
          </cell>
          <cell r="J265" t="str">
            <v>FECHADO</v>
          </cell>
          <cell r="K265" t="str">
            <v>NÃO</v>
          </cell>
          <cell r="L265" t="str">
            <v>NÃO</v>
          </cell>
          <cell r="M265" t="str">
            <v>DEPENDENTE</v>
          </cell>
          <cell r="N265">
            <v>31</v>
          </cell>
          <cell r="O265" t="str">
            <v>OK</v>
          </cell>
          <cell r="P265" t="str">
            <v>NÃO</v>
          </cell>
          <cell r="Q265" t="str">
            <v>SIM</v>
          </cell>
          <cell r="R265" t="str">
            <v>NÃO</v>
          </cell>
          <cell r="S265" t="str">
            <v>https://www.scturismo.com.br/orgaos/</v>
          </cell>
          <cell r="BF265" t="str">
            <v>83.469.908/0001-76</v>
          </cell>
          <cell r="BG265" t="str">
            <v>Santa Catarina Turismo S/A</v>
          </cell>
          <cell r="BH265" t="str">
            <v>SANTUR</v>
          </cell>
        </row>
        <row r="266">
          <cell r="E266" t="str">
            <v>05.563.063/0001-70</v>
          </cell>
          <cell r="F266" t="str">
            <v>ATIVA</v>
          </cell>
          <cell r="G266" t="str">
            <v>OUTROS</v>
          </cell>
          <cell r="H266" t="str">
            <v>SOCIEDADE DE ECONOMIA MISTA</v>
          </cell>
          <cell r="I266" t="str">
            <v>S.A.</v>
          </cell>
          <cell r="J266" t="str">
            <v>FECHADO</v>
          </cell>
          <cell r="K266" t="str">
            <v>NÃO</v>
          </cell>
          <cell r="L266" t="str">
            <v>NÃO</v>
          </cell>
          <cell r="M266" t="str">
            <v>NÃO DEPENDENTE</v>
          </cell>
          <cell r="N266">
            <v>19</v>
          </cell>
          <cell r="O266" t="str">
            <v>OK</v>
          </cell>
          <cell r="P266" t="str">
            <v>SIM</v>
          </cell>
          <cell r="Q266" t="str">
            <v>SIM</v>
          </cell>
          <cell r="R266" t="str">
            <v>NÃO</v>
          </cell>
          <cell r="S266" t="str">
            <v>Site não disponível</v>
          </cell>
          <cell r="BF266" t="str">
            <v>05.563.063/0001-70</v>
          </cell>
          <cell r="BG266" t="str">
            <v>Sapiens Parque S/A</v>
          </cell>
          <cell r="BH266" t="str">
            <v>SAPIENS</v>
          </cell>
        </row>
        <row r="267">
          <cell r="E267" t="str">
            <v>07.293.552/0001-84</v>
          </cell>
          <cell r="F267" t="str">
            <v>ATIVA</v>
          </cell>
          <cell r="G267" t="str">
            <v>GESTÃO DE ATIVOS</v>
          </cell>
          <cell r="H267" t="str">
            <v>SOCIEDADE DE ECONOMIA MISTA</v>
          </cell>
          <cell r="I267" t="str">
            <v>S.A.</v>
          </cell>
          <cell r="J267" t="str">
            <v>FECHADO</v>
          </cell>
          <cell r="K267" t="str">
            <v>NÃO</v>
          </cell>
          <cell r="L267" t="str">
            <v>NÃO</v>
          </cell>
          <cell r="M267" t="str">
            <v>NÃO DEPENDENTE</v>
          </cell>
          <cell r="N267">
            <v>40</v>
          </cell>
          <cell r="O267" t="str">
            <v>OK</v>
          </cell>
          <cell r="P267" t="str">
            <v>SIM</v>
          </cell>
          <cell r="Q267" t="str">
            <v>SIM</v>
          </cell>
          <cell r="R267" t="str">
            <v>SIM</v>
          </cell>
          <cell r="S267" t="str">
            <v>http://transparencia.scpar.sc.gov.br/scpar/gestao/governanca/carta-anual-de-governanca-corporativa</v>
          </cell>
          <cell r="BF267" t="str">
            <v>07.293.552/0001-84</v>
          </cell>
          <cell r="BG267" t="str">
            <v>SC Participações e Parcerias S/A</v>
          </cell>
          <cell r="BH267" t="str">
            <v>SCPAR</v>
          </cell>
        </row>
        <row r="268">
          <cell r="E268" t="str">
            <v>13.009.717/0001-46</v>
          </cell>
          <cell r="F268" t="str">
            <v>ATIVA</v>
          </cell>
          <cell r="G268" t="str">
            <v>FINANCEIRO</v>
          </cell>
          <cell r="H268" t="str">
            <v>SOCIEDADE DE ECONOMIA MISTA</v>
          </cell>
          <cell r="I268" t="str">
            <v>S.A.</v>
          </cell>
          <cell r="J268" t="str">
            <v>ABERTO</v>
          </cell>
          <cell r="K268" t="str">
            <v>SIM</v>
          </cell>
          <cell r="L268" t="str">
            <v>NÃO</v>
          </cell>
          <cell r="M268" t="str">
            <v>NÃO DEPENDENTE</v>
          </cell>
          <cell r="N268">
            <v>1387</v>
          </cell>
          <cell r="O268" t="str">
            <v>OK</v>
          </cell>
          <cell r="P268" t="str">
            <v>SIM</v>
          </cell>
          <cell r="Q268" t="str">
            <v>SIM</v>
          </cell>
          <cell r="R268" t="str">
            <v>SIM</v>
          </cell>
          <cell r="S268" t="str">
            <v>https://ri.banese.com.br/governanca-corporativa/carta-anual-de-governanca/</v>
          </cell>
          <cell r="BF268" t="str">
            <v>13.009.717/0001-46</v>
          </cell>
          <cell r="BG268" t="str">
            <v>Banco do Estado de Sergipe S/A</v>
          </cell>
          <cell r="BH268" t="str">
            <v>BANESE</v>
          </cell>
        </row>
        <row r="269">
          <cell r="E269" t="str">
            <v>13.006.572/0001-20</v>
          </cell>
          <cell r="F269" t="str">
            <v>ATIVA</v>
          </cell>
          <cell r="G269" t="str">
            <v>HABITAÇÃO E URBANIZAÇÃO</v>
          </cell>
          <cell r="H269" t="str">
            <v>SOCIEDADE DE ECONOMIA MISTA</v>
          </cell>
          <cell r="I269" t="str">
            <v>S.A.</v>
          </cell>
          <cell r="J269" t="str">
            <v>ABERTO</v>
          </cell>
          <cell r="K269" t="str">
            <v>NÃO</v>
          </cell>
          <cell r="L269" t="str">
            <v>NÃO</v>
          </cell>
          <cell r="M269" t="str">
            <v>DEPENDENTE</v>
          </cell>
          <cell r="N269">
            <v>194</v>
          </cell>
          <cell r="O269" t="str">
            <v>OK</v>
          </cell>
          <cell r="P269" t="str">
            <v>SIM</v>
          </cell>
          <cell r="Q269" t="str">
            <v>SIM</v>
          </cell>
          <cell r="R269" t="str">
            <v>NÃO</v>
          </cell>
          <cell r="S269" t="str">
            <v>https://cehop.se.gov.br/</v>
          </cell>
          <cell r="BF269" t="str">
            <v>13.006.572/0001-20</v>
          </cell>
          <cell r="BG269" t="str">
            <v>Companhia Estadual de Habitação e Obras Públicas</v>
          </cell>
          <cell r="BH269" t="str">
            <v>CEHOP</v>
          </cell>
        </row>
        <row r="270">
          <cell r="E270" t="str">
            <v>15.613.813/0001-24</v>
          </cell>
          <cell r="F270" t="str">
            <v>ATIVA</v>
          </cell>
          <cell r="G270" t="str">
            <v>ABASTECIMENTO DE ALIMENTOS E OUTROS INSUMOS</v>
          </cell>
          <cell r="H270" t="str">
            <v>SOCIEDADE DE ECONOMIA MISTA</v>
          </cell>
          <cell r="I270" t="str">
            <v>S.A.</v>
          </cell>
          <cell r="J270" t="str">
            <v>ABERTO</v>
          </cell>
          <cell r="K270" t="str">
            <v>NÃO</v>
          </cell>
          <cell r="L270" t="str">
            <v>NÃO</v>
          </cell>
          <cell r="M270" t="str">
            <v>DEPENDENTE</v>
          </cell>
          <cell r="N270">
            <v>304</v>
          </cell>
          <cell r="O270" t="str">
            <v>OK</v>
          </cell>
          <cell r="P270" t="str">
            <v>SIM</v>
          </cell>
          <cell r="Q270" t="str">
            <v>SIM</v>
          </cell>
          <cell r="R270" t="str">
            <v>NÃO</v>
          </cell>
          <cell r="S270" t="str">
            <v>https://coderse.se.gov.br/</v>
          </cell>
          <cell r="BF270" t="str">
            <v>15.613.813/0001-24</v>
          </cell>
          <cell r="BG270" t="str">
            <v>Companhia de Desenvolvimento de Recursos Hídricos e Irrigação de Sergipe</v>
          </cell>
          <cell r="BH270" t="str">
            <v>CODERSE</v>
          </cell>
        </row>
        <row r="271">
          <cell r="E271" t="str">
            <v>13.146.642/0001-45</v>
          </cell>
          <cell r="F271" t="str">
            <v>ATIVA</v>
          </cell>
          <cell r="G271" t="str">
            <v>DESENVOLVIMENTO REGIONAL</v>
          </cell>
          <cell r="H271" t="str">
            <v>SOCIEDADE DE ECONOMIA MISTA</v>
          </cell>
          <cell r="I271" t="str">
            <v>S.A.</v>
          </cell>
          <cell r="J271" t="str">
            <v>ABERTO</v>
          </cell>
          <cell r="K271" t="str">
            <v>NÃO</v>
          </cell>
          <cell r="L271" t="str">
            <v>NÃO</v>
          </cell>
          <cell r="M271" t="str">
            <v>DEPENDENTE</v>
          </cell>
          <cell r="N271">
            <v>157</v>
          </cell>
          <cell r="O271" t="str">
            <v>OK</v>
          </cell>
          <cell r="P271" t="str">
            <v>SIM</v>
          </cell>
          <cell r="Q271" t="str">
            <v>SIM</v>
          </cell>
          <cell r="R271" t="str">
            <v>NÃO</v>
          </cell>
          <cell r="S271" t="str">
            <v>https://codise.se.gov.br/carta-anual-politicas-publicas/</v>
          </cell>
          <cell r="BF271" t="str">
            <v>13.146.642/0001-45</v>
          </cell>
          <cell r="BG271" t="str">
            <v>Companhia de Desenvolvimento Econômico de Sergipe</v>
          </cell>
          <cell r="BH271" t="str">
            <v>CODISE</v>
          </cell>
        </row>
        <row r="272">
          <cell r="E272" t="str">
            <v>51.813.615/0001-78</v>
          </cell>
          <cell r="F272" t="str">
            <v>ATIVA</v>
          </cell>
          <cell r="G272" t="str">
            <v>DESENVOLVIMENTO REGIONAL</v>
          </cell>
          <cell r="H272" t="str">
            <v>SOCIEDADE DE ECONOMIA MISTA</v>
          </cell>
          <cell r="I272" t="str">
            <v>S.A.</v>
          </cell>
          <cell r="J272" t="str">
            <v>FECHADO</v>
          </cell>
          <cell r="K272" t="str">
            <v>NÃO</v>
          </cell>
          <cell r="L272" t="str">
            <v>NÃO</v>
          </cell>
          <cell r="M272" t="str">
            <v>NÃO DEPENDENTE</v>
          </cell>
          <cell r="N272">
            <v>11</v>
          </cell>
          <cell r="O272" t="str">
            <v>OK</v>
          </cell>
          <cell r="P272" t="str">
            <v>SIM</v>
          </cell>
          <cell r="Q272" t="str">
            <v>SIM</v>
          </cell>
          <cell r="R272" t="str">
            <v>NÃO</v>
          </cell>
          <cell r="S272" t="str">
            <v>https://desenvolve.se.gov.br/wp-content/uploads/2024/06/cartaanualdepoliticas.pdf</v>
          </cell>
          <cell r="BF272" t="str">
            <v>51.813.615/0001-78</v>
          </cell>
          <cell r="BG272" t="str">
            <v>Agência Sergipe de Desenvolvimento S/A</v>
          </cell>
          <cell r="BH272" t="str">
            <v>DESENVOLVE-SE</v>
          </cell>
        </row>
        <row r="273">
          <cell r="E273" t="str">
            <v>13.018.171/0001-90</v>
          </cell>
          <cell r="F273" t="str">
            <v>ATIVA</v>
          </cell>
          <cell r="G273" t="str">
            <v>SANEAMENTO</v>
          </cell>
          <cell r="H273" t="str">
            <v>SOCIEDADE DE ECONOMIA MISTA</v>
          </cell>
          <cell r="I273" t="str">
            <v>S.A.</v>
          </cell>
          <cell r="J273" t="str">
            <v>FECHADO</v>
          </cell>
          <cell r="K273" t="str">
            <v>NÃO</v>
          </cell>
          <cell r="L273" t="str">
            <v>NÃO</v>
          </cell>
          <cell r="M273" t="str">
            <v>NÃO DEPENDENTE</v>
          </cell>
          <cell r="N273">
            <v>1573</v>
          </cell>
          <cell r="O273" t="str">
            <v>OK</v>
          </cell>
          <cell r="P273" t="str">
            <v>SIM</v>
          </cell>
          <cell r="Q273" t="str">
            <v>SIM</v>
          </cell>
          <cell r="R273" t="str">
            <v>NÃO</v>
          </cell>
          <cell r="S273" t="str">
            <v>https://transparencia.deso-se.com.br/</v>
          </cell>
          <cell r="BF273" t="str">
            <v>13.018.171/0001-90</v>
          </cell>
          <cell r="BG273" t="str">
            <v>Companhia de Saneamento de Sergipe</v>
          </cell>
          <cell r="BH273" t="str">
            <v>DESO</v>
          </cell>
        </row>
        <row r="274">
          <cell r="E274" t="str">
            <v>13.108.295/0001-66</v>
          </cell>
          <cell r="F274" t="str">
            <v>ATIVA</v>
          </cell>
          <cell r="G274" t="str">
            <v>PESQUISA E ASSISTÊNCIA TÉCNICA AGROPECUÁRIA</v>
          </cell>
          <cell r="H274" t="str">
            <v>EMPRESA PÚBLICA</v>
          </cell>
          <cell r="I274" t="str">
            <v>OUTRAS</v>
          </cell>
          <cell r="J274" t="str">
            <v>FECHADO</v>
          </cell>
          <cell r="K274" t="str">
            <v>NÃO</v>
          </cell>
          <cell r="L274" t="str">
            <v>NÃO</v>
          </cell>
          <cell r="M274" t="str">
            <v>DEPENDENTE</v>
          </cell>
          <cell r="N274">
            <v>496</v>
          </cell>
          <cell r="O274" t="str">
            <v>OK</v>
          </cell>
          <cell r="P274" t="str">
            <v>SIM</v>
          </cell>
          <cell r="Q274" t="str">
            <v>SIM</v>
          </cell>
          <cell r="R274" t="str">
            <v>NÃO</v>
          </cell>
          <cell r="S274" t="str">
            <v>https://www.emdagro.se.gov.br</v>
          </cell>
          <cell r="BF274" t="str">
            <v>13.108.295/0001-66</v>
          </cell>
          <cell r="BG274" t="str">
            <v>Empresa de Desenvolvimento Agropecuário de Sergipe</v>
          </cell>
          <cell r="BH274" t="str">
            <v>EMDAGRO</v>
          </cell>
        </row>
        <row r="275">
          <cell r="E275" t="str">
            <v>13.164.959/0001-04</v>
          </cell>
          <cell r="F275" t="str">
            <v>ATIVA</v>
          </cell>
          <cell r="G275" t="str">
            <v>INFORMÁTICA E TECNOLOGIA DA INFORMAÇÃO</v>
          </cell>
          <cell r="H275" t="str">
            <v>EMPRESA PÚBLICA</v>
          </cell>
          <cell r="I275" t="str">
            <v>OUTRAS</v>
          </cell>
          <cell r="J275" t="str">
            <v>FECHADO</v>
          </cell>
          <cell r="K275" t="str">
            <v>NÃO</v>
          </cell>
          <cell r="L275" t="str">
            <v>NÃO</v>
          </cell>
          <cell r="M275" t="str">
            <v>DEPENDENTE</v>
          </cell>
          <cell r="N275">
            <v>98</v>
          </cell>
          <cell r="O275" t="str">
            <v>OK</v>
          </cell>
          <cell r="P275" t="str">
            <v>SIM</v>
          </cell>
          <cell r="Q275" t="str">
            <v>SIM</v>
          </cell>
          <cell r="R275" t="str">
            <v>NÃO</v>
          </cell>
          <cell r="S275" t="str">
            <v>https://emgetis.se.gov.br/</v>
          </cell>
          <cell r="BF275" t="str">
            <v>13.164.959/0001-04</v>
          </cell>
          <cell r="BG275" t="str">
            <v>Empresa Sergipana de Tecnologia da Informação</v>
          </cell>
          <cell r="BH275" t="str">
            <v>EMGETIS</v>
          </cell>
        </row>
        <row r="276">
          <cell r="E276" t="str">
            <v>13.076.534/0001-43</v>
          </cell>
          <cell r="F276" t="str">
            <v>ATIVA</v>
          </cell>
          <cell r="G276" t="str">
            <v>TURISMO</v>
          </cell>
          <cell r="H276" t="str">
            <v>SOCIEDADE DE ECONOMIA MISTA</v>
          </cell>
          <cell r="I276" t="str">
            <v>S.A.</v>
          </cell>
          <cell r="J276" t="str">
            <v>FECHADO</v>
          </cell>
          <cell r="K276" t="str">
            <v>NÃO</v>
          </cell>
          <cell r="L276" t="str">
            <v>NÃO</v>
          </cell>
          <cell r="M276" t="str">
            <v>DEPENDENTE</v>
          </cell>
          <cell r="N276">
            <v>41</v>
          </cell>
          <cell r="O276" t="str">
            <v>OK</v>
          </cell>
          <cell r="P276" t="str">
            <v>SIM</v>
          </cell>
          <cell r="Q276" t="str">
            <v>SIM</v>
          </cell>
          <cell r="R276" t="str">
            <v>NÃO</v>
          </cell>
          <cell r="S276" t="str">
            <v>https://www.se.gov.br/emsetur/emsetur_transparencia</v>
          </cell>
          <cell r="BF276" t="str">
            <v>13.076.534/0001-43</v>
          </cell>
          <cell r="BG276" t="str">
            <v>Empresa Sergipana de Turismo S/A</v>
          </cell>
          <cell r="BH276" t="str">
            <v>EMSETUR</v>
          </cell>
        </row>
        <row r="277">
          <cell r="E277" t="str">
            <v>13.085.519/0001-61</v>
          </cell>
          <cell r="F277" t="str">
            <v>ATIVA</v>
          </cell>
          <cell r="G277" t="str">
            <v>COMUNICAÇÃO</v>
          </cell>
          <cell r="H277" t="str">
            <v>EMPRESA PÚBLICA</v>
          </cell>
          <cell r="I277" t="str">
            <v>OUTRAS</v>
          </cell>
          <cell r="J277" t="str">
            <v>FECHADO</v>
          </cell>
          <cell r="K277" t="str">
            <v>NÃO</v>
          </cell>
          <cell r="L277" t="str">
            <v>NÃO</v>
          </cell>
          <cell r="M277" t="str">
            <v>NÃO DEPENDENTE</v>
          </cell>
          <cell r="N277">
            <v>73</v>
          </cell>
          <cell r="O277" t="str">
            <v>OK</v>
          </cell>
          <cell r="P277" t="str">
            <v>SIM</v>
          </cell>
          <cell r="Q277" t="str">
            <v>SIM</v>
          </cell>
          <cell r="R277" t="str">
            <v>NÃO</v>
          </cell>
          <cell r="S277" t="str">
            <v>https://iose.se.gov.br/</v>
          </cell>
          <cell r="BF277" t="str">
            <v>13.085.519/0001-61</v>
          </cell>
          <cell r="BG277" t="str">
            <v>Imprensa Oficial de Sergipe</v>
          </cell>
          <cell r="BH277" t="str">
            <v>IOSE</v>
          </cell>
        </row>
        <row r="278">
          <cell r="E278" t="str">
            <v>74.028.457/0001-40</v>
          </cell>
          <cell r="F278" t="str">
            <v>ATIVA</v>
          </cell>
          <cell r="G278" t="str">
            <v>DESENVOLVIMENTO REGIONAL</v>
          </cell>
          <cell r="H278" t="str">
            <v>EMPRESA PÚBLICA</v>
          </cell>
          <cell r="I278" t="str">
            <v>OUTRAS</v>
          </cell>
          <cell r="J278" t="str">
            <v>FECHADO</v>
          </cell>
          <cell r="K278" t="str">
            <v>NÃO</v>
          </cell>
          <cell r="L278" t="str">
            <v>NÃO</v>
          </cell>
          <cell r="M278" t="str">
            <v>DEPENDENTE</v>
          </cell>
          <cell r="N278">
            <v>56</v>
          </cell>
          <cell r="O278" t="str">
            <v>OK</v>
          </cell>
          <cell r="P278" t="str">
            <v>SIM</v>
          </cell>
          <cell r="Q278" t="str">
            <v>SIM</v>
          </cell>
          <cell r="R278" t="str">
            <v>NÃO</v>
          </cell>
          <cell r="S278" t="str">
            <v>https://www.pronese.se.gov.br/transparencia</v>
          </cell>
          <cell r="BF278" t="str">
            <v>74.028.457/0001-40</v>
          </cell>
          <cell r="BG278" t="str">
            <v>Empresa de Desenvolvimento Sustentável do Estado de Sergipe</v>
          </cell>
          <cell r="BH278" t="str">
            <v>PRONESE</v>
          </cell>
        </row>
        <row r="279">
          <cell r="E279" t="str">
            <v>86.809.043/0001-38</v>
          </cell>
          <cell r="F279" t="str">
            <v>ATIVA</v>
          </cell>
          <cell r="G279" t="str">
            <v>GÁS E DERIVADOS</v>
          </cell>
          <cell r="H279" t="str">
            <v>SOCIEDADE DE ECONOMIA MISTA</v>
          </cell>
          <cell r="I279" t="str">
            <v>S.A.</v>
          </cell>
          <cell r="J279" t="str">
            <v>FECHADO</v>
          </cell>
          <cell r="K279" t="str">
            <v>NÃO</v>
          </cell>
          <cell r="L279" t="str">
            <v>NÃO</v>
          </cell>
          <cell r="M279" t="str">
            <v>NÃO DEPENDENTE</v>
          </cell>
          <cell r="N279">
            <v>100</v>
          </cell>
          <cell r="O279" t="str">
            <v>OK</v>
          </cell>
          <cell r="P279" t="str">
            <v>SIM</v>
          </cell>
          <cell r="Q279" t="str">
            <v>SIM</v>
          </cell>
          <cell r="R279" t="str">
            <v>NÃO</v>
          </cell>
          <cell r="S279" t="str">
            <v>https://www.sergipegas.com.br/transparencia/</v>
          </cell>
          <cell r="BF279" t="str">
            <v>86.809.043/0001-38</v>
          </cell>
          <cell r="BG279" t="str">
            <v>Sergipe Gás S/A</v>
          </cell>
          <cell r="BH279" t="str">
            <v>SERGAS</v>
          </cell>
        </row>
        <row r="280">
          <cell r="E280" t="str">
            <v>13.382.911/0001-72</v>
          </cell>
          <cell r="F280" t="str">
            <v>ATIVA</v>
          </cell>
          <cell r="G280" t="str">
            <v>DESENVOLVIMENTO REGIONAL</v>
          </cell>
          <cell r="H280" t="str">
            <v>SOCIEDADE DE ECONOMIA MISTA</v>
          </cell>
          <cell r="I280" t="str">
            <v>S.A.</v>
          </cell>
          <cell r="J280" t="str">
            <v>FECHADO</v>
          </cell>
          <cell r="K280" t="str">
            <v>NÃO</v>
          </cell>
          <cell r="L280" t="str">
            <v>NÃO</v>
          </cell>
          <cell r="M280" t="str">
            <v>DEPENDENTE</v>
          </cell>
          <cell r="N280">
            <v>0</v>
          </cell>
          <cell r="O280" t="str">
            <v>VERIFICAR</v>
          </cell>
          <cell r="P280" t="str">
            <v>SIM</v>
          </cell>
          <cell r="Q280" t="str">
            <v>SIM</v>
          </cell>
          <cell r="R280" t="str">
            <v>NÃO</v>
          </cell>
          <cell r="S280" t="str">
            <v>https://www.abrazpe.org.br/index.php/zpesbrasil/</v>
          </cell>
          <cell r="BF280" t="str">
            <v>13.382.911/0001-72</v>
          </cell>
          <cell r="BG280" t="str">
            <v>Zona de Processamento de Exportação de Sergipe</v>
          </cell>
          <cell r="BH280" t="str">
            <v>ZPE SE</v>
          </cell>
        </row>
        <row r="281">
          <cell r="E281" t="str">
            <v>47.865.597/0001-09</v>
          </cell>
          <cell r="F281" t="str">
            <v>ATIVA</v>
          </cell>
          <cell r="G281" t="str">
            <v>HABITAÇÃO E URBANIZAÇÃO</v>
          </cell>
          <cell r="H281" t="str">
            <v>EMPRESA PÚBLICA</v>
          </cell>
          <cell r="I281" t="str">
            <v>S.A.</v>
          </cell>
          <cell r="J281" t="str">
            <v>FECHADO</v>
          </cell>
          <cell r="K281" t="str">
            <v>NÃO</v>
          </cell>
          <cell r="L281" t="str">
            <v>NÃO</v>
          </cell>
          <cell r="M281" t="str">
            <v>NÃO DEPENDENTE</v>
          </cell>
          <cell r="N281">
            <v>372</v>
          </cell>
          <cell r="O281" t="str">
            <v>OK</v>
          </cell>
          <cell r="P281" t="str">
            <v>SIM</v>
          </cell>
          <cell r="Q281" t="str">
            <v>SIM</v>
          </cell>
          <cell r="R281" t="str">
            <v>SIM</v>
          </cell>
          <cell r="S281" t="str">
            <v>https://www.cdhu.sp.gov.br/documents/20143/37042/DOE+BALAN%C3%87O+ANUAL+2022+-+20+04+23.pdf/2f00f17e-f481-9e44-1f6f-c6812913309b</v>
          </cell>
          <cell r="BF281" t="str">
            <v>47.865.597/0001-09</v>
          </cell>
          <cell r="BG281" t="str">
            <v>Companhia de Desenvolvimento Habitacional e Urbano do Estado de São Paulo</v>
          </cell>
          <cell r="BH281" t="str">
            <v>CDHU</v>
          </cell>
        </row>
        <row r="282">
          <cell r="E282" t="str">
            <v>09.062.893/0001-74</v>
          </cell>
          <cell r="F282" t="str">
            <v>ATIVA</v>
          </cell>
          <cell r="G282" t="str">
            <v>PORTOS E HIDROVIAS</v>
          </cell>
          <cell r="H282" t="str">
            <v>EMPRESA PÚBLICA</v>
          </cell>
          <cell r="I282" t="str">
            <v>S.A.</v>
          </cell>
          <cell r="J282" t="str">
            <v>FECHADO</v>
          </cell>
          <cell r="K282" t="str">
            <v>NÃO</v>
          </cell>
          <cell r="L282" t="str">
            <v>NÃO</v>
          </cell>
          <cell r="M282" t="str">
            <v>DEPENDENTE</v>
          </cell>
          <cell r="N282">
            <v>82</v>
          </cell>
          <cell r="O282" t="str">
            <v>OK</v>
          </cell>
          <cell r="P282" t="str">
            <v>SIM</v>
          </cell>
          <cell r="Q282" t="str">
            <v>SIM</v>
          </cell>
          <cell r="R282" t="str">
            <v>NÃO</v>
          </cell>
          <cell r="S282" t="str">
            <v>https://portoss.sp.gov.br/home/transparencia/governanca/</v>
          </cell>
          <cell r="BF282" t="str">
            <v>09.062.893/0001-74</v>
          </cell>
          <cell r="BG282" t="str">
            <v>Companhia Docas de São Sebastião</v>
          </cell>
          <cell r="BH282" t="str">
            <v>CDSS</v>
          </cell>
        </row>
        <row r="283">
          <cell r="E283" t="str">
            <v>43.776.491/0001-70</v>
          </cell>
          <cell r="F283" t="str">
            <v>ATIVA</v>
          </cell>
          <cell r="G283" t="str">
            <v>OUTROS</v>
          </cell>
          <cell r="H283" t="str">
            <v>EMPRESA PÚBLICA</v>
          </cell>
          <cell r="I283" t="str">
            <v>S.A.</v>
          </cell>
          <cell r="J283" t="str">
            <v>FECHADO</v>
          </cell>
          <cell r="K283" t="str">
            <v>NÃO</v>
          </cell>
          <cell r="L283" t="str">
            <v>NÃO</v>
          </cell>
          <cell r="M283" t="str">
            <v>DEPENDENTE</v>
          </cell>
          <cell r="N283">
            <v>1682</v>
          </cell>
          <cell r="O283" t="str">
            <v>OK</v>
          </cell>
          <cell r="P283" t="str">
            <v>SIM</v>
          </cell>
          <cell r="Q283" t="str">
            <v>SIM</v>
          </cell>
          <cell r="R283" t="str">
            <v>SIM</v>
          </cell>
          <cell r="S283" t="str">
            <v>https://cetesb.sp.gov.br/balancos-patrimoniais</v>
          </cell>
          <cell r="BF283" t="str">
            <v>43.776.491/0001-70</v>
          </cell>
          <cell r="BG283" t="str">
            <v>Companhia Ambiental do Estado de São Paulo</v>
          </cell>
          <cell r="BH283" t="str">
            <v>CETESB</v>
          </cell>
        </row>
        <row r="284">
          <cell r="E284" t="str">
            <v>06.995.362/0001-46</v>
          </cell>
          <cell r="F284" t="str">
            <v>ATIVA</v>
          </cell>
          <cell r="G284" t="str">
            <v>GESTÃO DE ATIVOS</v>
          </cell>
          <cell r="H284" t="str">
            <v>EMPRESA PÚBLICA</v>
          </cell>
          <cell r="I284" t="str">
            <v>S.A.</v>
          </cell>
          <cell r="J284" t="str">
            <v>FECHADO</v>
          </cell>
          <cell r="K284" t="str">
            <v>NÃO</v>
          </cell>
          <cell r="L284" t="str">
            <v>NÃO</v>
          </cell>
          <cell r="M284" t="str">
            <v>NÃO DEPENDENTE</v>
          </cell>
          <cell r="N284">
            <v>21</v>
          </cell>
          <cell r="O284" t="str">
            <v>OK</v>
          </cell>
          <cell r="P284" t="str">
            <v>SIM</v>
          </cell>
          <cell r="Q284" t="str">
            <v>SIM</v>
          </cell>
          <cell r="R284" t="str">
            <v>NÃO</v>
          </cell>
          <cell r="S284" t="str">
            <v>https://www.parceriaseminvestimentos.sp.gov.br/a-secretaria/companhia-paulista-de-parcerias/</v>
          </cell>
          <cell r="BF284" t="str">
            <v>06.995.362/0001-46</v>
          </cell>
          <cell r="BG284" t="str">
            <v>Companhia Paulista de Parcerias</v>
          </cell>
          <cell r="BH284" t="str">
            <v>CPP</v>
          </cell>
        </row>
        <row r="285">
          <cell r="E285" t="str">
            <v>11.274.829/0001-07</v>
          </cell>
          <cell r="F285" t="str">
            <v>ATIVA</v>
          </cell>
          <cell r="G285" t="str">
            <v>GESTÃO DE ATIVOS</v>
          </cell>
          <cell r="H285" t="str">
            <v>EMPRESA PÚBLICA</v>
          </cell>
          <cell r="I285" t="str">
            <v>S.A.</v>
          </cell>
          <cell r="J285" t="str">
            <v>ABERTO</v>
          </cell>
          <cell r="K285" t="str">
            <v>NÃO</v>
          </cell>
          <cell r="L285" t="str">
            <v>NÃO</v>
          </cell>
          <cell r="M285" t="str">
            <v>NÃO DEPENDENTE</v>
          </cell>
          <cell r="N285">
            <v>3</v>
          </cell>
          <cell r="O285" t="str">
            <v>OK</v>
          </cell>
          <cell r="P285" t="str">
            <v>SIM</v>
          </cell>
          <cell r="Q285" t="str">
            <v>SIM</v>
          </cell>
          <cell r="R285" t="str">
            <v>NÃO</v>
          </cell>
          <cell r="S285" t="str">
            <v>https://portal.fazenda.sp.gov.br/Institucional/Paginas/CPSEC/CPSEC.aspx</v>
          </cell>
          <cell r="BF285" t="str">
            <v>11.274.829/0001-07</v>
          </cell>
          <cell r="BG285" t="str">
            <v>Companhia Paulista de Securitização</v>
          </cell>
          <cell r="BH285" t="str">
            <v>CPSEC</v>
          </cell>
        </row>
        <row r="286">
          <cell r="E286" t="str">
            <v>71.832.679/0001-23</v>
          </cell>
          <cell r="F286" t="str">
            <v>ATIVA</v>
          </cell>
          <cell r="G286" t="str">
            <v>TRANSPORTE</v>
          </cell>
          <cell r="H286" t="str">
            <v>EMPRESA PÚBLICA</v>
          </cell>
          <cell r="I286" t="str">
            <v>S.A.</v>
          </cell>
          <cell r="J286" t="str">
            <v>FECHADO</v>
          </cell>
          <cell r="K286" t="str">
            <v>NÃO</v>
          </cell>
          <cell r="L286" t="str">
            <v>NÃO</v>
          </cell>
          <cell r="M286" t="str">
            <v>DEPENDENTE</v>
          </cell>
          <cell r="N286">
            <v>5888</v>
          </cell>
          <cell r="O286" t="str">
            <v>OK</v>
          </cell>
          <cell r="P286" t="str">
            <v>SIM</v>
          </cell>
          <cell r="Q286" t="str">
            <v>SIM</v>
          </cell>
          <cell r="R286" t="str">
            <v>SIM</v>
          </cell>
          <cell r="S286" t="str">
            <v>https://www.cptm.sp.gov.br/esg-consciente/Governanca/BalancosDemonstrativos/Relat%C3%B3rio%20Integrado%20CPTM%202023.zip</v>
          </cell>
          <cell r="BF286" t="str">
            <v>71.832.679/0001-23</v>
          </cell>
          <cell r="BG286" t="str">
            <v>Companhia Paulista de Trens Metropolitanos</v>
          </cell>
          <cell r="BH286" t="str">
            <v>CPTM</v>
          </cell>
        </row>
        <row r="287">
          <cell r="E287" t="str">
            <v>10.663.610/0001-29</v>
          </cell>
          <cell r="F287" t="str">
            <v>ATIVA</v>
          </cell>
          <cell r="G287" t="str">
            <v>FINANCEIRO</v>
          </cell>
          <cell r="H287" t="str">
            <v>EMPRESA PÚBLICA</v>
          </cell>
          <cell r="I287" t="str">
            <v>S.A.</v>
          </cell>
          <cell r="J287" t="str">
            <v>FECHADO</v>
          </cell>
          <cell r="K287" t="str">
            <v>NÃO</v>
          </cell>
          <cell r="L287" t="str">
            <v>NÃO</v>
          </cell>
          <cell r="M287" t="str">
            <v>NÃO DEPENDENTE</v>
          </cell>
          <cell r="N287">
            <v>146</v>
          </cell>
          <cell r="O287" t="str">
            <v>OK</v>
          </cell>
          <cell r="P287" t="str">
            <v>SIM</v>
          </cell>
          <cell r="Q287" t="str">
            <v>SIM</v>
          </cell>
          <cell r="R287" t="str">
            <v>SIM</v>
          </cell>
          <cell r="S287" t="str">
            <v>https://www.desenvolvesp.com.br/institucional/transparencia/prestacao-de-contas/carta-anual-de-politicas-publicas-e-governanca-corporativa/</v>
          </cell>
          <cell r="BF287" t="str">
            <v>10.663.610/0001-29</v>
          </cell>
          <cell r="BG287" t="str">
            <v>Agência de Fomento do Estado de São Paulo S/A</v>
          </cell>
          <cell r="BH287" t="str">
            <v>DESENVOLVE-SP</v>
          </cell>
        </row>
        <row r="288">
          <cell r="E288" t="str">
            <v>02.302.101/0001-42</v>
          </cell>
          <cell r="F288" t="str">
            <v>ATIVA</v>
          </cell>
          <cell r="G288" t="str">
            <v>ENERGIA</v>
          </cell>
          <cell r="H288" t="str">
            <v>SOCIEDADE DE ECONOMIA MISTA</v>
          </cell>
          <cell r="I288" t="str">
            <v>S.A.</v>
          </cell>
          <cell r="J288" t="str">
            <v>ABERTO</v>
          </cell>
          <cell r="K288" t="str">
            <v>SIM</v>
          </cell>
          <cell r="L288" t="str">
            <v>NÃO</v>
          </cell>
          <cell r="M288" t="str">
            <v>NÃO DEPENDENTE</v>
          </cell>
          <cell r="N288">
            <v>376</v>
          </cell>
          <cell r="O288" t="str">
            <v>OK</v>
          </cell>
          <cell r="P288" t="str">
            <v>SIM</v>
          </cell>
          <cell r="Q288" t="str">
            <v>SIM</v>
          </cell>
          <cell r="R288" t="str">
            <v>SIM</v>
          </cell>
          <cell r="S288" t="str">
            <v>https://ri.emae.com.br/liste7f6.html?idCanal=xKj5n4ohMMNFNZbS9HP5BQ==</v>
          </cell>
          <cell r="BF288" t="str">
            <v>02.302.101/0001-42</v>
          </cell>
          <cell r="BG288" t="str">
            <v>Empresa Metropolitana de Águas e Energia S/A</v>
          </cell>
          <cell r="BH288" t="str">
            <v>EMAE</v>
          </cell>
        </row>
        <row r="289">
          <cell r="E289" t="str">
            <v>58.518.069/0001-91</v>
          </cell>
          <cell r="F289" t="str">
            <v>ATIVA</v>
          </cell>
          <cell r="G289" t="str">
            <v>TRANSPORTE</v>
          </cell>
          <cell r="H289" t="str">
            <v>EMPRESA PÚBLICA</v>
          </cell>
          <cell r="I289" t="str">
            <v>S.A.</v>
          </cell>
          <cell r="J289" t="str">
            <v>FECHADO</v>
          </cell>
          <cell r="K289" t="str">
            <v>NÃO</v>
          </cell>
          <cell r="L289" t="str">
            <v>NÃO</v>
          </cell>
          <cell r="M289" t="str">
            <v>NÃO DEPENDENTE</v>
          </cell>
          <cell r="N289">
            <v>733</v>
          </cell>
          <cell r="O289" t="str">
            <v>OK</v>
          </cell>
          <cell r="P289" t="str">
            <v>SIM</v>
          </cell>
          <cell r="Q289" t="str">
            <v>SIM</v>
          </cell>
          <cell r="R289" t="str">
            <v>SIM</v>
          </cell>
          <cell r="S289" t="str">
            <v>https://www.emtu.sp.gov.br/emtu/pdf/relatorio-gestao-23.pdf</v>
          </cell>
          <cell r="BF289" t="str">
            <v>58.518.069/0001-91</v>
          </cell>
          <cell r="BG289" t="str">
            <v>Empresa Metropolitana de Transportes Urbanos de São Paulo S/A</v>
          </cell>
          <cell r="BH289" t="str">
            <v>EMTU/SP</v>
          </cell>
        </row>
        <row r="290">
          <cell r="E290" t="str">
            <v>60.633.674/0001-55</v>
          </cell>
          <cell r="F290" t="str">
            <v>ATIVA</v>
          </cell>
          <cell r="G290" t="str">
            <v>INFORMÁTICA E TECNOLOGIA DA INFORMAÇÃO</v>
          </cell>
          <cell r="H290" t="str">
            <v>EMPRESA PÚBLICA</v>
          </cell>
          <cell r="I290" t="str">
            <v>S.A.</v>
          </cell>
          <cell r="J290" t="str">
            <v>FECHADO</v>
          </cell>
          <cell r="K290" t="str">
            <v>NÃO</v>
          </cell>
          <cell r="L290" t="str">
            <v>NÃO</v>
          </cell>
          <cell r="M290" t="str">
            <v>DEPENDENTE</v>
          </cell>
          <cell r="N290">
            <v>612</v>
          </cell>
          <cell r="O290" t="str">
            <v>OK</v>
          </cell>
          <cell r="P290" t="str">
            <v>SIM</v>
          </cell>
          <cell r="Q290" t="str">
            <v>SIM</v>
          </cell>
          <cell r="R290" t="str">
            <v>SIM</v>
          </cell>
          <cell r="S290" t="str">
            <v>https://ipt.br/wp-content/uploads/2024/03/Carta-Anual-de-Governanca-Corporativa-IPT-2023.pdf</v>
          </cell>
          <cell r="BF290" t="str">
            <v>60.633.674/0001-55</v>
          </cell>
          <cell r="BG290" t="str">
            <v>Instituto de Pesquisas Tecnológicas do Estado de São Paulo S/A</v>
          </cell>
          <cell r="BH290" t="str">
            <v>IPT</v>
          </cell>
        </row>
        <row r="291">
          <cell r="E291" t="str">
            <v>62.070.362/0001-06</v>
          </cell>
          <cell r="F291" t="str">
            <v>ATIVA</v>
          </cell>
          <cell r="G291" t="str">
            <v>TRANSPORTE</v>
          </cell>
          <cell r="H291" t="str">
            <v>EMPRESA PÚBLICA</v>
          </cell>
          <cell r="I291" t="str">
            <v>S.A.</v>
          </cell>
          <cell r="J291" t="str">
            <v>ABERTO</v>
          </cell>
          <cell r="K291" t="str">
            <v>NÃO</v>
          </cell>
          <cell r="L291" t="str">
            <v>NÃO</v>
          </cell>
          <cell r="M291" t="str">
            <v>NÃO DEPENDENTE</v>
          </cell>
          <cell r="N291">
            <v>6999</v>
          </cell>
          <cell r="O291" t="str">
            <v>OK</v>
          </cell>
          <cell r="P291" t="str">
            <v>SIM</v>
          </cell>
          <cell r="Q291" t="str">
            <v>SIM</v>
          </cell>
          <cell r="R291" t="str">
            <v>SIM</v>
          </cell>
          <cell r="S291" t="str">
            <v>https://governancacorporativa.metrosp.com.br/Documentos%20Compartilhados/CartaPoliticasPublicas.pdf</v>
          </cell>
          <cell r="BF291" t="str">
            <v>62.070.362/0001-06</v>
          </cell>
          <cell r="BG291" t="str">
            <v>Companhia do Metropolitano de São Paulo</v>
          </cell>
          <cell r="BH291" t="str">
            <v>METRÔ</v>
          </cell>
        </row>
        <row r="292">
          <cell r="E292" t="str">
            <v>62.577.929/0001-35</v>
          </cell>
          <cell r="F292" t="str">
            <v>ATIVA</v>
          </cell>
          <cell r="G292" t="str">
            <v>INFORMÁTICA E TECNOLOGIA DA INFORMAÇÃO</v>
          </cell>
          <cell r="H292" t="str">
            <v>EMPRESA PÚBLICA</v>
          </cell>
          <cell r="I292" t="str">
            <v>S.A.</v>
          </cell>
          <cell r="J292" t="str">
            <v>FECHADO</v>
          </cell>
          <cell r="K292" t="str">
            <v>NÃO</v>
          </cell>
          <cell r="L292" t="str">
            <v>NÃO</v>
          </cell>
          <cell r="M292" t="str">
            <v>NÃO DEPENDENTE</v>
          </cell>
          <cell r="N292">
            <v>1796</v>
          </cell>
          <cell r="O292" t="str">
            <v>OK</v>
          </cell>
          <cell r="P292" t="str">
            <v>SIM</v>
          </cell>
          <cell r="Q292" t="str">
            <v>SIM</v>
          </cell>
          <cell r="R292" t="str">
            <v>SIM</v>
          </cell>
          <cell r="S292" t="str">
            <v>https://www.prodesp.sp.gov.br/transparencia/carta-anual-de-governanca-corporativa/</v>
          </cell>
          <cell r="BF292" t="str">
            <v>62.577.929/0001-35</v>
          </cell>
          <cell r="BG292" t="str">
            <v>Companhia de Processamento de Dados do Estado de São Paulo</v>
          </cell>
          <cell r="BH292" t="str">
            <v>PRODESP</v>
          </cell>
        </row>
        <row r="293">
          <cell r="E293" t="str">
            <v>43.776.517/0001-80</v>
          </cell>
          <cell r="F293" t="str">
            <v>ATIVA</v>
          </cell>
          <cell r="G293" t="str">
            <v>SANEAMENTO</v>
          </cell>
          <cell r="H293" t="str">
            <v>SOCIEDADE DE ECONOMIA MISTA</v>
          </cell>
          <cell r="I293" t="str">
            <v>S.A.</v>
          </cell>
          <cell r="J293" t="str">
            <v>ABERTO</v>
          </cell>
          <cell r="K293" t="str">
            <v>SIM</v>
          </cell>
          <cell r="L293" t="str">
            <v>NÃO</v>
          </cell>
          <cell r="M293" t="str">
            <v>NÃO DEPENDENTE</v>
          </cell>
          <cell r="N293">
            <v>11228</v>
          </cell>
          <cell r="O293" t="str">
            <v>OK</v>
          </cell>
          <cell r="P293" t="str">
            <v>SIM</v>
          </cell>
          <cell r="Q293" t="str">
            <v>SIM</v>
          </cell>
          <cell r="R293" t="str">
            <v>SIM</v>
          </cell>
          <cell r="S293" t="str">
            <v>https://ri.sabesp.com.br/governanca-corporativa/carta-de-governanca/</v>
          </cell>
          <cell r="BF293" t="str">
            <v>43.776.517/0001-80</v>
          </cell>
          <cell r="BG293" t="str">
            <v>Companhia de Saneamento Básico do Estado de São Paulo</v>
          </cell>
          <cell r="BH293" t="str">
            <v>SABESP</v>
          </cell>
        </row>
        <row r="294">
          <cell r="E294" t="str">
            <v>33.195.751/0001-60</v>
          </cell>
          <cell r="F294" t="str">
            <v>EM LIQUIDAÇÃO</v>
          </cell>
          <cell r="G294" t="str">
            <v>MINERAÇÃO</v>
          </cell>
          <cell r="H294" t="str">
            <v>SOCIEDADE DE ECONOMIA MISTA</v>
          </cell>
          <cell r="I294" t="str">
            <v>S.A.</v>
          </cell>
          <cell r="J294" t="str">
            <v>FECHADO</v>
          </cell>
          <cell r="K294" t="str">
            <v>NÃO</v>
          </cell>
          <cell r="L294" t="str">
            <v>NÃO</v>
          </cell>
          <cell r="M294" t="str">
            <v>NÃO DEPENDENTE</v>
          </cell>
          <cell r="N294">
            <v>14</v>
          </cell>
          <cell r="O294" t="str">
            <v>OK</v>
          </cell>
          <cell r="P294" t="str">
            <v>SIM</v>
          </cell>
          <cell r="Q294" t="str">
            <v>SIM</v>
          </cell>
          <cell r="R294" t="str">
            <v>SIM</v>
          </cell>
          <cell r="S294" t="str">
            <v>https://www.to.gov.br/mineratins/</v>
          </cell>
          <cell r="BF294" t="str">
            <v>33.195.751/0001-60</v>
          </cell>
          <cell r="BG294" t="str">
            <v>Companhia de Mineração do Tocantins</v>
          </cell>
          <cell r="BH294" t="str">
            <v>MINERATINS</v>
          </cell>
        </row>
        <row r="295">
          <cell r="E295" t="str">
            <v>05.474.540/0001-20</v>
          </cell>
          <cell r="F295" t="str">
            <v>ATIVA</v>
          </cell>
          <cell r="G295" t="str">
            <v>FINANCEIRO</v>
          </cell>
          <cell r="H295" t="str">
            <v>SOCIEDADE DE ECONOMIA MISTA</v>
          </cell>
          <cell r="I295" t="str">
            <v>S.A.</v>
          </cell>
          <cell r="J295" t="str">
            <v>FECHADO</v>
          </cell>
          <cell r="K295" t="str">
            <v>NÃO</v>
          </cell>
          <cell r="L295" t="str">
            <v>NÃO</v>
          </cell>
          <cell r="M295" t="str">
            <v>NÃO DEPENDENTE</v>
          </cell>
          <cell r="N295">
            <v>45</v>
          </cell>
          <cell r="O295" t="str">
            <v>OK</v>
          </cell>
          <cell r="P295" t="str">
            <v>SIM</v>
          </cell>
          <cell r="Q295" t="str">
            <v>SIM</v>
          </cell>
          <cell r="R295" t="str">
            <v>SIM</v>
          </cell>
          <cell r="S295" t="str">
            <v>https://www.fomento.to.gov.br/page/carta-anual</v>
          </cell>
          <cell r="BF295" t="str">
            <v>05.474.540/0001-20</v>
          </cell>
          <cell r="BG295" t="str">
            <v>Agência de Fomento do Estado do Tocantins S/A</v>
          </cell>
          <cell r="BH295" t="str">
            <v>FOMENTO</v>
          </cell>
        </row>
        <row r="296">
          <cell r="E296" t="str">
            <v>17.579.560/0001-45</v>
          </cell>
          <cell r="F296" t="str">
            <v>ATIVA</v>
          </cell>
          <cell r="G296" t="str">
            <v>HABITAÇÃO E URBANIZAÇÃO</v>
          </cell>
          <cell r="H296" t="str">
            <v>SOCIEDADE DE ECONOMIA MISTA</v>
          </cell>
          <cell r="I296" t="str">
            <v>S.A.</v>
          </cell>
          <cell r="J296" t="str">
            <v>FECHADO</v>
          </cell>
          <cell r="K296" t="str">
            <v>NÃO</v>
          </cell>
          <cell r="L296" t="str">
            <v>NÃO</v>
          </cell>
          <cell r="M296" t="str">
            <v>NÃO DEPENDENTE</v>
          </cell>
          <cell r="N296">
            <v>86</v>
          </cell>
          <cell r="O296" t="str">
            <v>OK</v>
          </cell>
          <cell r="P296" t="str">
            <v>SIM</v>
          </cell>
          <cell r="Q296" t="str">
            <v>SIM</v>
          </cell>
          <cell r="R296" t="str">
            <v>SIM</v>
          </cell>
          <cell r="S296" t="str">
            <v>https://www.to.gov.br/tocantinsparcerias</v>
          </cell>
          <cell r="BF296" t="str">
            <v>17.579.560/0001-45</v>
          </cell>
          <cell r="BG296" t="str">
            <v>Companhia Imobiliária de Participações, Investimentos e Parcerias do Estado do Tocantins</v>
          </cell>
          <cell r="BH296" t="str">
            <v>TOCANTINS PARCERIAS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828-FCFB-4DE0-8BF0-1FCEDBB8015D}">
  <dimension ref="A1:AP321"/>
  <sheetViews>
    <sheetView topLeftCell="B289" zoomScale="102" zoomScaleNormal="80" workbookViewId="0">
      <selection activeCell="B315" activeCellId="2" sqref="L1 A300:XFD300 B315"/>
    </sheetView>
  </sheetViews>
  <sheetFormatPr defaultRowHeight="14.4" x14ac:dyDescent="0.3"/>
  <cols>
    <col min="1" max="1" width="3.88671875" bestFit="1" customWidth="1"/>
    <col min="2" max="2" width="61.33203125" customWidth="1"/>
    <col min="3" max="3" width="10.88671875" customWidth="1"/>
    <col min="4" max="4" width="17.5546875" customWidth="1"/>
    <col min="5" max="5" width="14.6640625" customWidth="1"/>
    <col min="6" max="6" width="19.88671875" customWidth="1"/>
    <col min="7" max="7" width="5.33203125" customWidth="1"/>
    <col min="8" max="8" width="4.6640625" customWidth="1"/>
    <col min="9" max="9" width="4.33203125" customWidth="1"/>
    <col min="10" max="10" width="4.6640625" customWidth="1"/>
    <col min="11" max="11" width="5.6640625" customWidth="1"/>
    <col min="12" max="12" width="16.33203125" customWidth="1"/>
    <col min="13" max="13" width="8.44140625" customWidth="1"/>
    <col min="14" max="16" width="6.6640625" customWidth="1"/>
    <col min="17" max="17" width="25.5546875" customWidth="1"/>
    <col min="18" max="18" width="24.109375" style="1" customWidth="1"/>
    <col min="19" max="19" width="38.5546875" style="1" customWidth="1"/>
    <col min="20" max="20" width="30.88671875" style="1" customWidth="1"/>
    <col min="21" max="21" width="30.109375" style="1" customWidth="1"/>
    <col min="22" max="22" width="36.5546875" customWidth="1"/>
    <col min="23" max="23" width="35.88671875" customWidth="1"/>
    <col min="24" max="24" width="25" customWidth="1"/>
    <col min="25" max="25" width="26.44140625" customWidth="1"/>
    <col min="26" max="26" width="34.44140625" customWidth="1"/>
    <col min="27" max="27" width="29.109375" customWidth="1"/>
    <col min="28" max="28" width="18.5546875" customWidth="1"/>
    <col min="29" max="29" width="37.88671875" customWidth="1"/>
    <col min="30" max="30" width="37.109375" customWidth="1"/>
    <col min="31" max="31" width="32.44140625" style="14" customWidth="1"/>
    <col min="32" max="32" width="34.88671875" bestFit="1" customWidth="1"/>
    <col min="33" max="33" width="26.109375" bestFit="1" customWidth="1"/>
    <col min="34" max="34" width="33.88671875" bestFit="1" customWidth="1"/>
    <col min="35" max="35" width="26.88671875" bestFit="1" customWidth="1"/>
    <col min="36" max="36" width="33.88671875" customWidth="1"/>
    <col min="37" max="37" width="32.44140625" bestFit="1" customWidth="1"/>
    <col min="38" max="38" width="44.44140625" bestFit="1" customWidth="1"/>
    <col min="39" max="39" width="33.5546875" bestFit="1" customWidth="1"/>
    <col min="40" max="40" width="41" bestFit="1" customWidth="1"/>
    <col min="41" max="41" width="33.5546875" bestFit="1" customWidth="1"/>
    <col min="42" max="42" width="24.88671875" customWidth="1"/>
  </cols>
  <sheetData>
    <row r="1" spans="1:42" ht="1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20" t="s">
        <v>30</v>
      </c>
      <c r="AF1" s="5" t="s">
        <v>31</v>
      </c>
      <c r="AG1" s="5" t="s">
        <v>32</v>
      </c>
      <c r="AH1" s="25" t="s">
        <v>33</v>
      </c>
      <c r="AI1" s="2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51</v>
      </c>
      <c r="L2" t="s">
        <v>52</v>
      </c>
      <c r="M2" t="s">
        <v>53</v>
      </c>
      <c r="N2" t="s">
        <v>54</v>
      </c>
      <c r="O2" t="s">
        <v>54</v>
      </c>
      <c r="P2" t="s">
        <v>51</v>
      </c>
      <c r="Q2" t="s">
        <v>55</v>
      </c>
      <c r="R2" s="1">
        <v>13107416.33</v>
      </c>
      <c r="S2" s="1">
        <v>6325167.21</v>
      </c>
      <c r="T2" s="1">
        <v>13107416.33</v>
      </c>
      <c r="U2" s="1">
        <v>0</v>
      </c>
      <c r="V2" t="s">
        <v>54</v>
      </c>
      <c r="W2">
        <v>0</v>
      </c>
      <c r="X2">
        <v>0</v>
      </c>
      <c r="Y2">
        <v>0</v>
      </c>
      <c r="Z2">
        <v>11811971.51</v>
      </c>
      <c r="AA2">
        <v>103720301.25</v>
      </c>
      <c r="AB2">
        <v>0</v>
      </c>
      <c r="AC2">
        <v>0</v>
      </c>
      <c r="AD2">
        <v>11684206.5</v>
      </c>
      <c r="AE2">
        <v>13107416.33</v>
      </c>
      <c r="AF2">
        <v>0</v>
      </c>
      <c r="AG2" s="14">
        <v>0</v>
      </c>
      <c r="AH2">
        <v>0</v>
      </c>
      <c r="AI2">
        <v>0</v>
      </c>
      <c r="AJ2">
        <v>4396687.58</v>
      </c>
      <c r="AK2">
        <v>4396687.58</v>
      </c>
      <c r="AL2">
        <v>4396687.58</v>
      </c>
      <c r="AM2">
        <v>4396687.58</v>
      </c>
      <c r="AN2">
        <v>0</v>
      </c>
      <c r="AO2">
        <v>0</v>
      </c>
      <c r="AP2">
        <f t="shared" ref="AP2:AP65" si="0">Z2*100/AA2</f>
        <v>11.388292713814307</v>
      </c>
    </row>
    <row r="3" spans="1:42" x14ac:dyDescent="0.3">
      <c r="A3" t="s">
        <v>42</v>
      </c>
      <c r="B3" t="s">
        <v>56</v>
      </c>
      <c r="C3" t="s">
        <v>57</v>
      </c>
      <c r="D3" t="s">
        <v>58</v>
      </c>
      <c r="E3" t="s">
        <v>46</v>
      </c>
      <c r="F3" t="s">
        <v>59</v>
      </c>
      <c r="G3" t="s">
        <v>60</v>
      </c>
      <c r="H3" t="s">
        <v>49</v>
      </c>
      <c r="I3" t="s">
        <v>50</v>
      </c>
      <c r="J3" t="s">
        <v>51</v>
      </c>
      <c r="K3" t="s">
        <v>51</v>
      </c>
      <c r="L3" t="s">
        <v>52</v>
      </c>
      <c r="M3" t="s">
        <v>61</v>
      </c>
      <c r="N3" t="s">
        <v>54</v>
      </c>
      <c r="O3" t="s">
        <v>54</v>
      </c>
      <c r="P3" t="s">
        <v>51</v>
      </c>
      <c r="Q3" t="s">
        <v>55</v>
      </c>
      <c r="R3" s="1">
        <v>8531737.6300000008</v>
      </c>
      <c r="S3" s="1">
        <v>7155806.1900000004</v>
      </c>
      <c r="T3" s="1">
        <v>10314427.73</v>
      </c>
      <c r="U3" s="1">
        <v>0</v>
      </c>
      <c r="V3" t="s">
        <v>51</v>
      </c>
      <c r="W3">
        <v>407932.32</v>
      </c>
      <c r="X3">
        <v>0</v>
      </c>
      <c r="Y3">
        <v>99128.6</v>
      </c>
      <c r="Z3">
        <v>-10051185.58</v>
      </c>
      <c r="AA3">
        <v>39712876.009999998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5563422.3899999997</v>
      </c>
      <c r="AI3">
        <v>8531737.6300000008</v>
      </c>
      <c r="AJ3">
        <v>0</v>
      </c>
      <c r="AK3">
        <v>0</v>
      </c>
      <c r="AL3">
        <v>156205481.16</v>
      </c>
      <c r="AM3">
        <v>164737218.78999999</v>
      </c>
      <c r="AN3">
        <v>3794518.84</v>
      </c>
      <c r="AO3">
        <v>9762781.2100000009</v>
      </c>
      <c r="AP3">
        <f t="shared" si="0"/>
        <v>-25.309639063836716</v>
      </c>
    </row>
    <row r="4" spans="1:42" x14ac:dyDescent="0.3">
      <c r="A4" t="s">
        <v>42</v>
      </c>
      <c r="B4" t="s">
        <v>62</v>
      </c>
      <c r="C4" t="s">
        <v>63</v>
      </c>
      <c r="D4" t="s">
        <v>64</v>
      </c>
      <c r="E4" t="s">
        <v>46</v>
      </c>
      <c r="F4" t="s">
        <v>65</v>
      </c>
      <c r="G4" t="s">
        <v>60</v>
      </c>
      <c r="H4" t="s">
        <v>49</v>
      </c>
      <c r="I4" t="s">
        <v>50</v>
      </c>
      <c r="J4" t="s">
        <v>51</v>
      </c>
      <c r="K4" t="s">
        <v>51</v>
      </c>
      <c r="L4" t="s">
        <v>52</v>
      </c>
      <c r="M4" t="s">
        <v>66</v>
      </c>
      <c r="N4" t="s">
        <v>54</v>
      </c>
      <c r="O4" t="s">
        <v>54</v>
      </c>
      <c r="P4" t="s">
        <v>51</v>
      </c>
      <c r="Q4" t="s">
        <v>55</v>
      </c>
      <c r="R4" s="1">
        <v>0</v>
      </c>
      <c r="S4" s="1">
        <v>0</v>
      </c>
      <c r="T4" s="1">
        <v>0</v>
      </c>
      <c r="U4" s="1">
        <v>0</v>
      </c>
      <c r="V4" t="s">
        <v>51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e">
        <f t="shared" si="0"/>
        <v>#DIV/0!</v>
      </c>
    </row>
    <row r="5" spans="1:42" x14ac:dyDescent="0.3">
      <c r="A5" t="s">
        <v>42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60</v>
      </c>
      <c r="H5" t="s">
        <v>49</v>
      </c>
      <c r="I5" t="s">
        <v>50</v>
      </c>
      <c r="J5" t="s">
        <v>51</v>
      </c>
      <c r="K5" t="s">
        <v>51</v>
      </c>
      <c r="L5" t="s">
        <v>52</v>
      </c>
      <c r="M5" t="s">
        <v>61</v>
      </c>
      <c r="N5" t="s">
        <v>54</v>
      </c>
      <c r="O5" t="s">
        <v>54</v>
      </c>
      <c r="P5" t="s">
        <v>51</v>
      </c>
      <c r="Q5" t="s">
        <v>55</v>
      </c>
      <c r="R5" s="1">
        <v>1776184.34</v>
      </c>
      <c r="S5" s="1">
        <v>1444341.25</v>
      </c>
      <c r="T5" s="1">
        <v>1643842.5</v>
      </c>
      <c r="U5" s="1">
        <v>2348.39</v>
      </c>
      <c r="V5" t="s">
        <v>51</v>
      </c>
      <c r="W5">
        <v>109184.47</v>
      </c>
      <c r="X5">
        <v>0</v>
      </c>
      <c r="Y5">
        <v>0</v>
      </c>
      <c r="Z5">
        <v>-2514600.66</v>
      </c>
      <c r="AA5">
        <v>-199341952.72</v>
      </c>
      <c r="AB5">
        <v>0</v>
      </c>
      <c r="AC5">
        <v>0</v>
      </c>
      <c r="AD5">
        <v>1780362.81</v>
      </c>
      <c r="AE5">
        <v>1774048.96</v>
      </c>
      <c r="AF5">
        <v>0</v>
      </c>
      <c r="AG5" s="14">
        <v>0</v>
      </c>
      <c r="AH5">
        <v>0</v>
      </c>
      <c r="AI5">
        <v>0</v>
      </c>
      <c r="AJ5">
        <v>0</v>
      </c>
      <c r="AK5">
        <v>0</v>
      </c>
      <c r="AL5">
        <v>24365820.859999999</v>
      </c>
      <c r="AM5">
        <v>24365820.859999999</v>
      </c>
      <c r="AN5">
        <v>0</v>
      </c>
      <c r="AO5">
        <v>0</v>
      </c>
      <c r="AP5">
        <f t="shared" si="0"/>
        <v>1.2614508013433892</v>
      </c>
    </row>
    <row r="6" spans="1:42" x14ac:dyDescent="0.3">
      <c r="A6" t="s">
        <v>42</v>
      </c>
      <c r="B6" t="s">
        <v>72</v>
      </c>
      <c r="C6" t="s">
        <v>73</v>
      </c>
      <c r="D6" t="s">
        <v>74</v>
      </c>
      <c r="E6" t="s">
        <v>46</v>
      </c>
      <c r="F6" t="s">
        <v>75</v>
      </c>
      <c r="G6" t="s">
        <v>48</v>
      </c>
      <c r="H6" t="s">
        <v>76</v>
      </c>
      <c r="I6" t="s">
        <v>50</v>
      </c>
      <c r="J6" t="s">
        <v>51</v>
      </c>
      <c r="K6" t="s">
        <v>51</v>
      </c>
      <c r="L6" t="s">
        <v>52</v>
      </c>
      <c r="M6" t="s">
        <v>77</v>
      </c>
      <c r="N6" t="s">
        <v>51</v>
      </c>
      <c r="O6" t="s">
        <v>54</v>
      </c>
      <c r="P6" t="s">
        <v>51</v>
      </c>
      <c r="Q6" t="s">
        <v>55</v>
      </c>
      <c r="R6" s="1">
        <v>14729465.32</v>
      </c>
      <c r="S6" s="1">
        <v>13419884.01</v>
      </c>
      <c r="T6" s="1">
        <v>14759181.5</v>
      </c>
      <c r="U6" s="1">
        <v>0</v>
      </c>
      <c r="V6" t="s">
        <v>51</v>
      </c>
      <c r="W6">
        <v>215350.25</v>
      </c>
      <c r="X6">
        <v>0</v>
      </c>
      <c r="Y6">
        <v>548258.13</v>
      </c>
      <c r="Z6">
        <v>678045.71</v>
      </c>
      <c r="AA6">
        <v>7447035.2199999997</v>
      </c>
      <c r="AB6">
        <v>0</v>
      </c>
      <c r="AC6">
        <v>0</v>
      </c>
      <c r="AD6">
        <v>19543507.280000001</v>
      </c>
      <c r="AE6">
        <v>14729465.32</v>
      </c>
      <c r="AF6">
        <v>305753.42</v>
      </c>
      <c r="AG6" s="14">
        <v>170846.03</v>
      </c>
      <c r="AH6">
        <v>0</v>
      </c>
      <c r="AI6">
        <v>0</v>
      </c>
      <c r="AJ6">
        <v>727.45</v>
      </c>
      <c r="AK6">
        <v>727.45</v>
      </c>
      <c r="AL6">
        <v>8219090.9900000002</v>
      </c>
      <c r="AM6">
        <v>8219090.9900000002</v>
      </c>
      <c r="AN6">
        <v>0</v>
      </c>
      <c r="AO6">
        <v>0</v>
      </c>
      <c r="AP6">
        <f t="shared" si="0"/>
        <v>9.1049080603112813</v>
      </c>
    </row>
    <row r="7" spans="1:42" x14ac:dyDescent="0.3">
      <c r="A7" t="s">
        <v>42</v>
      </c>
      <c r="B7" t="s">
        <v>78</v>
      </c>
      <c r="C7" t="s">
        <v>79</v>
      </c>
      <c r="D7" t="s">
        <v>80</v>
      </c>
      <c r="E7" t="s">
        <v>46</v>
      </c>
      <c r="F7" t="s">
        <v>65</v>
      </c>
      <c r="G7" t="s">
        <v>60</v>
      </c>
      <c r="H7" t="s">
        <v>49</v>
      </c>
      <c r="I7" t="s">
        <v>50</v>
      </c>
      <c r="J7" t="s">
        <v>51</v>
      </c>
      <c r="K7" t="s">
        <v>51</v>
      </c>
      <c r="L7" t="s">
        <v>52</v>
      </c>
      <c r="M7" t="s">
        <v>81</v>
      </c>
      <c r="N7" t="s">
        <v>54</v>
      </c>
      <c r="O7" t="s">
        <v>54</v>
      </c>
      <c r="P7" t="s">
        <v>51</v>
      </c>
      <c r="Q7" t="s">
        <v>55</v>
      </c>
      <c r="R7" s="1">
        <v>1521026.97</v>
      </c>
      <c r="S7" s="1">
        <v>1483226.97</v>
      </c>
      <c r="T7" s="1">
        <v>1483226.97</v>
      </c>
      <c r="U7" s="1">
        <v>0</v>
      </c>
      <c r="V7" t="s">
        <v>51</v>
      </c>
      <c r="W7">
        <v>233705.73</v>
      </c>
      <c r="X7">
        <v>0</v>
      </c>
      <c r="Y7">
        <v>0</v>
      </c>
      <c r="Z7">
        <v>-24631.91</v>
      </c>
      <c r="AA7">
        <v>3005608118.6599998</v>
      </c>
      <c r="AB7">
        <v>0</v>
      </c>
      <c r="AC7">
        <v>0</v>
      </c>
      <c r="AD7">
        <v>957768.34</v>
      </c>
      <c r="AE7">
        <v>1521026.97</v>
      </c>
      <c r="AF7">
        <v>973545.94</v>
      </c>
      <c r="AG7" s="14">
        <v>1483226.97</v>
      </c>
      <c r="AH7">
        <v>2447100</v>
      </c>
      <c r="AI7">
        <v>2400000</v>
      </c>
      <c r="AJ7">
        <v>3003209100</v>
      </c>
      <c r="AK7">
        <v>3005609100</v>
      </c>
      <c r="AL7">
        <v>3003209100</v>
      </c>
      <c r="AM7">
        <v>3005609100</v>
      </c>
      <c r="AN7">
        <v>3397100</v>
      </c>
      <c r="AO7">
        <v>997100</v>
      </c>
      <c r="AP7">
        <f t="shared" si="0"/>
        <v>-8.1953165640841175E-4</v>
      </c>
    </row>
    <row r="8" spans="1:42" ht="43.2" x14ac:dyDescent="0.3">
      <c r="A8" t="s">
        <v>42</v>
      </c>
      <c r="B8" t="s">
        <v>82</v>
      </c>
      <c r="C8" t="s">
        <v>83</v>
      </c>
      <c r="D8" t="s">
        <v>84</v>
      </c>
      <c r="E8" t="s">
        <v>46</v>
      </c>
      <c r="F8" s="6" t="s">
        <v>75</v>
      </c>
      <c r="G8" t="s">
        <v>48</v>
      </c>
      <c r="H8" t="s">
        <v>49</v>
      </c>
      <c r="I8" t="s">
        <v>50</v>
      </c>
      <c r="J8" t="s">
        <v>51</v>
      </c>
      <c r="K8" t="s">
        <v>54</v>
      </c>
      <c r="L8" t="s">
        <v>52</v>
      </c>
      <c r="M8" t="s">
        <v>85</v>
      </c>
      <c r="N8" t="s">
        <v>54</v>
      </c>
      <c r="O8" t="s">
        <v>54</v>
      </c>
      <c r="P8" t="s">
        <v>51</v>
      </c>
      <c r="Q8" t="s">
        <v>55</v>
      </c>
      <c r="R8" s="1">
        <v>2820871.21</v>
      </c>
      <c r="S8" s="1">
        <v>2497093.7799999998</v>
      </c>
      <c r="T8" s="1">
        <v>2820871.21</v>
      </c>
      <c r="U8" s="1">
        <v>1686.87</v>
      </c>
      <c r="V8" t="s">
        <v>51</v>
      </c>
      <c r="W8">
        <v>2183003.7400000002</v>
      </c>
      <c r="X8">
        <v>0</v>
      </c>
      <c r="Y8">
        <v>0</v>
      </c>
      <c r="Z8">
        <v>142443.37</v>
      </c>
      <c r="AA8">
        <v>-88773662.590000004</v>
      </c>
      <c r="AB8">
        <v>0</v>
      </c>
      <c r="AC8">
        <v>0</v>
      </c>
      <c r="AD8">
        <v>2317412.3199999998</v>
      </c>
      <c r="AE8">
        <v>2820871.21</v>
      </c>
      <c r="AF8">
        <v>2147999.34</v>
      </c>
      <c r="AG8" s="14">
        <v>1996951.83</v>
      </c>
      <c r="AH8">
        <v>0</v>
      </c>
      <c r="AI8">
        <v>0</v>
      </c>
      <c r="AJ8">
        <v>0</v>
      </c>
      <c r="AK8">
        <v>0</v>
      </c>
      <c r="AL8">
        <v>416.44</v>
      </c>
      <c r="AM8">
        <v>416.44</v>
      </c>
      <c r="AN8">
        <v>0</v>
      </c>
      <c r="AO8">
        <v>0</v>
      </c>
      <c r="AP8">
        <f t="shared" si="0"/>
        <v>-0.16045679072392544</v>
      </c>
    </row>
    <row r="9" spans="1:42" x14ac:dyDescent="0.3">
      <c r="A9" t="s">
        <v>42</v>
      </c>
      <c r="B9" t="s">
        <v>86</v>
      </c>
      <c r="C9" t="s">
        <v>87</v>
      </c>
      <c r="D9" t="s">
        <v>88</v>
      </c>
      <c r="E9" t="s">
        <v>46</v>
      </c>
      <c r="F9" t="s">
        <v>65</v>
      </c>
      <c r="G9" t="s">
        <v>48</v>
      </c>
      <c r="H9" t="s">
        <v>76</v>
      </c>
      <c r="I9" t="s">
        <v>50</v>
      </c>
      <c r="J9" t="s">
        <v>51</v>
      </c>
      <c r="K9" t="s">
        <v>54</v>
      </c>
      <c r="L9" t="s">
        <v>52</v>
      </c>
      <c r="M9" t="s">
        <v>89</v>
      </c>
      <c r="N9" t="s">
        <v>54</v>
      </c>
      <c r="O9" t="s">
        <v>54</v>
      </c>
      <c r="P9" t="s">
        <v>51</v>
      </c>
      <c r="Q9" t="s">
        <v>55</v>
      </c>
      <c r="R9" s="1">
        <v>5026604.34</v>
      </c>
      <c r="S9" s="1">
        <v>3944525.12</v>
      </c>
      <c r="T9" s="1">
        <v>5010920.96</v>
      </c>
      <c r="U9" s="1">
        <v>244185.81</v>
      </c>
      <c r="V9" t="s">
        <v>51</v>
      </c>
      <c r="W9">
        <v>198405.6</v>
      </c>
      <c r="X9">
        <v>0</v>
      </c>
      <c r="Y9">
        <v>0</v>
      </c>
      <c r="Z9">
        <v>693377.74</v>
      </c>
      <c r="AA9">
        <v>6665321.5899999999</v>
      </c>
      <c r="AB9">
        <v>0</v>
      </c>
      <c r="AC9">
        <v>0</v>
      </c>
      <c r="AD9">
        <v>4779201.42</v>
      </c>
      <c r="AE9">
        <v>5010920.96</v>
      </c>
      <c r="AF9">
        <v>410259.38</v>
      </c>
      <c r="AG9" s="14">
        <v>397316.62</v>
      </c>
      <c r="AH9">
        <v>0</v>
      </c>
      <c r="AI9">
        <v>0</v>
      </c>
      <c r="AJ9">
        <v>0</v>
      </c>
      <c r="AK9">
        <v>0</v>
      </c>
      <c r="AL9">
        <v>3791691</v>
      </c>
      <c r="AM9">
        <v>3791691</v>
      </c>
      <c r="AN9">
        <v>0</v>
      </c>
      <c r="AO9">
        <v>0</v>
      </c>
      <c r="AP9">
        <f t="shared" si="0"/>
        <v>10.402764977466001</v>
      </c>
    </row>
    <row r="10" spans="1:42" x14ac:dyDescent="0.3">
      <c r="A10" t="s">
        <v>42</v>
      </c>
      <c r="B10" t="s">
        <v>90</v>
      </c>
      <c r="C10" t="s">
        <v>91</v>
      </c>
      <c r="D10" t="s">
        <v>92</v>
      </c>
      <c r="E10" t="s">
        <v>46</v>
      </c>
      <c r="F10" t="s">
        <v>93</v>
      </c>
      <c r="G10" t="s">
        <v>60</v>
      </c>
      <c r="H10" t="s">
        <v>76</v>
      </c>
      <c r="I10" t="s">
        <v>50</v>
      </c>
      <c r="J10" t="s">
        <v>51</v>
      </c>
      <c r="K10" t="s">
        <v>51</v>
      </c>
      <c r="L10" t="s">
        <v>52</v>
      </c>
      <c r="M10" t="s">
        <v>94</v>
      </c>
      <c r="N10" t="s">
        <v>54</v>
      </c>
      <c r="O10" t="s">
        <v>54</v>
      </c>
      <c r="P10" t="s">
        <v>51</v>
      </c>
      <c r="Q10" t="s">
        <v>55</v>
      </c>
      <c r="R10" s="1">
        <v>7431327.0999999996</v>
      </c>
      <c r="S10" s="1">
        <v>6325167.21</v>
      </c>
      <c r="T10" s="1">
        <v>9499084.5800000001</v>
      </c>
      <c r="U10" s="1">
        <v>0</v>
      </c>
      <c r="V10" t="s">
        <v>51</v>
      </c>
      <c r="W10">
        <v>270124.92</v>
      </c>
      <c r="X10">
        <v>0</v>
      </c>
      <c r="Y10">
        <v>0</v>
      </c>
      <c r="Z10">
        <v>3953141.14</v>
      </c>
      <c r="AA10">
        <v>79307669.340000004</v>
      </c>
      <c r="AB10">
        <v>0</v>
      </c>
      <c r="AC10">
        <v>0</v>
      </c>
      <c r="AD10">
        <v>6949505.2199999997</v>
      </c>
      <c r="AE10">
        <v>8771679.8800000008</v>
      </c>
      <c r="AF10">
        <v>8064674.3700000001</v>
      </c>
      <c r="AG10" s="14">
        <v>7204783.3300000001</v>
      </c>
      <c r="AH10">
        <v>0</v>
      </c>
      <c r="AI10">
        <v>0</v>
      </c>
      <c r="AJ10">
        <v>0.99</v>
      </c>
      <c r="AK10">
        <v>0.99</v>
      </c>
      <c r="AL10">
        <v>62840607.310000002</v>
      </c>
      <c r="AM10">
        <v>62840607.310000002</v>
      </c>
      <c r="AN10">
        <v>0</v>
      </c>
      <c r="AO10">
        <v>0</v>
      </c>
      <c r="AP10">
        <f t="shared" si="0"/>
        <v>4.984563501737119</v>
      </c>
    </row>
    <row r="11" spans="1:42" x14ac:dyDescent="0.3">
      <c r="A11" t="s">
        <v>42</v>
      </c>
      <c r="B11" t="s">
        <v>95</v>
      </c>
      <c r="C11" t="s">
        <v>96</v>
      </c>
      <c r="D11" t="s">
        <v>97</v>
      </c>
      <c r="E11" t="s">
        <v>70</v>
      </c>
      <c r="F11" t="s">
        <v>65</v>
      </c>
      <c r="G11" t="s">
        <v>48</v>
      </c>
      <c r="H11" t="s">
        <v>76</v>
      </c>
      <c r="I11" t="s">
        <v>50</v>
      </c>
      <c r="J11" t="s">
        <v>51</v>
      </c>
      <c r="K11" t="s">
        <v>54</v>
      </c>
      <c r="L11" t="s">
        <v>52</v>
      </c>
      <c r="M11" t="s">
        <v>98</v>
      </c>
      <c r="N11" t="s">
        <v>51</v>
      </c>
      <c r="O11" t="s">
        <v>54</v>
      </c>
      <c r="P11" t="s">
        <v>51</v>
      </c>
      <c r="Q11" t="s">
        <v>55</v>
      </c>
      <c r="R11" s="1">
        <v>1705223.56</v>
      </c>
      <c r="S11" s="1">
        <v>1658046.44</v>
      </c>
      <c r="T11" s="1">
        <v>1658621.44</v>
      </c>
      <c r="U11" s="1">
        <v>0</v>
      </c>
      <c r="V11" t="s">
        <v>51</v>
      </c>
      <c r="W11">
        <v>1040941.44</v>
      </c>
      <c r="X11">
        <v>0</v>
      </c>
      <c r="Y11">
        <v>0</v>
      </c>
      <c r="Z11">
        <v>46963.39</v>
      </c>
      <c r="AA11">
        <v>5690130.8300000001</v>
      </c>
      <c r="AB11">
        <v>0</v>
      </c>
      <c r="AC11">
        <v>0</v>
      </c>
      <c r="AD11">
        <v>1397964.12</v>
      </c>
      <c r="AE11">
        <v>1705223.56</v>
      </c>
      <c r="AF11">
        <v>0</v>
      </c>
      <c r="AG11" s="14">
        <v>0</v>
      </c>
      <c r="AH11">
        <v>0</v>
      </c>
      <c r="AI11">
        <v>0</v>
      </c>
      <c r="AJ11">
        <v>3958917.22</v>
      </c>
      <c r="AK11">
        <v>3595917.22</v>
      </c>
      <c r="AL11">
        <v>3598917.22</v>
      </c>
      <c r="AM11">
        <v>3598917.22</v>
      </c>
      <c r="AN11">
        <v>0</v>
      </c>
      <c r="AO11">
        <v>0</v>
      </c>
      <c r="AP11">
        <f t="shared" si="0"/>
        <v>0.82534815811959106</v>
      </c>
    </row>
    <row r="12" spans="1:42" x14ac:dyDescent="0.3">
      <c r="A12" t="s">
        <v>42</v>
      </c>
      <c r="B12" t="s">
        <v>99</v>
      </c>
      <c r="C12" t="s">
        <v>100</v>
      </c>
      <c r="D12" t="s">
        <v>101</v>
      </c>
      <c r="E12" t="s">
        <v>46</v>
      </c>
      <c r="F12" t="s">
        <v>102</v>
      </c>
      <c r="G12" t="s">
        <v>48</v>
      </c>
      <c r="H12" t="s">
        <v>76</v>
      </c>
      <c r="I12" t="s">
        <v>50</v>
      </c>
      <c r="J12" t="s">
        <v>51</v>
      </c>
      <c r="K12" t="s">
        <v>51</v>
      </c>
      <c r="L12" t="s">
        <v>52</v>
      </c>
      <c r="M12" t="s">
        <v>103</v>
      </c>
      <c r="N12" t="s">
        <v>54</v>
      </c>
      <c r="O12" t="s">
        <v>54</v>
      </c>
      <c r="P12" t="s">
        <v>51</v>
      </c>
      <c r="Q12" t="s">
        <v>55</v>
      </c>
      <c r="R12" s="1">
        <v>23737120.780000001</v>
      </c>
      <c r="S12" s="1">
        <v>18707804.190000001</v>
      </c>
      <c r="T12" s="1">
        <v>22994300.600000001</v>
      </c>
      <c r="U12" s="1">
        <v>0</v>
      </c>
      <c r="V12" t="s">
        <v>51</v>
      </c>
      <c r="W12">
        <v>349852.72</v>
      </c>
      <c r="X12">
        <v>0</v>
      </c>
      <c r="Y12">
        <v>5040</v>
      </c>
      <c r="Z12">
        <v>167735.67999999999</v>
      </c>
      <c r="AA12">
        <v>-8249.7900000000009</v>
      </c>
      <c r="AB12">
        <v>0</v>
      </c>
      <c r="AC12">
        <v>0</v>
      </c>
      <c r="AD12">
        <v>21676919.109999999</v>
      </c>
      <c r="AE12">
        <v>23737120.780000001</v>
      </c>
      <c r="AF12">
        <v>0</v>
      </c>
      <c r="AG12" s="14">
        <v>0</v>
      </c>
      <c r="AH12">
        <v>2052870.8</v>
      </c>
      <c r="AI12">
        <v>2149510.2400000002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f t="shared" si="0"/>
        <v>-2033.2115120506096</v>
      </c>
    </row>
    <row r="13" spans="1:42" x14ac:dyDescent="0.3">
      <c r="A13" t="s">
        <v>42</v>
      </c>
      <c r="B13" t="s">
        <v>104</v>
      </c>
      <c r="C13" t="s">
        <v>105</v>
      </c>
      <c r="D13" t="s">
        <v>106</v>
      </c>
      <c r="E13" t="s">
        <v>46</v>
      </c>
      <c r="F13" t="s">
        <v>107</v>
      </c>
      <c r="G13" t="s">
        <v>60</v>
      </c>
      <c r="H13" t="s">
        <v>76</v>
      </c>
      <c r="I13" t="s">
        <v>50</v>
      </c>
      <c r="J13" t="s">
        <v>51</v>
      </c>
      <c r="K13" t="s">
        <v>51</v>
      </c>
      <c r="L13" t="s">
        <v>52</v>
      </c>
      <c r="M13" t="s">
        <v>108</v>
      </c>
      <c r="N13" t="s">
        <v>54</v>
      </c>
      <c r="O13" t="s">
        <v>54</v>
      </c>
      <c r="P13" t="s">
        <v>51</v>
      </c>
      <c r="Q13" t="s">
        <v>55</v>
      </c>
      <c r="R13" s="1">
        <v>0</v>
      </c>
      <c r="S13" s="1">
        <v>22880993.43</v>
      </c>
      <c r="T13" s="1">
        <v>22972685.960000001</v>
      </c>
      <c r="U13" s="1">
        <v>0</v>
      </c>
      <c r="V13" t="s">
        <v>51</v>
      </c>
      <c r="W13">
        <v>0</v>
      </c>
      <c r="X13">
        <v>0</v>
      </c>
      <c r="Y13">
        <v>0</v>
      </c>
      <c r="Z13">
        <v>91692.53</v>
      </c>
      <c r="AA13">
        <v>19805480.949999999</v>
      </c>
      <c r="AB13">
        <v>0</v>
      </c>
      <c r="AC13">
        <v>0</v>
      </c>
      <c r="AD13">
        <v>3364776.23</v>
      </c>
      <c r="AE13">
        <v>3547857.37</v>
      </c>
      <c r="AF13">
        <v>0</v>
      </c>
      <c r="AG13" s="14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f t="shared" si="0"/>
        <v>0.46296542977917438</v>
      </c>
    </row>
    <row r="14" spans="1:42" x14ac:dyDescent="0.3">
      <c r="A14" t="s">
        <v>109</v>
      </c>
      <c r="B14" t="s">
        <v>110</v>
      </c>
      <c r="C14" t="s">
        <v>111</v>
      </c>
      <c r="D14" t="s">
        <v>112</v>
      </c>
      <c r="E14" t="s">
        <v>46</v>
      </c>
      <c r="F14" t="s">
        <v>71</v>
      </c>
      <c r="G14" t="s">
        <v>60</v>
      </c>
      <c r="H14" t="s">
        <v>49</v>
      </c>
      <c r="I14" t="s">
        <v>50</v>
      </c>
      <c r="J14" t="s">
        <v>51</v>
      </c>
      <c r="K14" t="s">
        <v>54</v>
      </c>
      <c r="L14" t="s">
        <v>52</v>
      </c>
      <c r="M14" t="s">
        <v>113</v>
      </c>
      <c r="N14" t="s">
        <v>54</v>
      </c>
      <c r="O14" t="s">
        <v>54</v>
      </c>
      <c r="P14" t="s">
        <v>51</v>
      </c>
      <c r="Q14" t="s">
        <v>55</v>
      </c>
      <c r="R14" s="1">
        <v>-7615000</v>
      </c>
      <c r="S14" s="1">
        <v>651000</v>
      </c>
      <c r="T14" s="1">
        <v>8475000</v>
      </c>
      <c r="U14" s="1">
        <v>0</v>
      </c>
      <c r="V14" t="s">
        <v>51</v>
      </c>
      <c r="W14">
        <v>119587</v>
      </c>
      <c r="X14">
        <v>0</v>
      </c>
      <c r="Y14">
        <v>0</v>
      </c>
      <c r="Z14">
        <v>-7444000</v>
      </c>
      <c r="AA14">
        <v>45079000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8041</v>
      </c>
      <c r="AK14">
        <v>8041</v>
      </c>
      <c r="AL14">
        <v>80414000</v>
      </c>
      <c r="AM14">
        <v>80414000</v>
      </c>
      <c r="AN14">
        <v>0</v>
      </c>
      <c r="AO14">
        <v>0</v>
      </c>
      <c r="AP14">
        <f t="shared" si="0"/>
        <v>-16.513232325473059</v>
      </c>
    </row>
    <row r="15" spans="1:42" x14ac:dyDescent="0.3">
      <c r="A15" t="s">
        <v>109</v>
      </c>
      <c r="B15" t="s">
        <v>114</v>
      </c>
      <c r="C15" t="s">
        <v>115</v>
      </c>
      <c r="D15" t="s">
        <v>116</v>
      </c>
      <c r="E15" t="s">
        <v>70</v>
      </c>
      <c r="F15" t="s">
        <v>93</v>
      </c>
      <c r="G15" t="s">
        <v>60</v>
      </c>
      <c r="H15" t="s">
        <v>49</v>
      </c>
      <c r="I15" t="s">
        <v>50</v>
      </c>
      <c r="J15" t="s">
        <v>51</v>
      </c>
      <c r="K15" t="s">
        <v>51</v>
      </c>
      <c r="L15" t="s">
        <v>52</v>
      </c>
      <c r="M15" t="s">
        <v>117</v>
      </c>
      <c r="N15" t="s">
        <v>51</v>
      </c>
      <c r="O15" t="s">
        <v>54</v>
      </c>
      <c r="P15" t="s">
        <v>51</v>
      </c>
      <c r="Q15" t="s">
        <v>55</v>
      </c>
      <c r="R15" s="1">
        <v>918583.9</v>
      </c>
      <c r="S15" s="1">
        <v>16778.87</v>
      </c>
      <c r="T15" s="1">
        <v>376826.32</v>
      </c>
      <c r="U15" s="1">
        <v>323632.27</v>
      </c>
      <c r="V15" t="s">
        <v>51</v>
      </c>
      <c r="W15">
        <v>218125.31</v>
      </c>
      <c r="X15">
        <v>0</v>
      </c>
      <c r="Y15">
        <v>0</v>
      </c>
      <c r="Z15">
        <v>-22558097.949999999</v>
      </c>
      <c r="AA15">
        <v>19491992.390000001</v>
      </c>
      <c r="AC15">
        <v>0</v>
      </c>
      <c r="AD15">
        <v>5776972.8600000003</v>
      </c>
      <c r="AE15">
        <v>2734521.95</v>
      </c>
      <c r="AF15">
        <v>109554974.48</v>
      </c>
      <c r="AG15" s="14">
        <v>109619225.59</v>
      </c>
      <c r="AH15">
        <v>0</v>
      </c>
      <c r="AI15">
        <v>0</v>
      </c>
      <c r="AJ15">
        <v>0</v>
      </c>
      <c r="AK15">
        <v>0</v>
      </c>
      <c r="AL15">
        <v>20251520.620000001</v>
      </c>
      <c r="AM15">
        <v>20251520.620000001</v>
      </c>
      <c r="AN15">
        <v>0</v>
      </c>
      <c r="AO15">
        <v>0</v>
      </c>
      <c r="AP15">
        <f t="shared" si="0"/>
        <v>-115.73007776040897</v>
      </c>
    </row>
    <row r="16" spans="1:42" x14ac:dyDescent="0.3">
      <c r="A16" t="s">
        <v>109</v>
      </c>
      <c r="B16" t="s">
        <v>118</v>
      </c>
      <c r="C16" t="s">
        <v>119</v>
      </c>
      <c r="D16" t="s">
        <v>120</v>
      </c>
      <c r="E16" t="s">
        <v>70</v>
      </c>
      <c r="F16" t="s">
        <v>121</v>
      </c>
      <c r="G16" t="s">
        <v>60</v>
      </c>
      <c r="H16" t="s">
        <v>49</v>
      </c>
      <c r="I16" t="s">
        <v>50</v>
      </c>
      <c r="J16" t="s">
        <v>51</v>
      </c>
      <c r="K16" t="s">
        <v>51</v>
      </c>
      <c r="L16" t="s">
        <v>52</v>
      </c>
      <c r="M16" t="s">
        <v>66</v>
      </c>
      <c r="N16" t="s">
        <v>51</v>
      </c>
      <c r="O16" t="s">
        <v>54</v>
      </c>
      <c r="P16" t="s">
        <v>51</v>
      </c>
      <c r="Q16" t="s">
        <v>55</v>
      </c>
      <c r="R16" s="1">
        <v>416573.91</v>
      </c>
      <c r="S16" s="1">
        <v>4793.9399999999996</v>
      </c>
      <c r="T16" s="1">
        <v>4793.9399999999996</v>
      </c>
      <c r="U16" s="1">
        <v>0</v>
      </c>
      <c r="V16" t="s">
        <v>51</v>
      </c>
      <c r="W16">
        <v>62321.22</v>
      </c>
      <c r="X16">
        <v>0</v>
      </c>
      <c r="Y16">
        <v>152320.29</v>
      </c>
      <c r="Z16">
        <v>86544.66</v>
      </c>
      <c r="AA16">
        <v>-50970.82</v>
      </c>
      <c r="AC16">
        <v>0</v>
      </c>
      <c r="AD16">
        <v>354932.54</v>
      </c>
      <c r="AE16">
        <v>430375.27</v>
      </c>
      <c r="AF16">
        <v>837615.8</v>
      </c>
      <c r="AG16" s="14">
        <v>837615.8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f t="shared" si="0"/>
        <v>-169.79255974300591</v>
      </c>
    </row>
    <row r="17" spans="1:42" x14ac:dyDescent="0.3">
      <c r="A17" t="s">
        <v>109</v>
      </c>
      <c r="B17" t="s">
        <v>122</v>
      </c>
      <c r="C17" t="s">
        <v>123</v>
      </c>
      <c r="D17" t="s">
        <v>124</v>
      </c>
      <c r="E17" t="s">
        <v>70</v>
      </c>
      <c r="F17" t="s">
        <v>71</v>
      </c>
      <c r="G17" t="s">
        <v>60</v>
      </c>
      <c r="H17" t="s">
        <v>49</v>
      </c>
      <c r="I17" t="s">
        <v>50</v>
      </c>
      <c r="J17" t="s">
        <v>51</v>
      </c>
      <c r="K17" t="s">
        <v>51</v>
      </c>
      <c r="L17" t="s">
        <v>52</v>
      </c>
      <c r="M17" t="s">
        <v>125</v>
      </c>
      <c r="N17" t="s">
        <v>51</v>
      </c>
      <c r="O17" t="s">
        <v>54</v>
      </c>
      <c r="P17" t="s">
        <v>51</v>
      </c>
      <c r="Q17" t="s">
        <v>55</v>
      </c>
      <c r="R17" s="1">
        <v>538686.31999999995</v>
      </c>
      <c r="S17" s="1">
        <v>554179.85</v>
      </c>
      <c r="T17" s="1">
        <v>20349597.219999999</v>
      </c>
      <c r="U17" s="1">
        <v>0</v>
      </c>
      <c r="V17" t="s">
        <v>51</v>
      </c>
      <c r="W17">
        <v>325324.89</v>
      </c>
      <c r="X17">
        <v>0</v>
      </c>
      <c r="Y17">
        <v>0</v>
      </c>
      <c r="Z17">
        <v>-20349597.219999999</v>
      </c>
      <c r="AA17">
        <v>120732790.76000001</v>
      </c>
      <c r="AC17">
        <v>0</v>
      </c>
      <c r="AD17">
        <v>100000</v>
      </c>
      <c r="AE17">
        <v>100000</v>
      </c>
      <c r="AF17">
        <v>0</v>
      </c>
      <c r="AG17" s="14">
        <v>0</v>
      </c>
      <c r="AH17">
        <v>0</v>
      </c>
      <c r="AI17">
        <v>16000000</v>
      </c>
      <c r="AJ17">
        <v>6750</v>
      </c>
      <c r="AK17">
        <v>6750</v>
      </c>
      <c r="AL17">
        <v>499811100.00999999</v>
      </c>
      <c r="AM17">
        <v>499811100.00999999</v>
      </c>
      <c r="AN17">
        <v>0</v>
      </c>
      <c r="AO17">
        <v>0</v>
      </c>
      <c r="AP17">
        <f t="shared" si="0"/>
        <v>-16.85507068287038</v>
      </c>
    </row>
    <row r="18" spans="1:42" x14ac:dyDescent="0.3">
      <c r="A18" t="s">
        <v>109</v>
      </c>
      <c r="B18" t="s">
        <v>126</v>
      </c>
      <c r="C18" t="s">
        <v>127</v>
      </c>
      <c r="D18" t="s">
        <v>128</v>
      </c>
      <c r="E18" t="s">
        <v>70</v>
      </c>
      <c r="F18" t="s">
        <v>59</v>
      </c>
      <c r="G18" t="s">
        <v>60</v>
      </c>
      <c r="H18" t="s">
        <v>49</v>
      </c>
      <c r="I18" t="s">
        <v>50</v>
      </c>
      <c r="J18" t="s">
        <v>51</v>
      </c>
      <c r="K18" t="s">
        <v>51</v>
      </c>
      <c r="L18" t="s">
        <v>52</v>
      </c>
      <c r="M18" t="s">
        <v>129</v>
      </c>
      <c r="N18" t="s">
        <v>51</v>
      </c>
      <c r="O18" t="s">
        <v>54</v>
      </c>
      <c r="P18" t="s">
        <v>51</v>
      </c>
      <c r="Q18" t="s">
        <v>55</v>
      </c>
      <c r="R18" s="1">
        <v>539804.76</v>
      </c>
      <c r="S18" s="1">
        <v>41523.440000000002</v>
      </c>
      <c r="T18" s="1">
        <v>42358.91</v>
      </c>
      <c r="U18" s="1">
        <v>0</v>
      </c>
      <c r="V18" t="s">
        <v>51</v>
      </c>
      <c r="W18">
        <v>539804.72</v>
      </c>
      <c r="X18">
        <v>0</v>
      </c>
      <c r="Y18">
        <v>0</v>
      </c>
      <c r="Z18">
        <v>0</v>
      </c>
      <c r="AA18">
        <v>-1653049.78</v>
      </c>
      <c r="AC18">
        <v>0</v>
      </c>
      <c r="AD18">
        <v>1018063.95</v>
      </c>
      <c r="AE18">
        <v>387314.54</v>
      </c>
      <c r="AF18">
        <v>3889423.1</v>
      </c>
      <c r="AG18" s="14">
        <v>3855251.38</v>
      </c>
      <c r="AH18">
        <v>0</v>
      </c>
      <c r="AI18">
        <v>0</v>
      </c>
      <c r="AJ18">
        <v>0</v>
      </c>
      <c r="AK18">
        <v>0</v>
      </c>
      <c r="AL18">
        <v>-505486.95</v>
      </c>
      <c r="AM18">
        <v>-505486.95</v>
      </c>
      <c r="AN18">
        <v>0</v>
      </c>
      <c r="AO18">
        <v>0</v>
      </c>
      <c r="AP18">
        <f t="shared" si="0"/>
        <v>0</v>
      </c>
    </row>
    <row r="19" spans="1:42" x14ac:dyDescent="0.3">
      <c r="A19" t="s">
        <v>109</v>
      </c>
      <c r="B19" t="s">
        <v>130</v>
      </c>
      <c r="C19" t="s">
        <v>131</v>
      </c>
      <c r="D19" t="s">
        <v>132</v>
      </c>
      <c r="E19" t="s">
        <v>46</v>
      </c>
      <c r="F19" t="s">
        <v>133</v>
      </c>
      <c r="G19" t="s">
        <v>48</v>
      </c>
      <c r="H19" t="s">
        <v>49</v>
      </c>
      <c r="I19" t="s">
        <v>50</v>
      </c>
      <c r="J19" t="s">
        <v>51</v>
      </c>
      <c r="K19" t="s">
        <v>51</v>
      </c>
      <c r="L19" t="s">
        <v>134</v>
      </c>
      <c r="M19" t="s">
        <v>135</v>
      </c>
      <c r="N19" t="s">
        <v>54</v>
      </c>
      <c r="O19" t="s">
        <v>54</v>
      </c>
      <c r="P19" t="s">
        <v>51</v>
      </c>
      <c r="Q19" t="s">
        <v>55</v>
      </c>
      <c r="R19" s="1">
        <v>5313174.59</v>
      </c>
      <c r="S19" s="1">
        <v>2192507.7200000002</v>
      </c>
      <c r="T19" s="1">
        <v>7586434.21</v>
      </c>
      <c r="U19" s="1">
        <v>0</v>
      </c>
      <c r="V19" t="s">
        <v>51</v>
      </c>
      <c r="W19">
        <v>405711.63</v>
      </c>
      <c r="X19">
        <v>0</v>
      </c>
      <c r="Y19">
        <v>0</v>
      </c>
      <c r="Z19">
        <v>646243.59</v>
      </c>
      <c r="AA19">
        <v>1354881.68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10000000</v>
      </c>
      <c r="AM19">
        <v>0</v>
      </c>
      <c r="AN19">
        <v>0</v>
      </c>
      <c r="AO19">
        <v>0</v>
      </c>
      <c r="AP19">
        <f t="shared" si="0"/>
        <v>47.697418862435285</v>
      </c>
    </row>
    <row r="20" spans="1:42" x14ac:dyDescent="0.3">
      <c r="A20" t="s">
        <v>109</v>
      </c>
      <c r="B20" t="s">
        <v>136</v>
      </c>
      <c r="C20" t="s">
        <v>137</v>
      </c>
      <c r="D20" t="s">
        <v>138</v>
      </c>
      <c r="E20" t="s">
        <v>46</v>
      </c>
      <c r="F20" t="s">
        <v>139</v>
      </c>
      <c r="G20" t="s">
        <v>60</v>
      </c>
      <c r="H20" t="s">
        <v>49</v>
      </c>
      <c r="I20" t="s">
        <v>50</v>
      </c>
      <c r="J20" t="s">
        <v>51</v>
      </c>
      <c r="K20" t="s">
        <v>51</v>
      </c>
      <c r="L20" t="s">
        <v>134</v>
      </c>
      <c r="M20" t="s">
        <v>140</v>
      </c>
      <c r="N20" t="s">
        <v>54</v>
      </c>
      <c r="O20" t="s">
        <v>54</v>
      </c>
      <c r="P20" t="s">
        <v>54</v>
      </c>
      <c r="Q20" t="s">
        <v>141</v>
      </c>
      <c r="R20" s="1">
        <v>452797131.62</v>
      </c>
      <c r="S20" s="1">
        <v>25539770.41</v>
      </c>
      <c r="T20" s="1">
        <v>457193681.31</v>
      </c>
      <c r="U20" s="1">
        <v>34430657.700000003</v>
      </c>
      <c r="V20" t="s">
        <v>51</v>
      </c>
      <c r="W20">
        <v>398267.27</v>
      </c>
      <c r="X20">
        <v>0</v>
      </c>
      <c r="Y20">
        <v>0</v>
      </c>
      <c r="Z20">
        <v>40882909.780000001</v>
      </c>
      <c r="AA20">
        <v>140652177.31</v>
      </c>
      <c r="AC20">
        <v>10638724.09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2873892.97</v>
      </c>
      <c r="AK20">
        <v>3212493.37</v>
      </c>
      <c r="AL20">
        <v>23729600.300000001</v>
      </c>
      <c r="AM20">
        <v>26525400.059999999</v>
      </c>
      <c r="AN20">
        <v>0</v>
      </c>
      <c r="AO20">
        <v>0</v>
      </c>
      <c r="AP20">
        <f t="shared" si="0"/>
        <v>29.066673948383542</v>
      </c>
    </row>
    <row r="21" spans="1:42" x14ac:dyDescent="0.3">
      <c r="A21" t="s">
        <v>109</v>
      </c>
      <c r="B21" t="s">
        <v>142</v>
      </c>
      <c r="C21" t="s">
        <v>143</v>
      </c>
      <c r="D21" t="s">
        <v>144</v>
      </c>
      <c r="E21" t="s">
        <v>46</v>
      </c>
      <c r="F21" t="s">
        <v>107</v>
      </c>
      <c r="G21" t="s">
        <v>60</v>
      </c>
      <c r="H21" t="s">
        <v>49</v>
      </c>
      <c r="I21" t="s">
        <v>50</v>
      </c>
      <c r="J21" t="s">
        <v>51</v>
      </c>
      <c r="K21" t="s">
        <v>51</v>
      </c>
      <c r="L21" t="s">
        <v>134</v>
      </c>
      <c r="M21" t="s">
        <v>145</v>
      </c>
      <c r="N21" t="s">
        <v>54</v>
      </c>
      <c r="O21" t="s">
        <v>54</v>
      </c>
      <c r="P21" t="s">
        <v>54</v>
      </c>
      <c r="Q21" t="s">
        <v>146</v>
      </c>
      <c r="R21" s="1">
        <v>464911233</v>
      </c>
      <c r="S21" s="1">
        <v>109360615</v>
      </c>
      <c r="T21" s="1">
        <v>543831809.48000002</v>
      </c>
      <c r="U21" s="1">
        <v>11453707.220000001</v>
      </c>
      <c r="V21" t="s">
        <v>51</v>
      </c>
      <c r="W21">
        <v>475077.99</v>
      </c>
      <c r="X21">
        <v>0</v>
      </c>
      <c r="Y21">
        <v>23628.57</v>
      </c>
      <c r="Z21">
        <v>76660074</v>
      </c>
      <c r="AA21">
        <v>6571826958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44880272.469999999</v>
      </c>
      <c r="AI21">
        <v>51271902.340000004</v>
      </c>
      <c r="AJ21">
        <v>1364435968.8099999</v>
      </c>
      <c r="AK21">
        <v>1364435968.8099999</v>
      </c>
      <c r="AL21">
        <v>469681938.81</v>
      </c>
      <c r="AM21">
        <v>525570038.81</v>
      </c>
      <c r="AN21">
        <v>287699727.52999997</v>
      </c>
      <c r="AO21">
        <v>231811627.53</v>
      </c>
      <c r="AP21">
        <f t="shared" si="0"/>
        <v>1.1664956257967254</v>
      </c>
    </row>
    <row r="22" spans="1:42" x14ac:dyDescent="0.3">
      <c r="A22" t="s">
        <v>109</v>
      </c>
      <c r="B22" t="s">
        <v>147</v>
      </c>
      <c r="C22" t="s">
        <v>148</v>
      </c>
      <c r="D22" t="s">
        <v>149</v>
      </c>
      <c r="E22" t="s">
        <v>46</v>
      </c>
      <c r="F22" t="s">
        <v>150</v>
      </c>
      <c r="G22" t="s">
        <v>60</v>
      </c>
      <c r="H22" t="s">
        <v>49</v>
      </c>
      <c r="I22" t="s">
        <v>50</v>
      </c>
      <c r="J22" t="s">
        <v>51</v>
      </c>
      <c r="K22" t="s">
        <v>51</v>
      </c>
      <c r="L22" t="s">
        <v>134</v>
      </c>
      <c r="M22" t="s">
        <v>151</v>
      </c>
      <c r="N22" t="s">
        <v>54</v>
      </c>
      <c r="O22" t="s">
        <v>54</v>
      </c>
      <c r="P22" t="s">
        <v>51</v>
      </c>
      <c r="Q22" t="s">
        <v>152</v>
      </c>
      <c r="R22" s="1">
        <v>17985777.949999999</v>
      </c>
      <c r="S22" s="1">
        <v>12885085.75</v>
      </c>
      <c r="T22" s="1">
        <v>20957137.050000001</v>
      </c>
      <c r="U22" s="1">
        <v>0</v>
      </c>
      <c r="V22" t="s">
        <v>51</v>
      </c>
      <c r="W22">
        <v>298779.51</v>
      </c>
      <c r="X22">
        <v>0</v>
      </c>
      <c r="Y22">
        <v>0</v>
      </c>
      <c r="Z22">
        <v>-5899240.4000000004</v>
      </c>
      <c r="AA22">
        <v>217370.56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10083000</v>
      </c>
      <c r="AK22">
        <v>10083000</v>
      </c>
      <c r="AL22">
        <v>10083000</v>
      </c>
      <c r="AM22">
        <v>10083000</v>
      </c>
      <c r="AN22">
        <v>0</v>
      </c>
      <c r="AO22">
        <v>0</v>
      </c>
      <c r="AP22">
        <f t="shared" si="0"/>
        <v>-2713.9095561054819</v>
      </c>
    </row>
    <row r="23" spans="1:42" x14ac:dyDescent="0.3">
      <c r="A23" t="s">
        <v>153</v>
      </c>
      <c r="B23" t="s">
        <v>154</v>
      </c>
      <c r="C23" t="s">
        <v>155</v>
      </c>
      <c r="D23" t="s">
        <v>156</v>
      </c>
      <c r="E23" t="s">
        <v>46</v>
      </c>
      <c r="F23" t="s">
        <v>65</v>
      </c>
      <c r="G23" t="s">
        <v>48</v>
      </c>
      <c r="H23" t="s">
        <v>49</v>
      </c>
      <c r="I23" t="s">
        <v>50</v>
      </c>
      <c r="J23" t="s">
        <v>51</v>
      </c>
      <c r="K23" t="s">
        <v>51</v>
      </c>
      <c r="L23" t="s">
        <v>52</v>
      </c>
      <c r="M23" t="s">
        <v>157</v>
      </c>
      <c r="N23" t="s">
        <v>54</v>
      </c>
      <c r="O23" t="s">
        <v>54</v>
      </c>
      <c r="P23" t="s">
        <v>51</v>
      </c>
      <c r="Q23" t="s">
        <v>158</v>
      </c>
      <c r="R23" s="1">
        <v>1890024.01</v>
      </c>
      <c r="S23" s="1">
        <v>4164370.39</v>
      </c>
      <c r="T23" s="1">
        <v>135665693.66999999</v>
      </c>
      <c r="U23" s="1">
        <v>0</v>
      </c>
      <c r="V23" t="s">
        <v>51</v>
      </c>
      <c r="W23">
        <v>180416.58</v>
      </c>
      <c r="X23">
        <v>0</v>
      </c>
      <c r="Y23">
        <v>133966.39999999999</v>
      </c>
      <c r="Z23">
        <v>-4743532.0199999996</v>
      </c>
      <c r="AA23">
        <v>795178.7</v>
      </c>
      <c r="AB23">
        <v>0</v>
      </c>
      <c r="AC23">
        <v>0</v>
      </c>
      <c r="AD23">
        <v>102148016.19</v>
      </c>
      <c r="AE23">
        <v>125829889.81999999</v>
      </c>
      <c r="AF23">
        <v>0</v>
      </c>
      <c r="AG23" s="14">
        <v>0</v>
      </c>
      <c r="AH23">
        <v>0</v>
      </c>
      <c r="AI23">
        <v>0</v>
      </c>
      <c r="AJ23">
        <v>0</v>
      </c>
      <c r="AK23">
        <v>0</v>
      </c>
      <c r="AL23">
        <v>10000000</v>
      </c>
      <c r="AM23">
        <v>10000000</v>
      </c>
      <c r="AN23">
        <v>0</v>
      </c>
      <c r="AO23">
        <v>0</v>
      </c>
      <c r="AP23">
        <f t="shared" si="0"/>
        <v>-596.53660491660548</v>
      </c>
    </row>
    <row r="24" spans="1:42" x14ac:dyDescent="0.3">
      <c r="A24" t="s">
        <v>153</v>
      </c>
      <c r="B24" t="s">
        <v>159</v>
      </c>
      <c r="C24" t="s">
        <v>160</v>
      </c>
      <c r="D24" t="s">
        <v>161</v>
      </c>
      <c r="E24" t="s">
        <v>46</v>
      </c>
      <c r="F24" t="s">
        <v>162</v>
      </c>
      <c r="G24" t="s">
        <v>48</v>
      </c>
      <c r="H24" t="s">
        <v>76</v>
      </c>
      <c r="I24" t="s">
        <v>50</v>
      </c>
      <c r="J24" t="s">
        <v>51</v>
      </c>
      <c r="K24" t="s">
        <v>51</v>
      </c>
      <c r="L24" t="s">
        <v>52</v>
      </c>
      <c r="M24" t="s">
        <v>163</v>
      </c>
      <c r="N24" t="s">
        <v>54</v>
      </c>
      <c r="O24" t="s">
        <v>54</v>
      </c>
      <c r="P24" t="s">
        <v>54</v>
      </c>
      <c r="Q24" t="s">
        <v>164</v>
      </c>
      <c r="R24" s="1">
        <v>631607.64</v>
      </c>
      <c r="S24" s="1">
        <v>13648434.779999999</v>
      </c>
      <c r="T24" s="1">
        <v>104858079.98999999</v>
      </c>
      <c r="U24" s="1">
        <v>38772283</v>
      </c>
      <c r="V24" t="s">
        <v>51</v>
      </c>
      <c r="W24">
        <v>407740</v>
      </c>
      <c r="X24">
        <v>0</v>
      </c>
      <c r="Y24">
        <v>0</v>
      </c>
      <c r="Z24">
        <v>-803617.85</v>
      </c>
      <c r="AA24">
        <v>4189166.07</v>
      </c>
      <c r="AB24">
        <v>0</v>
      </c>
      <c r="AC24">
        <v>0</v>
      </c>
      <c r="AD24">
        <v>71978545.769999996</v>
      </c>
      <c r="AE24">
        <v>104258633.95999999</v>
      </c>
      <c r="AF24">
        <v>2807045.37</v>
      </c>
      <c r="AG24" s="14">
        <v>6734566.1699999999</v>
      </c>
      <c r="AH24">
        <v>0</v>
      </c>
      <c r="AI24">
        <v>0</v>
      </c>
      <c r="AJ24">
        <v>1</v>
      </c>
      <c r="AK24">
        <v>1</v>
      </c>
      <c r="AL24">
        <v>27123375.379999999</v>
      </c>
      <c r="AM24">
        <v>27123375.379999999</v>
      </c>
      <c r="AN24">
        <v>0</v>
      </c>
      <c r="AO24">
        <v>0</v>
      </c>
      <c r="AP24">
        <f t="shared" si="0"/>
        <v>-19.183241642172472</v>
      </c>
    </row>
    <row r="25" spans="1:42" x14ac:dyDescent="0.3">
      <c r="A25" t="s">
        <v>153</v>
      </c>
      <c r="B25" t="s">
        <v>165</v>
      </c>
      <c r="C25" t="s">
        <v>166</v>
      </c>
      <c r="D25" t="s">
        <v>167</v>
      </c>
      <c r="E25" t="s">
        <v>46</v>
      </c>
      <c r="F25" t="s">
        <v>65</v>
      </c>
      <c r="G25" t="s">
        <v>60</v>
      </c>
      <c r="H25" t="s">
        <v>49</v>
      </c>
      <c r="I25" t="s">
        <v>50</v>
      </c>
      <c r="J25" t="s">
        <v>51</v>
      </c>
      <c r="K25" t="s">
        <v>51</v>
      </c>
      <c r="L25" t="s">
        <v>52</v>
      </c>
      <c r="M25" t="s">
        <v>168</v>
      </c>
      <c r="N25" t="s">
        <v>54</v>
      </c>
      <c r="O25" t="s">
        <v>54</v>
      </c>
      <c r="P25" t="s">
        <v>51</v>
      </c>
      <c r="Q25" t="s">
        <v>169</v>
      </c>
      <c r="R25" s="1">
        <v>0</v>
      </c>
      <c r="S25" s="1">
        <v>30883606.66</v>
      </c>
      <c r="T25" s="1">
        <v>35833133.880000003</v>
      </c>
      <c r="U25" s="1">
        <v>0</v>
      </c>
      <c r="V25" t="s">
        <v>51</v>
      </c>
      <c r="W25">
        <v>758106.55</v>
      </c>
      <c r="X25">
        <v>0</v>
      </c>
      <c r="Y25">
        <v>6500</v>
      </c>
      <c r="Z25">
        <v>-18991278.859999999</v>
      </c>
      <c r="AA25">
        <v>53266635.340000004</v>
      </c>
      <c r="AB25">
        <v>0</v>
      </c>
      <c r="AC25">
        <v>0</v>
      </c>
      <c r="AD25">
        <v>30817836.329999998</v>
      </c>
      <c r="AE25">
        <v>17074546.300000001</v>
      </c>
      <c r="AF25">
        <v>0</v>
      </c>
      <c r="AG25" s="14">
        <v>0</v>
      </c>
      <c r="AH25">
        <v>0</v>
      </c>
      <c r="AI25">
        <v>16526312.359999999</v>
      </c>
      <c r="AJ25">
        <v>62880631</v>
      </c>
      <c r="AK25">
        <v>66058773</v>
      </c>
      <c r="AL25">
        <v>326979280.27999997</v>
      </c>
      <c r="AM25">
        <v>343505592.63999999</v>
      </c>
      <c r="AN25">
        <v>49020719.719999999</v>
      </c>
      <c r="AO25">
        <v>32494407.359999999</v>
      </c>
      <c r="AP25">
        <f t="shared" si="0"/>
        <v>-35.653235348504744</v>
      </c>
    </row>
    <row r="26" spans="1:42" x14ac:dyDescent="0.3">
      <c r="A26" t="s">
        <v>153</v>
      </c>
      <c r="B26" t="s">
        <v>170</v>
      </c>
      <c r="C26" t="s">
        <v>171</v>
      </c>
      <c r="D26" t="s">
        <v>172</v>
      </c>
      <c r="E26" t="s">
        <v>46</v>
      </c>
      <c r="F26" t="s">
        <v>107</v>
      </c>
      <c r="G26" t="s">
        <v>60</v>
      </c>
      <c r="H26" t="s">
        <v>49</v>
      </c>
      <c r="I26" t="s">
        <v>50</v>
      </c>
      <c r="J26" t="s">
        <v>51</v>
      </c>
      <c r="K26" t="s">
        <v>51</v>
      </c>
      <c r="L26" t="s">
        <v>52</v>
      </c>
      <c r="M26" t="s">
        <v>173</v>
      </c>
      <c r="N26" t="s">
        <v>54</v>
      </c>
      <c r="O26" t="s">
        <v>54</v>
      </c>
      <c r="P26" t="s">
        <v>51</v>
      </c>
      <c r="Q26" t="s">
        <v>174</v>
      </c>
      <c r="R26" s="1">
        <v>73990520.629999995</v>
      </c>
      <c r="S26" s="1">
        <v>45340671.369999997</v>
      </c>
      <c r="T26" s="1">
        <v>83896774.049999997</v>
      </c>
      <c r="U26" s="1">
        <v>4303097.24</v>
      </c>
      <c r="V26" t="s">
        <v>51</v>
      </c>
      <c r="W26">
        <v>469688.87</v>
      </c>
      <c r="X26">
        <v>0</v>
      </c>
      <c r="Y26">
        <v>4525.34</v>
      </c>
      <c r="Z26">
        <v>-8231341.8700000001</v>
      </c>
      <c r="AA26">
        <v>-22972208.93</v>
      </c>
      <c r="AB26">
        <v>0</v>
      </c>
      <c r="AC26">
        <v>0</v>
      </c>
      <c r="AD26">
        <v>47283701.479999997</v>
      </c>
      <c r="AE26">
        <v>49576265.740000002</v>
      </c>
      <c r="AF26">
        <v>0</v>
      </c>
      <c r="AG26" s="14">
        <v>0</v>
      </c>
      <c r="AH26">
        <v>4042877.04</v>
      </c>
      <c r="AI26">
        <v>1290000</v>
      </c>
      <c r="AJ26">
        <v>22094870827</v>
      </c>
      <c r="AK26">
        <v>22094870827</v>
      </c>
      <c r="AL26">
        <v>533862739.94999999</v>
      </c>
      <c r="AM26">
        <v>533862739.94999999</v>
      </c>
      <c r="AN26">
        <v>0</v>
      </c>
      <c r="AO26">
        <v>0</v>
      </c>
      <c r="AP26">
        <f t="shared" si="0"/>
        <v>35.831738667718966</v>
      </c>
    </row>
    <row r="27" spans="1:42" x14ac:dyDescent="0.3">
      <c r="A27" t="s">
        <v>153</v>
      </c>
      <c r="B27" t="s">
        <v>175</v>
      </c>
      <c r="C27" t="s">
        <v>176</v>
      </c>
      <c r="D27" t="s">
        <v>177</v>
      </c>
      <c r="E27" t="s">
        <v>46</v>
      </c>
      <c r="F27" t="s">
        <v>71</v>
      </c>
      <c r="G27" t="s">
        <v>48</v>
      </c>
      <c r="H27" t="s">
        <v>49</v>
      </c>
      <c r="I27" t="s">
        <v>50</v>
      </c>
      <c r="J27" t="s">
        <v>51</v>
      </c>
      <c r="K27" t="s">
        <v>51</v>
      </c>
      <c r="L27" t="s">
        <v>134</v>
      </c>
      <c r="M27" t="s">
        <v>178</v>
      </c>
      <c r="N27" t="s">
        <v>54</v>
      </c>
      <c r="O27" t="s">
        <v>54</v>
      </c>
      <c r="P27" t="s">
        <v>54</v>
      </c>
      <c r="Q27" t="s">
        <v>179</v>
      </c>
      <c r="R27" s="1">
        <v>26835089</v>
      </c>
      <c r="S27" s="1">
        <v>50347132.960000001</v>
      </c>
      <c r="T27" s="1">
        <v>372372597.11000001</v>
      </c>
      <c r="U27" s="1">
        <v>322025464.14999998</v>
      </c>
      <c r="V27" t="s">
        <v>51</v>
      </c>
      <c r="W27">
        <v>567085.72</v>
      </c>
      <c r="X27">
        <v>0</v>
      </c>
      <c r="Y27">
        <v>34305.43</v>
      </c>
      <c r="Z27">
        <v>14463129.66</v>
      </c>
      <c r="AA27">
        <v>125785991.54000001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103963256</v>
      </c>
      <c r="AK27">
        <v>106465046</v>
      </c>
      <c r="AL27">
        <v>103963256</v>
      </c>
      <c r="AM27">
        <v>106465046</v>
      </c>
      <c r="AN27">
        <v>0</v>
      </c>
      <c r="AO27">
        <v>0</v>
      </c>
      <c r="AP27">
        <f t="shared" si="0"/>
        <v>11.498203800699633</v>
      </c>
    </row>
    <row r="28" spans="1:42" x14ac:dyDescent="0.3">
      <c r="A28" t="s">
        <v>153</v>
      </c>
      <c r="B28" t="s">
        <v>180</v>
      </c>
      <c r="C28" t="s">
        <v>181</v>
      </c>
      <c r="D28" t="s">
        <v>182</v>
      </c>
      <c r="E28" t="s">
        <v>46</v>
      </c>
      <c r="F28" t="s">
        <v>133</v>
      </c>
      <c r="G28" t="s">
        <v>48</v>
      </c>
      <c r="H28" t="s">
        <v>49</v>
      </c>
      <c r="I28" t="s">
        <v>50</v>
      </c>
      <c r="J28" t="s">
        <v>51</v>
      </c>
      <c r="K28" t="s">
        <v>51</v>
      </c>
      <c r="L28" t="s">
        <v>134</v>
      </c>
      <c r="M28" t="s">
        <v>183</v>
      </c>
      <c r="N28" t="s">
        <v>54</v>
      </c>
      <c r="O28" t="s">
        <v>54</v>
      </c>
      <c r="P28" t="s">
        <v>54</v>
      </c>
      <c r="Q28" t="s">
        <v>184</v>
      </c>
      <c r="R28" s="1">
        <v>765121</v>
      </c>
      <c r="S28" s="1">
        <v>4383063</v>
      </c>
      <c r="T28" s="1">
        <v>4974652</v>
      </c>
      <c r="U28" s="1">
        <v>0</v>
      </c>
      <c r="V28" t="s">
        <v>51</v>
      </c>
      <c r="W28">
        <v>439200</v>
      </c>
      <c r="X28">
        <v>0</v>
      </c>
      <c r="Y28">
        <v>6500</v>
      </c>
      <c r="Z28">
        <v>6811743</v>
      </c>
      <c r="AA28">
        <v>153408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6000000</v>
      </c>
      <c r="AI28">
        <v>4000000</v>
      </c>
      <c r="AJ28">
        <v>15000000</v>
      </c>
      <c r="AK28">
        <v>19000000</v>
      </c>
      <c r="AL28">
        <v>15000000</v>
      </c>
      <c r="AM28">
        <v>19000000</v>
      </c>
      <c r="AN28">
        <v>0</v>
      </c>
      <c r="AO28">
        <v>0</v>
      </c>
      <c r="AP28">
        <f t="shared" si="0"/>
        <v>4440.2788642052565</v>
      </c>
    </row>
    <row r="29" spans="1:42" x14ac:dyDescent="0.3">
      <c r="A29" t="s">
        <v>153</v>
      </c>
      <c r="B29" t="s">
        <v>185</v>
      </c>
      <c r="C29" t="s">
        <v>186</v>
      </c>
      <c r="D29" t="s">
        <v>187</v>
      </c>
      <c r="E29" t="s">
        <v>46</v>
      </c>
      <c r="F29" t="s">
        <v>139</v>
      </c>
      <c r="G29" t="s">
        <v>60</v>
      </c>
      <c r="H29" t="s">
        <v>49</v>
      </c>
      <c r="I29" t="s">
        <v>50</v>
      </c>
      <c r="J29" t="s">
        <v>51</v>
      </c>
      <c r="K29" t="s">
        <v>51</v>
      </c>
      <c r="L29" t="s">
        <v>134</v>
      </c>
      <c r="M29" t="s">
        <v>188</v>
      </c>
      <c r="N29" t="s">
        <v>54</v>
      </c>
      <c r="O29" t="s">
        <v>54</v>
      </c>
      <c r="P29" t="s">
        <v>51</v>
      </c>
      <c r="Q29" t="s">
        <v>189</v>
      </c>
      <c r="R29" s="1">
        <v>3553037371.2399998</v>
      </c>
      <c r="S29" s="1">
        <v>2056766.34</v>
      </c>
      <c r="T29" s="1">
        <v>3376108206.3499999</v>
      </c>
      <c r="U29" s="1">
        <v>22339239.859999999</v>
      </c>
      <c r="V29" t="s">
        <v>54</v>
      </c>
      <c r="W29">
        <v>765000</v>
      </c>
      <c r="X29">
        <v>45000</v>
      </c>
      <c r="Y29">
        <v>14048</v>
      </c>
      <c r="Z29">
        <v>197284083.28999999</v>
      </c>
      <c r="AA29">
        <v>505089714.62</v>
      </c>
      <c r="AB29">
        <v>0</v>
      </c>
      <c r="AC29">
        <v>11365846.16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12059543</v>
      </c>
      <c r="AK29">
        <v>12059543</v>
      </c>
      <c r="AL29">
        <v>45042129.149999999</v>
      </c>
      <c r="AM29">
        <v>58100044.649999999</v>
      </c>
      <c r="AN29">
        <v>0</v>
      </c>
      <c r="AO29">
        <v>0</v>
      </c>
      <c r="AP29">
        <f t="shared" si="0"/>
        <v>39.059216131222357</v>
      </c>
    </row>
    <row r="30" spans="1:42" x14ac:dyDescent="0.3">
      <c r="A30" t="s">
        <v>153</v>
      </c>
      <c r="B30" t="s">
        <v>190</v>
      </c>
      <c r="C30" t="s">
        <v>191</v>
      </c>
      <c r="D30" t="s">
        <v>192</v>
      </c>
      <c r="E30" t="s">
        <v>46</v>
      </c>
      <c r="F30" t="s">
        <v>47</v>
      </c>
      <c r="G30" t="s">
        <v>60</v>
      </c>
      <c r="H30" t="s">
        <v>49</v>
      </c>
      <c r="I30" t="s">
        <v>50</v>
      </c>
      <c r="J30" t="s">
        <v>51</v>
      </c>
      <c r="K30" t="s">
        <v>51</v>
      </c>
      <c r="L30" t="s">
        <v>134</v>
      </c>
      <c r="M30" t="s">
        <v>193</v>
      </c>
      <c r="N30" t="s">
        <v>54</v>
      </c>
      <c r="O30" t="s">
        <v>54</v>
      </c>
      <c r="P30" t="s">
        <v>54</v>
      </c>
      <c r="Q30" t="s">
        <v>194</v>
      </c>
      <c r="R30" s="1">
        <v>136009915</v>
      </c>
      <c r="S30" s="1">
        <v>69725561</v>
      </c>
      <c r="T30" s="1">
        <v>78824023</v>
      </c>
      <c r="U30" s="1">
        <v>9098462</v>
      </c>
      <c r="V30" t="s">
        <v>51</v>
      </c>
      <c r="W30">
        <v>730797.6</v>
      </c>
      <c r="X30">
        <v>0</v>
      </c>
      <c r="Y30">
        <v>23926.98</v>
      </c>
      <c r="Z30">
        <v>9749845</v>
      </c>
      <c r="AA30">
        <v>25157069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99.89</v>
      </c>
      <c r="AK30">
        <v>99.89</v>
      </c>
      <c r="AL30">
        <v>45193991</v>
      </c>
      <c r="AM30">
        <v>45193991</v>
      </c>
      <c r="AN30">
        <v>0</v>
      </c>
      <c r="AO30">
        <v>0</v>
      </c>
      <c r="AP30">
        <f t="shared" si="0"/>
        <v>38.755886069239622</v>
      </c>
    </row>
    <row r="31" spans="1:42" x14ac:dyDescent="0.3">
      <c r="A31" t="s">
        <v>195</v>
      </c>
      <c r="B31" t="s">
        <v>196</v>
      </c>
      <c r="C31" t="s">
        <v>197</v>
      </c>
      <c r="D31" t="s">
        <v>198</v>
      </c>
      <c r="E31" t="s">
        <v>46</v>
      </c>
      <c r="F31" t="s">
        <v>107</v>
      </c>
      <c r="G31" t="s">
        <v>60</v>
      </c>
      <c r="H31" t="s">
        <v>49</v>
      </c>
      <c r="I31" t="s">
        <v>50</v>
      </c>
      <c r="J31" t="s">
        <v>51</v>
      </c>
      <c r="K31" t="s">
        <v>51</v>
      </c>
      <c r="L31" t="s">
        <v>52</v>
      </c>
      <c r="M31" t="s">
        <v>199</v>
      </c>
      <c r="N31" t="s">
        <v>54</v>
      </c>
      <c r="O31" t="s">
        <v>54</v>
      </c>
      <c r="P31" t="s">
        <v>51</v>
      </c>
      <c r="Q31" t="s">
        <v>200</v>
      </c>
      <c r="R31" s="1">
        <v>2764377.26</v>
      </c>
      <c r="S31" s="1">
        <v>45689257.880000003</v>
      </c>
      <c r="T31" s="1">
        <v>126082680.95999999</v>
      </c>
      <c r="U31" s="1">
        <v>519101.98</v>
      </c>
      <c r="V31" t="s">
        <v>51</v>
      </c>
      <c r="W31">
        <v>284698.07</v>
      </c>
      <c r="X31">
        <v>0</v>
      </c>
      <c r="Y31">
        <v>200076.6</v>
      </c>
      <c r="Z31">
        <v>-123318303.7</v>
      </c>
      <c r="AA31">
        <v>121298484.36</v>
      </c>
      <c r="AB31">
        <v>0</v>
      </c>
      <c r="AC31">
        <v>0</v>
      </c>
      <c r="AD31">
        <v>51326172.649999999</v>
      </c>
      <c r="AE31">
        <v>51535694.859999999</v>
      </c>
      <c r="AF31">
        <v>158572310.09999999</v>
      </c>
      <c r="AG31" s="14">
        <v>111865380.09999999</v>
      </c>
      <c r="AH31">
        <v>51326172.649999999</v>
      </c>
      <c r="AI31">
        <v>51535694.859999999</v>
      </c>
      <c r="AJ31">
        <v>5245225458</v>
      </c>
      <c r="AK31">
        <v>5245225458</v>
      </c>
      <c r="AL31">
        <v>506959171.86000001</v>
      </c>
      <c r="AM31">
        <v>559820138.57000005</v>
      </c>
      <c r="AN31">
        <v>52860966.710000001</v>
      </c>
      <c r="AO31">
        <v>52607136.350000001</v>
      </c>
      <c r="AP31">
        <f t="shared" si="0"/>
        <v>-101.66516453248121</v>
      </c>
    </row>
    <row r="32" spans="1:42" x14ac:dyDescent="0.3">
      <c r="A32" t="s">
        <v>195</v>
      </c>
      <c r="B32" t="s">
        <v>201</v>
      </c>
      <c r="C32" t="s">
        <v>202</v>
      </c>
      <c r="D32" t="s">
        <v>203</v>
      </c>
      <c r="E32" t="s">
        <v>46</v>
      </c>
      <c r="F32" t="s">
        <v>71</v>
      </c>
      <c r="G32" t="s">
        <v>48</v>
      </c>
      <c r="H32" t="s">
        <v>49</v>
      </c>
      <c r="I32" t="s">
        <v>50</v>
      </c>
      <c r="J32" t="s">
        <v>51</v>
      </c>
      <c r="K32" t="s">
        <v>51</v>
      </c>
      <c r="L32" t="s">
        <v>134</v>
      </c>
      <c r="M32" t="s">
        <v>204</v>
      </c>
      <c r="N32" t="s">
        <v>54</v>
      </c>
      <c r="O32" t="s">
        <v>54</v>
      </c>
      <c r="P32" t="s">
        <v>51</v>
      </c>
      <c r="Q32" t="s">
        <v>55</v>
      </c>
      <c r="R32" s="1">
        <v>11665247.24</v>
      </c>
      <c r="S32" s="1">
        <v>4546633.3600000003</v>
      </c>
      <c r="T32" s="1">
        <v>13015640.720000001</v>
      </c>
      <c r="U32" s="1">
        <v>0</v>
      </c>
      <c r="V32" t="s">
        <v>51</v>
      </c>
      <c r="W32">
        <v>204363.69</v>
      </c>
      <c r="X32">
        <v>0</v>
      </c>
      <c r="Y32">
        <v>63428.18</v>
      </c>
      <c r="Z32">
        <v>-1045966.91</v>
      </c>
      <c r="AA32">
        <v>16811613.52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39255740</v>
      </c>
      <c r="AK32">
        <v>39255740</v>
      </c>
      <c r="AL32">
        <v>34455740.380000003</v>
      </c>
      <c r="AM32">
        <v>39255740.079999998</v>
      </c>
      <c r="AN32">
        <v>34455740</v>
      </c>
      <c r="AO32">
        <v>39255740.079999998</v>
      </c>
      <c r="AP32">
        <f t="shared" si="0"/>
        <v>-6.2216925743365534</v>
      </c>
    </row>
    <row r="33" spans="1:42" x14ac:dyDescent="0.3">
      <c r="A33" t="s">
        <v>195</v>
      </c>
      <c r="B33" t="s">
        <v>205</v>
      </c>
      <c r="C33" t="s">
        <v>206</v>
      </c>
      <c r="D33" t="s">
        <v>207</v>
      </c>
      <c r="E33" t="s">
        <v>46</v>
      </c>
      <c r="F33" t="s">
        <v>139</v>
      </c>
      <c r="G33" t="s">
        <v>60</v>
      </c>
      <c r="H33" t="s">
        <v>49</v>
      </c>
      <c r="I33" t="s">
        <v>50</v>
      </c>
      <c r="J33" t="s">
        <v>51</v>
      </c>
      <c r="K33" t="s">
        <v>51</v>
      </c>
      <c r="L33" t="s">
        <v>134</v>
      </c>
      <c r="M33" t="s">
        <v>208</v>
      </c>
      <c r="N33" t="s">
        <v>54</v>
      </c>
      <c r="O33" t="s">
        <v>54</v>
      </c>
      <c r="P33" t="s">
        <v>51</v>
      </c>
      <c r="Q33" t="s">
        <v>209</v>
      </c>
      <c r="R33" s="1">
        <v>0</v>
      </c>
      <c r="S33" s="1">
        <v>169282.13</v>
      </c>
      <c r="T33" s="1">
        <v>312664.81</v>
      </c>
      <c r="U33" s="1">
        <v>0</v>
      </c>
      <c r="V33" t="s">
        <v>51</v>
      </c>
      <c r="W33">
        <v>58275</v>
      </c>
      <c r="X33">
        <v>0</v>
      </c>
      <c r="Y33">
        <v>0</v>
      </c>
      <c r="Z33">
        <v>332463.03000000003</v>
      </c>
      <c r="AA33">
        <v>135120.81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790500</v>
      </c>
      <c r="AK33">
        <v>790500</v>
      </c>
      <c r="AL33">
        <v>2999000</v>
      </c>
      <c r="AM33">
        <v>31000</v>
      </c>
      <c r="AN33">
        <v>101000</v>
      </c>
      <c r="AO33">
        <v>0</v>
      </c>
      <c r="AP33">
        <f t="shared" si="0"/>
        <v>246.04872484112553</v>
      </c>
    </row>
    <row r="34" spans="1:42" ht="43.2" x14ac:dyDescent="0.3">
      <c r="A34" t="s">
        <v>210</v>
      </c>
      <c r="B34" t="s">
        <v>211</v>
      </c>
      <c r="C34" t="s">
        <v>212</v>
      </c>
      <c r="D34" t="s">
        <v>213</v>
      </c>
      <c r="E34" t="s">
        <v>46</v>
      </c>
      <c r="F34" s="6" t="s">
        <v>75</v>
      </c>
      <c r="G34" t="s">
        <v>60</v>
      </c>
      <c r="H34" t="s">
        <v>49</v>
      </c>
      <c r="I34" t="s">
        <v>50</v>
      </c>
      <c r="J34" t="s">
        <v>51</v>
      </c>
      <c r="K34" t="s">
        <v>51</v>
      </c>
      <c r="L34" t="s">
        <v>52</v>
      </c>
      <c r="M34" t="s">
        <v>214</v>
      </c>
      <c r="N34" t="s">
        <v>54</v>
      </c>
      <c r="O34" t="s">
        <v>54</v>
      </c>
      <c r="P34" t="s">
        <v>51</v>
      </c>
      <c r="Q34" t="s">
        <v>215</v>
      </c>
      <c r="R34" s="1">
        <v>83617</v>
      </c>
      <c r="S34" s="1">
        <v>13857900</v>
      </c>
      <c r="T34" s="1">
        <v>28561677.5</v>
      </c>
      <c r="U34" s="1">
        <v>865276</v>
      </c>
      <c r="V34" t="s">
        <v>51</v>
      </c>
      <c r="W34">
        <v>379709.85</v>
      </c>
      <c r="X34">
        <v>0</v>
      </c>
      <c r="Y34">
        <v>0</v>
      </c>
      <c r="Z34">
        <v>3377901</v>
      </c>
      <c r="AA34">
        <v>-3362003</v>
      </c>
      <c r="AB34">
        <v>0</v>
      </c>
      <c r="AC34">
        <v>0</v>
      </c>
      <c r="AD34">
        <v>5400883</v>
      </c>
      <c r="AE34">
        <v>6890791.4100000001</v>
      </c>
      <c r="AF34">
        <v>2558600</v>
      </c>
      <c r="AG34" s="14">
        <v>2762929</v>
      </c>
      <c r="AH34">
        <v>0</v>
      </c>
      <c r="AI34">
        <v>0</v>
      </c>
      <c r="AJ34">
        <v>16079007</v>
      </c>
      <c r="AK34">
        <v>16079007</v>
      </c>
      <c r="AL34">
        <v>4824688.6399999997</v>
      </c>
      <c r="AM34">
        <v>4824688.6399999997</v>
      </c>
      <c r="AN34">
        <v>0</v>
      </c>
      <c r="AO34">
        <v>0</v>
      </c>
      <c r="AP34">
        <f t="shared" si="0"/>
        <v>-100.47287286775176</v>
      </c>
    </row>
    <row r="35" spans="1:42" x14ac:dyDescent="0.3">
      <c r="A35" t="s">
        <v>210</v>
      </c>
      <c r="B35" t="s">
        <v>216</v>
      </c>
      <c r="C35" t="s">
        <v>217</v>
      </c>
      <c r="D35" t="s">
        <v>218</v>
      </c>
      <c r="E35" t="s">
        <v>46</v>
      </c>
      <c r="F35" t="s">
        <v>65</v>
      </c>
      <c r="G35" t="s">
        <v>48</v>
      </c>
      <c r="H35" t="s">
        <v>49</v>
      </c>
      <c r="I35" t="s">
        <v>50</v>
      </c>
      <c r="J35" t="s">
        <v>51</v>
      </c>
      <c r="K35" t="s">
        <v>51</v>
      </c>
      <c r="L35" t="s">
        <v>52</v>
      </c>
      <c r="M35" t="s">
        <v>219</v>
      </c>
      <c r="N35" t="s">
        <v>54</v>
      </c>
      <c r="O35" t="s">
        <v>54</v>
      </c>
      <c r="P35" t="s">
        <v>51</v>
      </c>
      <c r="Q35" t="s">
        <v>220</v>
      </c>
      <c r="R35" s="1">
        <v>63124352</v>
      </c>
      <c r="S35" s="1">
        <v>43114341.420000002</v>
      </c>
      <c r="T35" s="1">
        <v>60917575.439999998</v>
      </c>
      <c r="U35" s="1">
        <v>0</v>
      </c>
      <c r="V35" t="s">
        <v>51</v>
      </c>
      <c r="W35">
        <v>463700.92</v>
      </c>
      <c r="X35">
        <v>0</v>
      </c>
      <c r="Y35">
        <v>4892.8</v>
      </c>
      <c r="Z35">
        <v>2270183.67</v>
      </c>
      <c r="AA35">
        <v>-37037212.280000001</v>
      </c>
      <c r="AB35">
        <v>0</v>
      </c>
      <c r="AC35">
        <v>0</v>
      </c>
      <c r="AD35">
        <v>51115066.740000002</v>
      </c>
      <c r="AE35">
        <v>62005725.579999998</v>
      </c>
      <c r="AF35">
        <v>0</v>
      </c>
      <c r="AG35" s="14">
        <v>0</v>
      </c>
      <c r="AH35">
        <v>0</v>
      </c>
      <c r="AI35">
        <v>0</v>
      </c>
      <c r="AJ35">
        <v>13542532</v>
      </c>
      <c r="AK35">
        <v>13542532</v>
      </c>
      <c r="AL35">
        <v>13542532.35</v>
      </c>
      <c r="AM35">
        <v>13542532.35</v>
      </c>
      <c r="AN35">
        <v>12549845.65</v>
      </c>
      <c r="AO35">
        <v>12513332.199999999</v>
      </c>
      <c r="AP35">
        <f t="shared" si="0"/>
        <v>-6.1294669070595607</v>
      </c>
    </row>
    <row r="36" spans="1:42" x14ac:dyDescent="0.3">
      <c r="A36" t="s">
        <v>210</v>
      </c>
      <c r="B36" t="s">
        <v>221</v>
      </c>
      <c r="C36" t="s">
        <v>222</v>
      </c>
      <c r="D36" t="s">
        <v>223</v>
      </c>
      <c r="E36" t="s">
        <v>46</v>
      </c>
      <c r="F36" t="s">
        <v>224</v>
      </c>
      <c r="G36" t="s">
        <v>60</v>
      </c>
      <c r="H36" t="s">
        <v>49</v>
      </c>
      <c r="I36" t="s">
        <v>50</v>
      </c>
      <c r="J36" t="s">
        <v>51</v>
      </c>
      <c r="K36" t="s">
        <v>51</v>
      </c>
      <c r="L36" t="s">
        <v>52</v>
      </c>
      <c r="M36" t="s">
        <v>225</v>
      </c>
      <c r="N36" t="s">
        <v>54</v>
      </c>
      <c r="O36" t="s">
        <v>54</v>
      </c>
      <c r="P36" t="s">
        <v>51</v>
      </c>
      <c r="Q36" t="s">
        <v>226</v>
      </c>
      <c r="R36" s="1">
        <v>57231013.100000001</v>
      </c>
      <c r="S36" s="1">
        <v>53051335.289999999</v>
      </c>
      <c r="T36" s="1">
        <v>95695329.400000006</v>
      </c>
      <c r="U36" s="1">
        <v>787226</v>
      </c>
      <c r="V36" t="s">
        <v>51</v>
      </c>
      <c r="W36">
        <v>463398.48</v>
      </c>
      <c r="X36">
        <v>0</v>
      </c>
      <c r="Y36">
        <v>16133.11</v>
      </c>
      <c r="Z36">
        <v>-10532825.51</v>
      </c>
      <c r="AA36">
        <v>-83137844.530000001</v>
      </c>
      <c r="AB36">
        <v>0</v>
      </c>
      <c r="AC36">
        <v>0</v>
      </c>
      <c r="AD36">
        <v>6087023.9100000001</v>
      </c>
      <c r="AE36">
        <v>8346554.7000000002</v>
      </c>
      <c r="AF36">
        <v>0</v>
      </c>
      <c r="AG36" s="14">
        <v>0</v>
      </c>
      <c r="AH36">
        <v>0</v>
      </c>
      <c r="AI36">
        <v>0</v>
      </c>
      <c r="AJ36">
        <v>99991387</v>
      </c>
      <c r="AK36">
        <v>99991387</v>
      </c>
      <c r="AL36">
        <v>100000000</v>
      </c>
      <c r="AM36">
        <v>100000000</v>
      </c>
      <c r="AN36">
        <v>0</v>
      </c>
      <c r="AO36">
        <v>0</v>
      </c>
      <c r="AP36">
        <f t="shared" si="0"/>
        <v>12.669110643347587</v>
      </c>
    </row>
    <row r="37" spans="1:42" x14ac:dyDescent="0.3">
      <c r="A37" t="s">
        <v>210</v>
      </c>
      <c r="B37" t="s">
        <v>227</v>
      </c>
      <c r="C37" t="s">
        <v>228</v>
      </c>
      <c r="D37" t="s">
        <v>229</v>
      </c>
      <c r="E37" t="s">
        <v>46</v>
      </c>
      <c r="F37" t="s">
        <v>107</v>
      </c>
      <c r="G37" t="s">
        <v>60</v>
      </c>
      <c r="H37" t="s">
        <v>49</v>
      </c>
      <c r="I37" t="s">
        <v>50</v>
      </c>
      <c r="J37" t="s">
        <v>51</v>
      </c>
      <c r="K37" t="s">
        <v>51</v>
      </c>
      <c r="L37" t="s">
        <v>52</v>
      </c>
      <c r="M37" t="s">
        <v>230</v>
      </c>
      <c r="N37" t="s">
        <v>54</v>
      </c>
      <c r="O37" t="s">
        <v>54</v>
      </c>
      <c r="P37" t="s">
        <v>54</v>
      </c>
      <c r="Q37" t="s">
        <v>231</v>
      </c>
      <c r="R37" s="1">
        <v>12267646.41</v>
      </c>
      <c r="S37" s="1">
        <v>40632220.409999996</v>
      </c>
      <c r="T37" s="1">
        <v>159755868.88</v>
      </c>
      <c r="U37" s="1">
        <v>86292044.930000007</v>
      </c>
      <c r="V37" t="s">
        <v>54</v>
      </c>
      <c r="W37">
        <v>445266.58</v>
      </c>
      <c r="X37">
        <v>17139.34</v>
      </c>
      <c r="Y37">
        <v>0</v>
      </c>
      <c r="Z37">
        <v>14284705.449999999</v>
      </c>
      <c r="AA37">
        <v>7166576.2199999997</v>
      </c>
      <c r="AB37">
        <v>0</v>
      </c>
      <c r="AC37">
        <v>0</v>
      </c>
      <c r="AD37">
        <v>122801246.42</v>
      </c>
      <c r="AE37">
        <v>147100523.08000001</v>
      </c>
      <c r="AF37">
        <v>0</v>
      </c>
      <c r="AG37" s="14">
        <v>59733783.950000003</v>
      </c>
      <c r="AH37">
        <v>0</v>
      </c>
      <c r="AI37">
        <v>0</v>
      </c>
      <c r="AJ37">
        <v>99.65</v>
      </c>
      <c r="AK37">
        <v>99.65</v>
      </c>
      <c r="AL37">
        <v>131206906</v>
      </c>
      <c r="AM37">
        <v>131206906</v>
      </c>
      <c r="AN37">
        <v>0</v>
      </c>
      <c r="AO37">
        <v>0</v>
      </c>
      <c r="AP37">
        <f t="shared" si="0"/>
        <v>199.32398695677307</v>
      </c>
    </row>
    <row r="38" spans="1:42" x14ac:dyDescent="0.3">
      <c r="A38" t="s">
        <v>210</v>
      </c>
      <c r="B38" t="s">
        <v>232</v>
      </c>
      <c r="C38" t="s">
        <v>233</v>
      </c>
      <c r="D38" t="s">
        <v>234</v>
      </c>
      <c r="E38" t="s">
        <v>46</v>
      </c>
      <c r="F38" t="s">
        <v>93</v>
      </c>
      <c r="G38" t="s">
        <v>48</v>
      </c>
      <c r="H38" t="s">
        <v>76</v>
      </c>
      <c r="I38" t="s">
        <v>50</v>
      </c>
      <c r="J38" t="s">
        <v>51</v>
      </c>
      <c r="K38" t="s">
        <v>51</v>
      </c>
      <c r="L38" t="s">
        <v>52</v>
      </c>
      <c r="M38" t="s">
        <v>235</v>
      </c>
      <c r="N38" t="s">
        <v>54</v>
      </c>
      <c r="O38" t="s">
        <v>54</v>
      </c>
      <c r="P38" t="s">
        <v>51</v>
      </c>
      <c r="Q38" t="s">
        <v>236</v>
      </c>
      <c r="R38" s="1">
        <v>376906293.16000003</v>
      </c>
      <c r="S38" s="1">
        <v>42386835.710000001</v>
      </c>
      <c r="T38" s="1">
        <v>396136057.79000002</v>
      </c>
      <c r="U38" s="1">
        <v>0</v>
      </c>
      <c r="V38" t="s">
        <v>51</v>
      </c>
      <c r="W38">
        <v>451672.48</v>
      </c>
      <c r="X38">
        <v>0</v>
      </c>
      <c r="Y38">
        <v>11888.24</v>
      </c>
      <c r="Z38">
        <v>-14979510.74</v>
      </c>
      <c r="AA38">
        <v>175100694.96000001</v>
      </c>
      <c r="AB38">
        <v>0</v>
      </c>
      <c r="AC38">
        <v>0</v>
      </c>
      <c r="AD38">
        <v>1316954725.4100001</v>
      </c>
      <c r="AE38">
        <v>1126313629.8399999</v>
      </c>
      <c r="AF38">
        <v>0</v>
      </c>
      <c r="AG38" s="14">
        <v>0</v>
      </c>
      <c r="AH38">
        <v>0</v>
      </c>
      <c r="AI38">
        <v>0</v>
      </c>
      <c r="AJ38">
        <v>16803753.66</v>
      </c>
      <c r="AK38">
        <v>16803753.66</v>
      </c>
      <c r="AL38">
        <v>16803753</v>
      </c>
      <c r="AM38">
        <v>16803753.66</v>
      </c>
      <c r="AN38">
        <v>0</v>
      </c>
      <c r="AO38">
        <v>0</v>
      </c>
      <c r="AP38">
        <f t="shared" si="0"/>
        <v>-8.5547979940467496</v>
      </c>
    </row>
    <row r="39" spans="1:42" x14ac:dyDescent="0.3">
      <c r="A39" t="s">
        <v>210</v>
      </c>
      <c r="B39" t="s">
        <v>237</v>
      </c>
      <c r="C39" t="s">
        <v>238</v>
      </c>
      <c r="D39" t="s">
        <v>239</v>
      </c>
      <c r="E39" t="s">
        <v>46</v>
      </c>
      <c r="F39" t="s">
        <v>240</v>
      </c>
      <c r="G39" t="s">
        <v>48</v>
      </c>
      <c r="H39" t="s">
        <v>49</v>
      </c>
      <c r="I39" t="s">
        <v>50</v>
      </c>
      <c r="J39" t="s">
        <v>51</v>
      </c>
      <c r="K39" t="s">
        <v>51</v>
      </c>
      <c r="L39" t="s">
        <v>52</v>
      </c>
      <c r="M39" t="s">
        <v>241</v>
      </c>
      <c r="N39" t="s">
        <v>54</v>
      </c>
      <c r="O39" t="s">
        <v>54</v>
      </c>
      <c r="P39" t="s">
        <v>51</v>
      </c>
      <c r="Q39" t="s">
        <v>55</v>
      </c>
      <c r="R39" s="1">
        <v>5213304.97</v>
      </c>
      <c r="S39" s="1">
        <v>23508720.550000001</v>
      </c>
      <c r="T39" s="1">
        <v>260937720.55000001</v>
      </c>
      <c r="U39" s="1">
        <v>237429000</v>
      </c>
      <c r="V39" t="s">
        <v>51</v>
      </c>
      <c r="W39">
        <v>433360.48</v>
      </c>
      <c r="X39">
        <v>0</v>
      </c>
      <c r="Y39">
        <v>0</v>
      </c>
      <c r="Z39">
        <v>-11730794.859999999</v>
      </c>
      <c r="AA39">
        <v>40896905.369999997</v>
      </c>
      <c r="AB39">
        <v>0</v>
      </c>
      <c r="AC39">
        <v>0</v>
      </c>
      <c r="AD39">
        <v>59945660.219999999</v>
      </c>
      <c r="AE39">
        <v>277357652.89999998</v>
      </c>
      <c r="AF39">
        <v>0</v>
      </c>
      <c r="AG39" s="14">
        <v>0</v>
      </c>
      <c r="AH39">
        <v>0</v>
      </c>
      <c r="AI39">
        <v>0</v>
      </c>
      <c r="AJ39">
        <v>159700077</v>
      </c>
      <c r="AK39">
        <v>159700077</v>
      </c>
      <c r="AL39">
        <v>139654487.18000001</v>
      </c>
      <c r="AM39">
        <v>139654487.18000001</v>
      </c>
      <c r="AN39">
        <v>22737270.41</v>
      </c>
      <c r="AO39">
        <v>22737270.41</v>
      </c>
      <c r="AP39">
        <f t="shared" si="0"/>
        <v>-28.683820337675591</v>
      </c>
    </row>
    <row r="40" spans="1:42" x14ac:dyDescent="0.3">
      <c r="A40" t="s">
        <v>210</v>
      </c>
      <c r="B40" t="s">
        <v>242</v>
      </c>
      <c r="C40" t="s">
        <v>243</v>
      </c>
      <c r="D40" t="s">
        <v>244</v>
      </c>
      <c r="E40" t="s">
        <v>46</v>
      </c>
      <c r="F40" t="s">
        <v>139</v>
      </c>
      <c r="G40" t="s">
        <v>60</v>
      </c>
      <c r="H40" t="s">
        <v>49</v>
      </c>
      <c r="I40" t="s">
        <v>50</v>
      </c>
      <c r="J40" t="s">
        <v>51</v>
      </c>
      <c r="K40" t="s">
        <v>51</v>
      </c>
      <c r="L40" t="s">
        <v>134</v>
      </c>
      <c r="M40" t="s">
        <v>245</v>
      </c>
      <c r="N40" t="s">
        <v>54</v>
      </c>
      <c r="O40" t="s">
        <v>54</v>
      </c>
      <c r="P40" t="s">
        <v>54</v>
      </c>
      <c r="Q40" t="s">
        <v>246</v>
      </c>
      <c r="R40" s="1">
        <v>3128385341.6500001</v>
      </c>
      <c r="S40" s="1">
        <v>103012287.98</v>
      </c>
      <c r="T40" s="1">
        <v>552970028.78999996</v>
      </c>
      <c r="U40" s="1">
        <v>236254413.09999999</v>
      </c>
      <c r="V40" t="s">
        <v>54</v>
      </c>
      <c r="W40">
        <v>560751.35999999999</v>
      </c>
      <c r="X40">
        <v>103582.81</v>
      </c>
      <c r="Y40">
        <v>0</v>
      </c>
      <c r="Z40">
        <v>197681366.03999999</v>
      </c>
      <c r="AA40">
        <v>1137863930.4300001</v>
      </c>
      <c r="AB40">
        <v>0</v>
      </c>
      <c r="AC40">
        <v>66931377.329999998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13490874</v>
      </c>
      <c r="AK40">
        <v>15162188</v>
      </c>
      <c r="AL40">
        <v>316726740.44999999</v>
      </c>
      <c r="AM40">
        <v>355964332.77999997</v>
      </c>
      <c r="AN40">
        <v>0</v>
      </c>
      <c r="AO40">
        <v>0</v>
      </c>
      <c r="AP40">
        <f t="shared" si="0"/>
        <v>17.373023324967861</v>
      </c>
    </row>
    <row r="41" spans="1:42" x14ac:dyDescent="0.3">
      <c r="A41" t="s">
        <v>210</v>
      </c>
      <c r="B41" t="s">
        <v>247</v>
      </c>
      <c r="C41" t="s">
        <v>248</v>
      </c>
      <c r="D41" t="s">
        <v>249</v>
      </c>
      <c r="E41" t="s">
        <v>46</v>
      </c>
      <c r="F41" t="s">
        <v>133</v>
      </c>
      <c r="G41" t="s">
        <v>60</v>
      </c>
      <c r="H41" t="s">
        <v>49</v>
      </c>
      <c r="I41" t="s">
        <v>50</v>
      </c>
      <c r="J41" t="s">
        <v>51</v>
      </c>
      <c r="K41" t="s">
        <v>51</v>
      </c>
      <c r="L41" t="s">
        <v>134</v>
      </c>
      <c r="M41" t="s">
        <v>250</v>
      </c>
      <c r="N41" t="s">
        <v>54</v>
      </c>
      <c r="O41" t="s">
        <v>54</v>
      </c>
      <c r="P41" t="s">
        <v>51</v>
      </c>
      <c r="Q41" t="s">
        <v>251</v>
      </c>
      <c r="R41" s="1">
        <v>6063811.6399999997</v>
      </c>
      <c r="S41" s="1">
        <v>7903369.4699999997</v>
      </c>
      <c r="T41" s="1">
        <v>10655650.75</v>
      </c>
      <c r="U41" s="1">
        <v>204804.5</v>
      </c>
      <c r="V41" t="s">
        <v>51</v>
      </c>
      <c r="W41">
        <v>506760.26</v>
      </c>
      <c r="X41">
        <v>0</v>
      </c>
      <c r="Y41">
        <v>14325.42</v>
      </c>
      <c r="Z41">
        <v>-7564609.4500000002</v>
      </c>
      <c r="AA41">
        <v>64281864.259999998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8545000</v>
      </c>
      <c r="AI41">
        <v>5000000</v>
      </c>
      <c r="AJ41">
        <v>80735673.400000006</v>
      </c>
      <c r="AK41">
        <v>92280673.400000006</v>
      </c>
      <c r="AL41">
        <v>80735673</v>
      </c>
      <c r="AM41">
        <v>92280673.400000006</v>
      </c>
      <c r="AN41">
        <v>0</v>
      </c>
      <c r="AO41">
        <v>2000000</v>
      </c>
      <c r="AP41">
        <f t="shared" si="0"/>
        <v>-11.767875025222549</v>
      </c>
    </row>
    <row r="42" spans="1:42" x14ac:dyDescent="0.3">
      <c r="A42" t="s">
        <v>210</v>
      </c>
      <c r="B42" t="s">
        <v>252</v>
      </c>
      <c r="C42" t="s">
        <v>253</v>
      </c>
      <c r="D42" t="s">
        <v>254</v>
      </c>
      <c r="E42" t="s">
        <v>46</v>
      </c>
      <c r="F42" t="s">
        <v>71</v>
      </c>
      <c r="G42" t="s">
        <v>60</v>
      </c>
      <c r="H42" t="s">
        <v>49</v>
      </c>
      <c r="I42" t="s">
        <v>50</v>
      </c>
      <c r="J42" t="s">
        <v>51</v>
      </c>
      <c r="K42" t="s">
        <v>51</v>
      </c>
      <c r="L42" t="s">
        <v>134</v>
      </c>
      <c r="M42" t="s">
        <v>255</v>
      </c>
      <c r="N42" t="s">
        <v>54</v>
      </c>
      <c r="O42" t="s">
        <v>54</v>
      </c>
      <c r="P42" t="s">
        <v>54</v>
      </c>
      <c r="Q42" t="s">
        <v>256</v>
      </c>
      <c r="R42" s="1">
        <v>284655935.30000001</v>
      </c>
      <c r="S42" s="1">
        <v>67101416.450000003</v>
      </c>
      <c r="T42" s="1">
        <v>189419203.11000001</v>
      </c>
      <c r="U42" s="1">
        <v>0</v>
      </c>
      <c r="V42" t="s">
        <v>54</v>
      </c>
      <c r="W42">
        <v>479397.25</v>
      </c>
      <c r="X42">
        <v>81554.61</v>
      </c>
      <c r="Y42">
        <v>24077.13</v>
      </c>
      <c r="Z42">
        <v>96535176.269999996</v>
      </c>
      <c r="AA42">
        <v>827539253.77999997</v>
      </c>
      <c r="AB42">
        <v>0</v>
      </c>
      <c r="AC42">
        <v>33994927.219999999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142301765100</v>
      </c>
      <c r="AK42">
        <v>142301765100</v>
      </c>
      <c r="AL42">
        <v>623897248.22000003</v>
      </c>
      <c r="AM42">
        <v>623897248.22000003</v>
      </c>
      <c r="AN42">
        <v>0</v>
      </c>
      <c r="AO42">
        <v>0</v>
      </c>
      <c r="AP42">
        <f t="shared" si="0"/>
        <v>11.665328965248545</v>
      </c>
    </row>
    <row r="43" spans="1:42" x14ac:dyDescent="0.3">
      <c r="A43" t="s">
        <v>210</v>
      </c>
      <c r="B43" t="s">
        <v>257</v>
      </c>
      <c r="C43" t="s">
        <v>258</v>
      </c>
      <c r="D43" t="s">
        <v>259</v>
      </c>
      <c r="E43" t="s">
        <v>46</v>
      </c>
      <c r="F43" t="s">
        <v>47</v>
      </c>
      <c r="G43" t="s">
        <v>48</v>
      </c>
      <c r="H43" t="s">
        <v>76</v>
      </c>
      <c r="I43" t="s">
        <v>50</v>
      </c>
      <c r="J43" t="s">
        <v>51</v>
      </c>
      <c r="K43" t="s">
        <v>51</v>
      </c>
      <c r="L43" t="s">
        <v>134</v>
      </c>
      <c r="M43" t="s">
        <v>260</v>
      </c>
      <c r="N43" t="s">
        <v>54</v>
      </c>
      <c r="O43" t="s">
        <v>54</v>
      </c>
      <c r="P43" t="s">
        <v>54</v>
      </c>
      <c r="Q43" t="s">
        <v>55</v>
      </c>
      <c r="R43" s="1">
        <v>130963997</v>
      </c>
      <c r="S43" s="1">
        <v>17342286</v>
      </c>
      <c r="T43" s="1">
        <v>141706642</v>
      </c>
      <c r="U43" s="1">
        <v>0</v>
      </c>
      <c r="V43" t="s">
        <v>51</v>
      </c>
      <c r="W43">
        <v>393665</v>
      </c>
      <c r="X43">
        <v>0</v>
      </c>
      <c r="Y43">
        <v>0</v>
      </c>
      <c r="Z43">
        <v>5291485</v>
      </c>
      <c r="AA43">
        <v>67555971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44726598</v>
      </c>
      <c r="AM43">
        <v>44726598</v>
      </c>
      <c r="AN43">
        <v>0</v>
      </c>
      <c r="AO43">
        <v>0</v>
      </c>
      <c r="AP43">
        <f t="shared" si="0"/>
        <v>7.8327421272651092</v>
      </c>
    </row>
    <row r="44" spans="1:42" x14ac:dyDescent="0.3">
      <c r="A44" t="s">
        <v>210</v>
      </c>
      <c r="B44" t="s">
        <v>261</v>
      </c>
      <c r="C44" t="s">
        <v>262</v>
      </c>
      <c r="D44" t="s">
        <v>263</v>
      </c>
      <c r="E44" t="s">
        <v>46</v>
      </c>
      <c r="F44" t="s">
        <v>107</v>
      </c>
      <c r="G44" t="s">
        <v>60</v>
      </c>
      <c r="H44" t="s">
        <v>49</v>
      </c>
      <c r="I44" t="s">
        <v>50</v>
      </c>
      <c r="J44" t="s">
        <v>51</v>
      </c>
      <c r="K44" t="s">
        <v>51</v>
      </c>
      <c r="L44" t="s">
        <v>134</v>
      </c>
      <c r="M44" t="s">
        <v>264</v>
      </c>
      <c r="N44" t="s">
        <v>54</v>
      </c>
      <c r="O44" t="s">
        <v>54</v>
      </c>
      <c r="P44" t="s">
        <v>54</v>
      </c>
      <c r="Q44" t="s">
        <v>265</v>
      </c>
      <c r="R44" s="1">
        <v>5731957321.4700003</v>
      </c>
      <c r="S44" s="1">
        <v>1012331245.99</v>
      </c>
      <c r="T44" s="1">
        <v>5876901598.9700003</v>
      </c>
      <c r="U44" s="1">
        <v>1167333164.6900001</v>
      </c>
      <c r="V44" t="s">
        <v>54</v>
      </c>
      <c r="W44">
        <v>894298.57</v>
      </c>
      <c r="X44">
        <v>70401.289999999994</v>
      </c>
      <c r="Y44">
        <v>18004.38</v>
      </c>
      <c r="Z44">
        <v>1007478338.8099999</v>
      </c>
      <c r="AA44">
        <v>8270897875.4499998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698044720</v>
      </c>
      <c r="AK44">
        <v>713145896</v>
      </c>
      <c r="AL44">
        <v>4942156617.6000004</v>
      </c>
      <c r="AM44">
        <v>5049072943.6800003</v>
      </c>
      <c r="AN44">
        <v>106916330.43000001</v>
      </c>
      <c r="AO44">
        <v>57503611.32</v>
      </c>
      <c r="AP44">
        <f t="shared" si="0"/>
        <v>12.18100324754869</v>
      </c>
    </row>
    <row r="45" spans="1:42" x14ac:dyDescent="0.3">
      <c r="A45" t="s">
        <v>210</v>
      </c>
      <c r="B45" t="s">
        <v>266</v>
      </c>
      <c r="C45" t="s">
        <v>267</v>
      </c>
      <c r="D45" t="s">
        <v>268</v>
      </c>
      <c r="E45" t="s">
        <v>46</v>
      </c>
      <c r="F45" t="s">
        <v>47</v>
      </c>
      <c r="G45" t="s">
        <v>60</v>
      </c>
      <c r="H45" t="s">
        <v>49</v>
      </c>
      <c r="I45" t="s">
        <v>50</v>
      </c>
      <c r="J45" t="s">
        <v>51</v>
      </c>
      <c r="K45" t="s">
        <v>51</v>
      </c>
      <c r="L45" t="s">
        <v>134</v>
      </c>
      <c r="M45" t="s">
        <v>269</v>
      </c>
      <c r="N45" t="s">
        <v>54</v>
      </c>
      <c r="O45" t="s">
        <v>54</v>
      </c>
      <c r="P45" t="s">
        <v>54</v>
      </c>
      <c r="Q45" t="s">
        <v>270</v>
      </c>
      <c r="R45" s="1">
        <v>185116460</v>
      </c>
      <c r="S45" s="1">
        <v>107881314.31999999</v>
      </c>
      <c r="T45" s="1">
        <v>154405800</v>
      </c>
      <c r="U45" s="1">
        <v>10868764</v>
      </c>
      <c r="V45" t="s">
        <v>51</v>
      </c>
      <c r="W45">
        <v>556998.24</v>
      </c>
      <c r="X45">
        <v>0</v>
      </c>
      <c r="Y45">
        <v>0</v>
      </c>
      <c r="Z45">
        <v>18634675</v>
      </c>
      <c r="AA45">
        <v>119512584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21180689150.799999</v>
      </c>
      <c r="AK45">
        <v>21180689150.799999</v>
      </c>
      <c r="AL45">
        <v>111887147</v>
      </c>
      <c r="AM45">
        <v>118292477</v>
      </c>
      <c r="AN45">
        <v>8829991</v>
      </c>
      <c r="AO45">
        <v>2424661</v>
      </c>
      <c r="AP45">
        <f t="shared" si="0"/>
        <v>15.592228346430867</v>
      </c>
    </row>
    <row r="46" spans="1:42" x14ac:dyDescent="0.3">
      <c r="A46" t="s">
        <v>210</v>
      </c>
      <c r="B46" t="s">
        <v>271</v>
      </c>
      <c r="C46" t="s">
        <v>272</v>
      </c>
      <c r="D46" t="s">
        <v>273</v>
      </c>
      <c r="E46" t="s">
        <v>70</v>
      </c>
      <c r="F46" t="s">
        <v>93</v>
      </c>
      <c r="G46" t="s">
        <v>60</v>
      </c>
      <c r="H46" t="s">
        <v>49</v>
      </c>
      <c r="I46" t="s">
        <v>50</v>
      </c>
      <c r="J46" t="s">
        <v>51</v>
      </c>
      <c r="K46" t="s">
        <v>51</v>
      </c>
      <c r="L46" t="s">
        <v>134</v>
      </c>
      <c r="M46" t="s">
        <v>274</v>
      </c>
      <c r="N46" t="s">
        <v>54</v>
      </c>
      <c r="O46" t="s">
        <v>54</v>
      </c>
      <c r="P46" t="s">
        <v>51</v>
      </c>
      <c r="Q46" t="s">
        <v>55</v>
      </c>
      <c r="R46" s="1">
        <v>804650.42</v>
      </c>
      <c r="S46" s="1">
        <v>9675773.0199999996</v>
      </c>
      <c r="T46" s="1">
        <v>84070078.870000005</v>
      </c>
      <c r="U46" s="1">
        <v>0</v>
      </c>
      <c r="V46" t="s">
        <v>51</v>
      </c>
      <c r="W46">
        <v>348209.88</v>
      </c>
      <c r="X46">
        <v>0</v>
      </c>
      <c r="Y46">
        <v>0</v>
      </c>
      <c r="Z46">
        <v>-72337244.980000004</v>
      </c>
      <c r="AA46">
        <v>-110468503.03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1764492195</v>
      </c>
      <c r="AK46">
        <v>1765390210</v>
      </c>
      <c r="AL46">
        <v>353078042</v>
      </c>
      <c r="AM46">
        <v>353078042</v>
      </c>
      <c r="AN46">
        <v>0</v>
      </c>
      <c r="AO46">
        <v>0</v>
      </c>
      <c r="AP46">
        <f t="shared" si="0"/>
        <v>65.482235203599458</v>
      </c>
    </row>
    <row r="47" spans="1:42" x14ac:dyDescent="0.3">
      <c r="A47" t="s">
        <v>275</v>
      </c>
      <c r="B47" t="s">
        <v>276</v>
      </c>
      <c r="C47" t="s">
        <v>91</v>
      </c>
      <c r="D47" t="s">
        <v>277</v>
      </c>
      <c r="E47" t="s">
        <v>70</v>
      </c>
      <c r="F47" t="s">
        <v>93</v>
      </c>
      <c r="G47" t="s">
        <v>60</v>
      </c>
      <c r="H47" t="s">
        <v>49</v>
      </c>
      <c r="I47" t="s">
        <v>50</v>
      </c>
      <c r="J47" t="s">
        <v>51</v>
      </c>
      <c r="K47" t="s">
        <v>51</v>
      </c>
      <c r="L47" t="s">
        <v>52</v>
      </c>
      <c r="M47" t="s">
        <v>278</v>
      </c>
      <c r="N47" t="s">
        <v>51</v>
      </c>
      <c r="O47" t="s">
        <v>54</v>
      </c>
      <c r="P47" t="s">
        <v>51</v>
      </c>
      <c r="Q47" t="s">
        <v>55</v>
      </c>
      <c r="R47" s="1">
        <v>889561.62</v>
      </c>
      <c r="S47" s="1">
        <v>2958289.75</v>
      </c>
      <c r="T47" s="1">
        <v>14936810.07</v>
      </c>
      <c r="U47" s="1">
        <v>66780</v>
      </c>
      <c r="V47" t="s">
        <v>51</v>
      </c>
      <c r="W47">
        <v>121610.4</v>
      </c>
      <c r="X47">
        <v>0</v>
      </c>
      <c r="Y47">
        <v>0</v>
      </c>
      <c r="Z47">
        <v>-10281440.119999999</v>
      </c>
      <c r="AA47">
        <v>-315559232.82999998</v>
      </c>
      <c r="AC47">
        <v>0</v>
      </c>
      <c r="AD47">
        <v>9400117.8300000001</v>
      </c>
      <c r="AE47">
        <v>3685417.15</v>
      </c>
      <c r="AF47">
        <v>724948576.66999996</v>
      </c>
      <c r="AG47" s="14">
        <v>731821385.75999999</v>
      </c>
      <c r="AH47">
        <v>0</v>
      </c>
      <c r="AI47">
        <v>0</v>
      </c>
      <c r="AJ47">
        <v>29404405</v>
      </c>
      <c r="AK47">
        <v>29404405</v>
      </c>
      <c r="AL47">
        <v>29404405</v>
      </c>
      <c r="AM47">
        <v>29404405</v>
      </c>
      <c r="AN47">
        <v>0</v>
      </c>
      <c r="AO47">
        <v>0</v>
      </c>
      <c r="AP47">
        <f t="shared" si="0"/>
        <v>3.2581648864442765</v>
      </c>
    </row>
    <row r="48" spans="1:42" x14ac:dyDescent="0.3">
      <c r="A48" t="s">
        <v>275</v>
      </c>
      <c r="B48" t="s">
        <v>279</v>
      </c>
      <c r="C48" t="s">
        <v>280</v>
      </c>
      <c r="D48" t="s">
        <v>281</v>
      </c>
      <c r="E48" t="s">
        <v>46</v>
      </c>
      <c r="F48" t="s">
        <v>102</v>
      </c>
      <c r="G48" t="s">
        <v>48</v>
      </c>
      <c r="H48" t="s">
        <v>76</v>
      </c>
      <c r="I48" t="s">
        <v>50</v>
      </c>
      <c r="J48" t="s">
        <v>51</v>
      </c>
      <c r="K48" t="s">
        <v>51</v>
      </c>
      <c r="L48" t="s">
        <v>52</v>
      </c>
      <c r="M48" t="s">
        <v>282</v>
      </c>
      <c r="N48" t="s">
        <v>54</v>
      </c>
      <c r="O48" t="s">
        <v>54</v>
      </c>
      <c r="P48" t="s">
        <v>51</v>
      </c>
      <c r="Q48" t="s">
        <v>55</v>
      </c>
      <c r="R48" s="1">
        <v>135630426.81999999</v>
      </c>
      <c r="S48" s="1">
        <v>121307888.15000001</v>
      </c>
      <c r="T48" s="1">
        <v>136081576.31999999</v>
      </c>
      <c r="U48" s="1">
        <v>0</v>
      </c>
      <c r="V48" t="s">
        <v>51</v>
      </c>
      <c r="W48">
        <v>503399.06</v>
      </c>
      <c r="X48">
        <v>0</v>
      </c>
      <c r="Y48">
        <v>0</v>
      </c>
      <c r="Z48">
        <v>-476324.62</v>
      </c>
      <c r="AA48">
        <v>-93996136.260000005</v>
      </c>
      <c r="AC48">
        <v>0</v>
      </c>
      <c r="AD48">
        <v>125847483.44</v>
      </c>
      <c r="AE48">
        <v>135698855.31999999</v>
      </c>
      <c r="AF48">
        <v>0</v>
      </c>
      <c r="AG48" s="14">
        <v>0</v>
      </c>
      <c r="AH48">
        <v>0</v>
      </c>
      <c r="AI48">
        <v>0</v>
      </c>
      <c r="AJ48">
        <v>0</v>
      </c>
      <c r="AK48">
        <v>0</v>
      </c>
      <c r="AL48">
        <v>2511583.84</v>
      </c>
      <c r="AM48">
        <v>2511583.84</v>
      </c>
      <c r="AN48">
        <v>0</v>
      </c>
      <c r="AO48">
        <v>0</v>
      </c>
      <c r="AP48">
        <f t="shared" si="0"/>
        <v>0.50674914837185669</v>
      </c>
    </row>
    <row r="49" spans="1:42" x14ac:dyDescent="0.3">
      <c r="A49" t="s">
        <v>275</v>
      </c>
      <c r="B49" t="s">
        <v>283</v>
      </c>
      <c r="C49" t="s">
        <v>284</v>
      </c>
      <c r="D49" t="s">
        <v>285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51</v>
      </c>
      <c r="K49" t="s">
        <v>51</v>
      </c>
      <c r="L49" t="s">
        <v>52</v>
      </c>
      <c r="M49" t="s">
        <v>286</v>
      </c>
      <c r="N49" t="s">
        <v>54</v>
      </c>
      <c r="O49" t="s">
        <v>54</v>
      </c>
      <c r="P49" t="s">
        <v>51</v>
      </c>
      <c r="Q49" t="s">
        <v>287</v>
      </c>
      <c r="R49" s="1">
        <v>336115591</v>
      </c>
      <c r="S49" s="1">
        <v>58947805</v>
      </c>
      <c r="T49" s="1">
        <v>315592968</v>
      </c>
      <c r="U49" s="1">
        <v>141910</v>
      </c>
      <c r="V49" t="s">
        <v>51</v>
      </c>
      <c r="W49">
        <v>534130</v>
      </c>
      <c r="X49">
        <v>0</v>
      </c>
      <c r="Y49">
        <v>0</v>
      </c>
      <c r="Z49">
        <v>23493609</v>
      </c>
      <c r="AA49">
        <v>40007116</v>
      </c>
      <c r="AC49">
        <v>0</v>
      </c>
      <c r="AD49">
        <v>50337610</v>
      </c>
      <c r="AE49">
        <v>52846766</v>
      </c>
      <c r="AF49">
        <v>0</v>
      </c>
      <c r="AG49" s="14">
        <v>0</v>
      </c>
      <c r="AH49">
        <v>0</v>
      </c>
      <c r="AI49">
        <v>0</v>
      </c>
      <c r="AJ49">
        <v>100</v>
      </c>
      <c r="AK49">
        <v>100</v>
      </c>
      <c r="AL49">
        <v>50000</v>
      </c>
      <c r="AM49">
        <v>13748706</v>
      </c>
      <c r="AN49">
        <v>0</v>
      </c>
      <c r="AO49">
        <v>0</v>
      </c>
      <c r="AP49">
        <f t="shared" si="0"/>
        <v>58.723575575905045</v>
      </c>
    </row>
    <row r="50" spans="1:42" x14ac:dyDescent="0.3">
      <c r="A50" t="s">
        <v>275</v>
      </c>
      <c r="B50" t="s">
        <v>288</v>
      </c>
      <c r="C50" t="s">
        <v>289</v>
      </c>
      <c r="D50" t="s">
        <v>290</v>
      </c>
      <c r="E50" t="s">
        <v>46</v>
      </c>
      <c r="F50" t="s">
        <v>65</v>
      </c>
      <c r="G50" t="s">
        <v>60</v>
      </c>
      <c r="H50" t="s">
        <v>49</v>
      </c>
      <c r="I50" t="s">
        <v>50</v>
      </c>
      <c r="J50" t="s">
        <v>51</v>
      </c>
      <c r="K50" t="s">
        <v>51</v>
      </c>
      <c r="L50" t="s">
        <v>134</v>
      </c>
      <c r="M50" t="s">
        <v>291</v>
      </c>
      <c r="N50" t="s">
        <v>54</v>
      </c>
      <c r="O50" t="s">
        <v>54</v>
      </c>
      <c r="P50" t="s">
        <v>51</v>
      </c>
      <c r="Q50" t="s">
        <v>55</v>
      </c>
      <c r="R50" s="1">
        <v>58806792.469999999</v>
      </c>
      <c r="S50" s="1">
        <v>22091401.059999999</v>
      </c>
      <c r="T50" s="1">
        <v>68162153.469999999</v>
      </c>
      <c r="U50" s="1">
        <v>26175954</v>
      </c>
      <c r="V50" t="s">
        <v>51</v>
      </c>
      <c r="W50">
        <v>282690.40000000002</v>
      </c>
      <c r="X50">
        <v>0</v>
      </c>
      <c r="Y50">
        <v>0</v>
      </c>
      <c r="Z50">
        <v>16820593</v>
      </c>
      <c r="AA50">
        <v>227573064.31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18922127</v>
      </c>
      <c r="AJ50">
        <v>124633269</v>
      </c>
      <c r="AK50">
        <v>135966352</v>
      </c>
      <c r="AL50">
        <v>151568606</v>
      </c>
      <c r="AM50">
        <v>170490733.16999999</v>
      </c>
      <c r="AN50">
        <v>0</v>
      </c>
      <c r="AO50">
        <v>0</v>
      </c>
      <c r="AP50">
        <f t="shared" si="0"/>
        <v>7.391293451621757</v>
      </c>
    </row>
    <row r="51" spans="1:42" x14ac:dyDescent="0.3">
      <c r="A51" t="s">
        <v>275</v>
      </c>
      <c r="B51" t="s">
        <v>292</v>
      </c>
      <c r="C51" t="s">
        <v>293</v>
      </c>
      <c r="D51" t="s">
        <v>294</v>
      </c>
      <c r="E51" t="s">
        <v>46</v>
      </c>
      <c r="F51" t="s">
        <v>107</v>
      </c>
      <c r="G51" t="s">
        <v>60</v>
      </c>
      <c r="H51" t="s">
        <v>49</v>
      </c>
      <c r="I51" t="s">
        <v>50</v>
      </c>
      <c r="J51" t="s">
        <v>51</v>
      </c>
      <c r="K51" t="s">
        <v>51</v>
      </c>
      <c r="L51" t="s">
        <v>134</v>
      </c>
      <c r="M51" t="s">
        <v>295</v>
      </c>
      <c r="N51" t="s">
        <v>54</v>
      </c>
      <c r="O51" t="s">
        <v>54</v>
      </c>
      <c r="P51" t="s">
        <v>54</v>
      </c>
      <c r="Q51" t="s">
        <v>296</v>
      </c>
      <c r="R51" s="1">
        <v>3137018287.46</v>
      </c>
      <c r="S51" s="1">
        <v>750561236.65999997</v>
      </c>
      <c r="T51" s="1">
        <v>4102888488.98</v>
      </c>
      <c r="U51" s="1">
        <v>1319920214.5</v>
      </c>
      <c r="V51" t="s">
        <v>54</v>
      </c>
      <c r="W51">
        <v>796275.06</v>
      </c>
      <c r="X51">
        <v>51422.73</v>
      </c>
      <c r="Y51">
        <v>64733.55</v>
      </c>
      <c r="Z51">
        <v>354050012.94</v>
      </c>
      <c r="AA51">
        <v>3317676522.0100002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38334495.700000003</v>
      </c>
      <c r="AI51">
        <v>82919564.620000005</v>
      </c>
      <c r="AJ51">
        <v>164603035</v>
      </c>
      <c r="AK51">
        <v>169275465</v>
      </c>
      <c r="AL51">
        <v>2169101698.3000002</v>
      </c>
      <c r="AM51">
        <v>2336259188.1100001</v>
      </c>
      <c r="AN51">
        <v>0</v>
      </c>
      <c r="AO51">
        <v>0</v>
      </c>
      <c r="AP51">
        <f t="shared" si="0"/>
        <v>10.671625476178139</v>
      </c>
    </row>
    <row r="52" spans="1:42" x14ac:dyDescent="0.3">
      <c r="A52" t="s">
        <v>275</v>
      </c>
      <c r="B52" t="s">
        <v>297</v>
      </c>
      <c r="C52" t="s">
        <v>298</v>
      </c>
      <c r="D52" t="s">
        <v>299</v>
      </c>
      <c r="E52" t="s">
        <v>46</v>
      </c>
      <c r="F52" t="s">
        <v>133</v>
      </c>
      <c r="G52" t="s">
        <v>60</v>
      </c>
      <c r="H52" t="s">
        <v>49</v>
      </c>
      <c r="I52" t="s">
        <v>50</v>
      </c>
      <c r="J52" t="s">
        <v>51</v>
      </c>
      <c r="K52" t="s">
        <v>51</v>
      </c>
      <c r="L52" t="s">
        <v>134</v>
      </c>
      <c r="M52" t="s">
        <v>300</v>
      </c>
      <c r="N52" t="s">
        <v>54</v>
      </c>
      <c r="O52" t="s">
        <v>54</v>
      </c>
      <c r="P52" t="s">
        <v>51</v>
      </c>
      <c r="Q52" t="s">
        <v>301</v>
      </c>
      <c r="R52" s="1">
        <v>6085723.7599999998</v>
      </c>
      <c r="S52" s="1">
        <v>4250289.68</v>
      </c>
      <c r="T52" s="1">
        <v>5176423.6399999997</v>
      </c>
      <c r="U52" s="1">
        <v>88157.72</v>
      </c>
      <c r="V52" t="s">
        <v>51</v>
      </c>
      <c r="W52">
        <v>193581.5</v>
      </c>
      <c r="X52">
        <v>0</v>
      </c>
      <c r="Y52">
        <v>0</v>
      </c>
      <c r="Z52">
        <v>-245882.77</v>
      </c>
      <c r="AA52">
        <v>1042708.63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4999999</v>
      </c>
      <c r="AK52">
        <v>4999999</v>
      </c>
      <c r="AL52">
        <v>5000000</v>
      </c>
      <c r="AM52">
        <v>5000000</v>
      </c>
      <c r="AN52">
        <v>0</v>
      </c>
      <c r="AO52">
        <v>0</v>
      </c>
      <c r="AP52">
        <f t="shared" si="0"/>
        <v>-23.581158046040148</v>
      </c>
    </row>
    <row r="53" spans="1:42" x14ac:dyDescent="0.3">
      <c r="A53" t="s">
        <v>275</v>
      </c>
      <c r="B53" t="s">
        <v>302</v>
      </c>
      <c r="C53" t="s">
        <v>303</v>
      </c>
      <c r="D53" t="s">
        <v>304</v>
      </c>
      <c r="E53" t="s">
        <v>46</v>
      </c>
      <c r="F53" t="s">
        <v>75</v>
      </c>
      <c r="G53" t="s">
        <v>60</v>
      </c>
      <c r="H53" t="s">
        <v>49</v>
      </c>
      <c r="I53" t="s">
        <v>50</v>
      </c>
      <c r="J53" t="s">
        <v>51</v>
      </c>
      <c r="K53" t="s">
        <v>51</v>
      </c>
      <c r="L53" t="s">
        <v>134</v>
      </c>
      <c r="M53" t="s">
        <v>305</v>
      </c>
      <c r="N53" t="s">
        <v>54</v>
      </c>
      <c r="O53" t="s">
        <v>54</v>
      </c>
      <c r="P53" t="s">
        <v>51</v>
      </c>
      <c r="Q53" t="s">
        <v>55</v>
      </c>
      <c r="R53" s="1">
        <v>34174606</v>
      </c>
      <c r="S53" s="1">
        <v>18912827</v>
      </c>
      <c r="T53" s="1">
        <v>34254277</v>
      </c>
      <c r="U53" s="1">
        <v>0</v>
      </c>
      <c r="V53" t="s">
        <v>51</v>
      </c>
      <c r="W53">
        <v>180982.64</v>
      </c>
      <c r="X53">
        <v>0</v>
      </c>
      <c r="Y53">
        <v>0</v>
      </c>
      <c r="Z53">
        <v>66798</v>
      </c>
      <c r="AA53">
        <v>7171691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3729073</v>
      </c>
      <c r="AK53">
        <v>3729073</v>
      </c>
      <c r="AL53">
        <v>3729073</v>
      </c>
      <c r="AM53">
        <v>3729073</v>
      </c>
      <c r="AN53">
        <v>0</v>
      </c>
      <c r="AO53">
        <v>0</v>
      </c>
      <c r="AP53">
        <f t="shared" si="0"/>
        <v>0.93141213139272172</v>
      </c>
    </row>
    <row r="54" spans="1:42" x14ac:dyDescent="0.3">
      <c r="A54" t="s">
        <v>275</v>
      </c>
      <c r="B54" t="s">
        <v>306</v>
      </c>
      <c r="C54" t="s">
        <v>307</v>
      </c>
      <c r="D54" t="s">
        <v>308</v>
      </c>
      <c r="E54" t="s">
        <v>46</v>
      </c>
      <c r="F54" t="s">
        <v>139</v>
      </c>
      <c r="G54" t="s">
        <v>60</v>
      </c>
      <c r="H54" t="s">
        <v>49</v>
      </c>
      <c r="I54" t="s">
        <v>50</v>
      </c>
      <c r="J54" t="s">
        <v>51</v>
      </c>
      <c r="K54" t="s">
        <v>51</v>
      </c>
      <c r="L54" t="s">
        <v>134</v>
      </c>
      <c r="M54" t="s">
        <v>309</v>
      </c>
      <c r="N54" t="s">
        <v>54</v>
      </c>
      <c r="O54" t="s">
        <v>54</v>
      </c>
      <c r="P54" t="s">
        <v>54</v>
      </c>
      <c r="Q54" t="s">
        <v>310</v>
      </c>
      <c r="R54" s="1">
        <v>647904534.29999995</v>
      </c>
      <c r="S54" s="1">
        <v>14145214.57</v>
      </c>
      <c r="T54" s="1">
        <v>718676601.82000005</v>
      </c>
      <c r="U54" s="1">
        <v>35321589.490000002</v>
      </c>
      <c r="V54" t="s">
        <v>54</v>
      </c>
      <c r="W54">
        <v>403935.4</v>
      </c>
      <c r="X54">
        <v>44869</v>
      </c>
      <c r="Y54">
        <v>0</v>
      </c>
      <c r="Z54">
        <v>53836634.670000002</v>
      </c>
      <c r="AA54">
        <v>272709448.97000003</v>
      </c>
      <c r="AC54">
        <v>11982824.789999999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11449572</v>
      </c>
      <c r="AK54">
        <v>11449572</v>
      </c>
      <c r="AL54">
        <v>54393290.270000003</v>
      </c>
      <c r="AM54">
        <v>58681099.810000002</v>
      </c>
      <c r="AN54">
        <v>0</v>
      </c>
      <c r="AO54">
        <v>0</v>
      </c>
      <c r="AP54">
        <f t="shared" si="0"/>
        <v>19.741389553363959</v>
      </c>
    </row>
    <row r="55" spans="1:42" x14ac:dyDescent="0.3">
      <c r="A55" t="s">
        <v>275</v>
      </c>
      <c r="B55" t="s">
        <v>311</v>
      </c>
      <c r="C55" t="s">
        <v>312</v>
      </c>
      <c r="D55" t="s">
        <v>313</v>
      </c>
      <c r="E55" t="s">
        <v>46</v>
      </c>
      <c r="F55" t="s">
        <v>314</v>
      </c>
      <c r="G55" t="s">
        <v>60</v>
      </c>
      <c r="H55" t="s">
        <v>49</v>
      </c>
      <c r="I55" t="s">
        <v>50</v>
      </c>
      <c r="J55" t="s">
        <v>51</v>
      </c>
      <c r="K55" t="s">
        <v>51</v>
      </c>
      <c r="L55" t="s">
        <v>134</v>
      </c>
      <c r="M55" t="s">
        <v>219</v>
      </c>
      <c r="N55" t="s">
        <v>54</v>
      </c>
      <c r="O55" t="s">
        <v>54</v>
      </c>
      <c r="P55" t="s">
        <v>54</v>
      </c>
      <c r="Q55" t="s">
        <v>315</v>
      </c>
      <c r="R55" s="1">
        <v>291104183.95999998</v>
      </c>
      <c r="S55" s="1">
        <v>94346584.5</v>
      </c>
      <c r="T55" s="1">
        <v>209076283.08000001</v>
      </c>
      <c r="U55" s="1">
        <v>49933261.369999997</v>
      </c>
      <c r="V55" t="s">
        <v>51</v>
      </c>
      <c r="W55">
        <v>626720.41</v>
      </c>
      <c r="X55">
        <v>0</v>
      </c>
      <c r="Y55">
        <v>68522.289999999994</v>
      </c>
      <c r="Z55">
        <v>98567134.510000005</v>
      </c>
      <c r="AA55">
        <v>1350756494.48</v>
      </c>
      <c r="AB55">
        <v>1350756494.48</v>
      </c>
      <c r="AC55">
        <v>17219203.34</v>
      </c>
      <c r="AD55">
        <v>0</v>
      </c>
      <c r="AE55">
        <v>0</v>
      </c>
      <c r="AF55">
        <v>600274.64</v>
      </c>
      <c r="AG55">
        <v>2645714.34</v>
      </c>
      <c r="AH55">
        <v>0</v>
      </c>
      <c r="AI55">
        <v>0</v>
      </c>
      <c r="AJ55">
        <v>123848859</v>
      </c>
      <c r="AK55">
        <v>123848859</v>
      </c>
      <c r="AL55">
        <v>748760646.33000004</v>
      </c>
      <c r="AM55">
        <v>748760646.33000004</v>
      </c>
      <c r="AN55">
        <v>0</v>
      </c>
      <c r="AO55">
        <v>0</v>
      </c>
      <c r="AP55">
        <f t="shared" si="0"/>
        <v>7.2971801292686242</v>
      </c>
    </row>
    <row r="56" spans="1:42" x14ac:dyDescent="0.3">
      <c r="A56" t="s">
        <v>275</v>
      </c>
      <c r="B56" t="s">
        <v>316</v>
      </c>
      <c r="C56" t="s">
        <v>317</v>
      </c>
      <c r="D56" t="s">
        <v>318</v>
      </c>
      <c r="E56" t="s">
        <v>46</v>
      </c>
      <c r="F56" t="s">
        <v>107</v>
      </c>
      <c r="G56" t="s">
        <v>60</v>
      </c>
      <c r="H56" t="s">
        <v>49</v>
      </c>
      <c r="I56" t="s">
        <v>50</v>
      </c>
      <c r="J56" t="s">
        <v>51</v>
      </c>
      <c r="K56" t="s">
        <v>51</v>
      </c>
      <c r="L56" t="s">
        <v>134</v>
      </c>
      <c r="M56" t="s">
        <v>319</v>
      </c>
      <c r="N56" t="s">
        <v>54</v>
      </c>
      <c r="O56" t="s">
        <v>54</v>
      </c>
      <c r="P56" t="s">
        <v>54</v>
      </c>
      <c r="Q56" t="s">
        <v>320</v>
      </c>
      <c r="R56" s="1">
        <v>228237130</v>
      </c>
      <c r="S56" s="1">
        <v>110210112</v>
      </c>
      <c r="T56" s="1">
        <v>221229629</v>
      </c>
      <c r="U56" s="1">
        <v>13273633</v>
      </c>
      <c r="V56" t="s">
        <v>54</v>
      </c>
      <c r="W56">
        <v>561341.06000000006</v>
      </c>
      <c r="X56">
        <v>33292.639999999999</v>
      </c>
      <c r="Y56">
        <v>0</v>
      </c>
      <c r="Z56">
        <v>14241975</v>
      </c>
      <c r="AA56">
        <v>275152984</v>
      </c>
      <c r="AB56">
        <v>275152984</v>
      </c>
      <c r="AC56">
        <v>1201000</v>
      </c>
      <c r="AD56">
        <v>0</v>
      </c>
      <c r="AE56">
        <v>0</v>
      </c>
      <c r="AF56">
        <v>0</v>
      </c>
      <c r="AG56">
        <v>0</v>
      </c>
      <c r="AH56">
        <v>3350355</v>
      </c>
      <c r="AI56">
        <v>5701731</v>
      </c>
      <c r="AJ56">
        <v>161410751</v>
      </c>
      <c r="AK56">
        <v>161410758</v>
      </c>
      <c r="AL56">
        <v>152912091</v>
      </c>
      <c r="AM56">
        <v>158613822</v>
      </c>
      <c r="AN56">
        <v>8498667</v>
      </c>
      <c r="AO56">
        <v>2796936</v>
      </c>
      <c r="AP56">
        <f t="shared" si="0"/>
        <v>5.176020551534342</v>
      </c>
    </row>
    <row r="57" spans="1:42" x14ac:dyDescent="0.3">
      <c r="A57" t="s">
        <v>275</v>
      </c>
      <c r="B57" t="s">
        <v>321</v>
      </c>
      <c r="C57" t="s">
        <v>322</v>
      </c>
      <c r="D57" t="s">
        <v>323</v>
      </c>
      <c r="E57" t="s">
        <v>46</v>
      </c>
      <c r="F57" t="s">
        <v>240</v>
      </c>
      <c r="G57" t="s">
        <v>60</v>
      </c>
      <c r="H57" t="s">
        <v>49</v>
      </c>
      <c r="I57" t="s">
        <v>50</v>
      </c>
      <c r="J57" t="s">
        <v>51</v>
      </c>
      <c r="K57" t="s">
        <v>51</v>
      </c>
      <c r="L57" s="11" t="s">
        <v>134</v>
      </c>
      <c r="M57" t="s">
        <v>324</v>
      </c>
      <c r="N57" t="s">
        <v>54</v>
      </c>
      <c r="O57" t="s">
        <v>54</v>
      </c>
      <c r="P57" t="s">
        <v>54</v>
      </c>
      <c r="Q57" t="s">
        <v>325</v>
      </c>
      <c r="R57" s="1">
        <v>244101816.68000001</v>
      </c>
      <c r="S57" s="1">
        <v>132754655.79000001</v>
      </c>
      <c r="T57" s="1">
        <v>369161449.20999998</v>
      </c>
      <c r="U57" s="1">
        <v>8617638.5399999991</v>
      </c>
      <c r="V57" t="s">
        <v>51</v>
      </c>
      <c r="W57">
        <v>326294.08</v>
      </c>
      <c r="X57">
        <v>0</v>
      </c>
      <c r="Y57">
        <v>0</v>
      </c>
      <c r="Z57">
        <v>-67338882.650000006</v>
      </c>
      <c r="AA57">
        <v>915953575.92999995</v>
      </c>
      <c r="AC57">
        <v>0</v>
      </c>
      <c r="AD57">
        <v>194001671.97999999</v>
      </c>
      <c r="AE57" s="14">
        <v>215011888.31</v>
      </c>
      <c r="AF57">
        <v>0</v>
      </c>
      <c r="AG57" s="14">
        <v>0</v>
      </c>
      <c r="AH57">
        <v>4400000</v>
      </c>
      <c r="AI57">
        <v>4000000</v>
      </c>
      <c r="AJ57">
        <v>2995022400</v>
      </c>
      <c r="AK57">
        <v>3000302400</v>
      </c>
      <c r="AL57">
        <v>2495852000</v>
      </c>
      <c r="AM57">
        <v>2500252000</v>
      </c>
      <c r="AN57">
        <v>0</v>
      </c>
      <c r="AO57">
        <v>0</v>
      </c>
      <c r="AP57">
        <f t="shared" si="0"/>
        <v>-7.3517790005490689</v>
      </c>
    </row>
    <row r="58" spans="1:42" x14ac:dyDescent="0.3">
      <c r="A58" t="s">
        <v>275</v>
      </c>
      <c r="B58" t="s">
        <v>326</v>
      </c>
      <c r="C58" t="s">
        <v>327</v>
      </c>
      <c r="D58" t="s">
        <v>328</v>
      </c>
      <c r="E58" t="s">
        <v>46</v>
      </c>
      <c r="F58" t="s">
        <v>65</v>
      </c>
      <c r="G58" t="s">
        <v>60</v>
      </c>
      <c r="H58" t="s">
        <v>49</v>
      </c>
      <c r="I58" t="s">
        <v>50</v>
      </c>
      <c r="J58" t="s">
        <v>51</v>
      </c>
      <c r="K58" t="s">
        <v>54</v>
      </c>
      <c r="L58" t="s">
        <v>134</v>
      </c>
      <c r="M58" t="s">
        <v>103</v>
      </c>
      <c r="N58" t="s">
        <v>54</v>
      </c>
      <c r="O58" t="s">
        <v>54</v>
      </c>
      <c r="P58" t="s">
        <v>51</v>
      </c>
      <c r="Q58" t="s">
        <v>329</v>
      </c>
      <c r="R58" s="1">
        <v>44297902.909999996</v>
      </c>
      <c r="S58" s="1">
        <v>17924084.109999999</v>
      </c>
      <c r="T58" s="1">
        <v>29998259.710000001</v>
      </c>
      <c r="U58" s="1">
        <v>3495688.47</v>
      </c>
      <c r="V58" t="s">
        <v>54</v>
      </c>
      <c r="W58">
        <v>287117.15999999997</v>
      </c>
      <c r="X58">
        <v>147625.29999999999</v>
      </c>
      <c r="Y58">
        <v>0</v>
      </c>
      <c r="Z58">
        <v>13568036.050000001</v>
      </c>
      <c r="AA58">
        <v>35820464.140000001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f t="shared" si="0"/>
        <v>37.877890127193645</v>
      </c>
    </row>
    <row r="59" spans="1:42" x14ac:dyDescent="0.3">
      <c r="A59" t="s">
        <v>330</v>
      </c>
      <c r="B59" t="s">
        <v>331</v>
      </c>
      <c r="C59" t="s">
        <v>332</v>
      </c>
      <c r="D59" t="s">
        <v>333</v>
      </c>
      <c r="E59" t="s">
        <v>46</v>
      </c>
      <c r="F59" t="s">
        <v>133</v>
      </c>
      <c r="G59" t="s">
        <v>48</v>
      </c>
      <c r="H59" t="s">
        <v>49</v>
      </c>
      <c r="I59" t="s">
        <v>50</v>
      </c>
      <c r="J59" t="s">
        <v>51</v>
      </c>
      <c r="K59" t="s">
        <v>54</v>
      </c>
      <c r="L59" t="s">
        <v>52</v>
      </c>
      <c r="M59" t="s">
        <v>129</v>
      </c>
      <c r="N59" t="s">
        <v>54</v>
      </c>
      <c r="O59" t="s">
        <v>54</v>
      </c>
      <c r="P59" t="s">
        <v>51</v>
      </c>
      <c r="Q59" t="s">
        <v>55</v>
      </c>
      <c r="R59" s="1">
        <v>0</v>
      </c>
      <c r="S59" s="1">
        <v>1328051.04</v>
      </c>
      <c r="T59" s="1">
        <v>1363008.78</v>
      </c>
      <c r="U59" s="1">
        <v>0</v>
      </c>
      <c r="V59" t="s">
        <v>51</v>
      </c>
      <c r="W59">
        <v>128223.55</v>
      </c>
      <c r="X59">
        <v>0</v>
      </c>
      <c r="Y59">
        <v>0</v>
      </c>
      <c r="Z59">
        <v>-96518.78</v>
      </c>
      <c r="AA59">
        <v>-355358.16</v>
      </c>
      <c r="AC59">
        <v>0</v>
      </c>
      <c r="AD59">
        <v>1480509.27</v>
      </c>
      <c r="AE59">
        <v>1363008.78</v>
      </c>
      <c r="AF59">
        <v>69761.27</v>
      </c>
      <c r="AG59" s="14">
        <v>95150.19</v>
      </c>
      <c r="AH59">
        <v>0</v>
      </c>
      <c r="AI59">
        <v>0</v>
      </c>
      <c r="AJ59">
        <v>1226666971</v>
      </c>
      <c r="AK59">
        <v>1226666971</v>
      </c>
      <c r="AL59">
        <v>1226666971</v>
      </c>
      <c r="AM59">
        <v>1226666971</v>
      </c>
      <c r="AN59">
        <v>0</v>
      </c>
      <c r="AO59">
        <v>0</v>
      </c>
      <c r="AP59">
        <f t="shared" si="0"/>
        <v>27.16098597538889</v>
      </c>
    </row>
    <row r="60" spans="1:42" x14ac:dyDescent="0.3">
      <c r="A60" t="s">
        <v>330</v>
      </c>
      <c r="B60" t="s">
        <v>334</v>
      </c>
      <c r="C60" t="s">
        <v>335</v>
      </c>
      <c r="D60" t="s">
        <v>336</v>
      </c>
      <c r="E60" t="s">
        <v>46</v>
      </c>
      <c r="F60" t="s">
        <v>93</v>
      </c>
      <c r="G60" t="s">
        <v>48</v>
      </c>
      <c r="H60" t="s">
        <v>76</v>
      </c>
      <c r="I60" t="s">
        <v>50</v>
      </c>
      <c r="J60" t="s">
        <v>51</v>
      </c>
      <c r="K60" t="s">
        <v>51</v>
      </c>
      <c r="L60" t="s">
        <v>52</v>
      </c>
      <c r="M60" t="s">
        <v>337</v>
      </c>
      <c r="N60" t="s">
        <v>54</v>
      </c>
      <c r="O60" t="s">
        <v>54</v>
      </c>
      <c r="P60" t="s">
        <v>54</v>
      </c>
      <c r="Q60" t="s">
        <v>55</v>
      </c>
      <c r="R60" s="1">
        <v>12622751.58</v>
      </c>
      <c r="S60" s="1">
        <v>42072586.509999998</v>
      </c>
      <c r="T60" s="1">
        <v>69122330.090000004</v>
      </c>
      <c r="U60" s="1">
        <v>0</v>
      </c>
      <c r="V60" t="s">
        <v>51</v>
      </c>
      <c r="W60">
        <v>242075.5</v>
      </c>
      <c r="X60">
        <v>0</v>
      </c>
      <c r="Y60">
        <v>0</v>
      </c>
      <c r="Z60">
        <v>-56499578.509999998</v>
      </c>
      <c r="AA60">
        <v>233776023.19</v>
      </c>
      <c r="AC60">
        <v>0</v>
      </c>
      <c r="AD60">
        <v>85133717.780000001</v>
      </c>
      <c r="AE60">
        <v>100786406.64</v>
      </c>
      <c r="AF60">
        <v>0</v>
      </c>
      <c r="AG60" s="14">
        <v>0</v>
      </c>
      <c r="AH60">
        <v>0</v>
      </c>
      <c r="AI60">
        <v>0</v>
      </c>
      <c r="AJ60">
        <v>0</v>
      </c>
      <c r="AK60">
        <v>0</v>
      </c>
      <c r="AL60">
        <v>37029932</v>
      </c>
      <c r="AM60">
        <v>37029932</v>
      </c>
      <c r="AN60">
        <v>37029932</v>
      </c>
      <c r="AO60">
        <v>37029932</v>
      </c>
      <c r="AP60">
        <f t="shared" si="0"/>
        <v>-24.168252046994709</v>
      </c>
    </row>
    <row r="61" spans="1:42" x14ac:dyDescent="0.3">
      <c r="A61" t="s">
        <v>330</v>
      </c>
      <c r="B61" t="s">
        <v>338</v>
      </c>
      <c r="C61" t="s">
        <v>339</v>
      </c>
      <c r="D61" t="s">
        <v>340</v>
      </c>
      <c r="E61" t="s">
        <v>46</v>
      </c>
      <c r="F61" t="s">
        <v>102</v>
      </c>
      <c r="G61" t="s">
        <v>48</v>
      </c>
      <c r="H61" t="s">
        <v>76</v>
      </c>
      <c r="I61" t="s">
        <v>50</v>
      </c>
      <c r="J61" t="s">
        <v>51</v>
      </c>
      <c r="K61" t="s">
        <v>51</v>
      </c>
      <c r="L61" t="s">
        <v>52</v>
      </c>
      <c r="M61" t="s">
        <v>341</v>
      </c>
      <c r="N61" t="s">
        <v>54</v>
      </c>
      <c r="O61" t="s">
        <v>54</v>
      </c>
      <c r="P61" t="s">
        <v>54</v>
      </c>
      <c r="Q61" t="s">
        <v>342</v>
      </c>
      <c r="R61" s="1">
        <v>55522.87</v>
      </c>
      <c r="S61" s="1">
        <v>139373719.37</v>
      </c>
      <c r="T61" s="1">
        <v>161187692.62</v>
      </c>
      <c r="U61" s="1">
        <v>0</v>
      </c>
      <c r="V61" t="s">
        <v>51</v>
      </c>
      <c r="W61">
        <v>712722.87</v>
      </c>
      <c r="X61">
        <v>0</v>
      </c>
      <c r="Y61">
        <v>0</v>
      </c>
      <c r="Z61">
        <v>19285188.129999999</v>
      </c>
      <c r="AA61">
        <v>677760.52</v>
      </c>
      <c r="AC61">
        <v>0</v>
      </c>
      <c r="AD61">
        <v>133796149.77</v>
      </c>
      <c r="AE61">
        <v>147655864.81999999</v>
      </c>
      <c r="AF61">
        <v>0</v>
      </c>
      <c r="AG61" s="14">
        <v>0</v>
      </c>
      <c r="AH61">
        <v>0</v>
      </c>
      <c r="AI61">
        <v>0</v>
      </c>
      <c r="AJ61">
        <v>0</v>
      </c>
      <c r="AK61">
        <v>0</v>
      </c>
      <c r="AL61">
        <v>677760.52</v>
      </c>
      <c r="AM61">
        <v>677760.52</v>
      </c>
      <c r="AN61">
        <v>10350559.109999999</v>
      </c>
      <c r="AO61">
        <v>10350559.109999999</v>
      </c>
      <c r="AP61">
        <f t="shared" si="0"/>
        <v>2845.4280768670324</v>
      </c>
    </row>
    <row r="62" spans="1:42" x14ac:dyDescent="0.3">
      <c r="A62" t="s">
        <v>330</v>
      </c>
      <c r="B62" t="s">
        <v>343</v>
      </c>
      <c r="C62" t="s">
        <v>344</v>
      </c>
      <c r="D62" t="s">
        <v>345</v>
      </c>
      <c r="E62" t="s">
        <v>46</v>
      </c>
      <c r="F62" t="s">
        <v>65</v>
      </c>
      <c r="G62" t="s">
        <v>60</v>
      </c>
      <c r="H62" t="s">
        <v>49</v>
      </c>
      <c r="I62" t="s">
        <v>50</v>
      </c>
      <c r="J62" t="s">
        <v>51</v>
      </c>
      <c r="K62" t="s">
        <v>54</v>
      </c>
      <c r="L62" t="s">
        <v>52</v>
      </c>
      <c r="M62" t="s">
        <v>346</v>
      </c>
      <c r="N62" t="s">
        <v>54</v>
      </c>
      <c r="O62" t="s">
        <v>54</v>
      </c>
      <c r="P62" t="s">
        <v>54</v>
      </c>
      <c r="Q62" t="s">
        <v>55</v>
      </c>
      <c r="R62" s="1">
        <v>0</v>
      </c>
      <c r="S62" s="1">
        <v>7222325.5700000003</v>
      </c>
      <c r="T62" s="1">
        <v>10203665.640000001</v>
      </c>
      <c r="U62" s="1">
        <v>859790</v>
      </c>
      <c r="V62" t="s">
        <v>54</v>
      </c>
      <c r="W62">
        <v>561405.34</v>
      </c>
      <c r="X62">
        <v>15889.45</v>
      </c>
      <c r="Y62">
        <v>33884.160000000003</v>
      </c>
      <c r="Z62">
        <v>-9380301</v>
      </c>
      <c r="AA62">
        <v>880741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5840466.29</v>
      </c>
      <c r="AI62">
        <v>10203665.640000001</v>
      </c>
      <c r="AJ62">
        <v>10</v>
      </c>
      <c r="AK62">
        <v>100</v>
      </c>
      <c r="AL62">
        <v>50000</v>
      </c>
      <c r="AM62">
        <v>50000</v>
      </c>
      <c r="AN62">
        <v>45000</v>
      </c>
      <c r="AO62">
        <v>0</v>
      </c>
      <c r="AP62">
        <f t="shared" si="0"/>
        <v>-1065.0464779089425</v>
      </c>
    </row>
    <row r="63" spans="1:42" x14ac:dyDescent="0.3">
      <c r="A63" t="s">
        <v>330</v>
      </c>
      <c r="B63" t="s">
        <v>347</v>
      </c>
      <c r="C63" t="s">
        <v>348</v>
      </c>
      <c r="D63" t="s">
        <v>349</v>
      </c>
      <c r="E63" t="s">
        <v>46</v>
      </c>
      <c r="F63" t="s">
        <v>240</v>
      </c>
      <c r="G63" t="s">
        <v>48</v>
      </c>
      <c r="H63" t="s">
        <v>76</v>
      </c>
      <c r="I63" t="s">
        <v>50</v>
      </c>
      <c r="J63" t="s">
        <v>51</v>
      </c>
      <c r="K63" t="s">
        <v>51</v>
      </c>
      <c r="L63" t="s">
        <v>52</v>
      </c>
      <c r="M63" t="s">
        <v>350</v>
      </c>
      <c r="N63" t="s">
        <v>54</v>
      </c>
      <c r="O63" t="s">
        <v>54</v>
      </c>
      <c r="P63" t="s">
        <v>51</v>
      </c>
      <c r="Q63" t="s">
        <v>351</v>
      </c>
      <c r="R63" s="1">
        <v>192510639.05000001</v>
      </c>
      <c r="S63" s="1">
        <v>310291677.88999999</v>
      </c>
      <c r="T63" s="1">
        <v>1116894177.4300001</v>
      </c>
      <c r="U63" s="1">
        <v>51402371.659999996</v>
      </c>
      <c r="V63" t="s">
        <v>51</v>
      </c>
      <c r="W63">
        <v>812490.74</v>
      </c>
      <c r="X63">
        <v>0</v>
      </c>
      <c r="Y63">
        <v>23512.62</v>
      </c>
      <c r="Z63">
        <v>-540400194.94000006</v>
      </c>
      <c r="AA63">
        <v>1368475260.0699999</v>
      </c>
      <c r="AC63">
        <v>0</v>
      </c>
      <c r="AD63">
        <v>369615946.13</v>
      </c>
      <c r="AE63">
        <v>468667402.27999997</v>
      </c>
      <c r="AF63">
        <v>0</v>
      </c>
      <c r="AG63" s="14">
        <v>0</v>
      </c>
      <c r="AH63">
        <v>2233538.6</v>
      </c>
      <c r="AI63">
        <v>44635186.689999998</v>
      </c>
      <c r="AJ63">
        <v>30689692</v>
      </c>
      <c r="AK63">
        <v>30713387</v>
      </c>
      <c r="AL63">
        <v>2893424161.7600002</v>
      </c>
      <c r="AM63">
        <v>2895658126.3600001</v>
      </c>
      <c r="AN63">
        <v>2233538.6</v>
      </c>
      <c r="AO63">
        <v>44635186.689999998</v>
      </c>
      <c r="AP63">
        <f t="shared" si="0"/>
        <v>-39.489219184887396</v>
      </c>
    </row>
    <row r="64" spans="1:42" x14ac:dyDescent="0.3">
      <c r="A64" t="s">
        <v>330</v>
      </c>
      <c r="B64" t="s">
        <v>352</v>
      </c>
      <c r="C64" t="s">
        <v>353</v>
      </c>
      <c r="D64" t="s">
        <v>354</v>
      </c>
      <c r="E64" t="s">
        <v>46</v>
      </c>
      <c r="F64" t="s">
        <v>93</v>
      </c>
      <c r="G64" t="s">
        <v>48</v>
      </c>
      <c r="H64" t="s">
        <v>49</v>
      </c>
      <c r="I64" t="s">
        <v>50</v>
      </c>
      <c r="J64" t="s">
        <v>51</v>
      </c>
      <c r="K64" t="s">
        <v>51</v>
      </c>
      <c r="L64" t="s">
        <v>52</v>
      </c>
      <c r="M64" t="s">
        <v>355</v>
      </c>
      <c r="N64" t="s">
        <v>54</v>
      </c>
      <c r="O64" t="s">
        <v>54</v>
      </c>
      <c r="P64" t="s">
        <v>51</v>
      </c>
      <c r="Q64" t="s">
        <v>55</v>
      </c>
      <c r="R64" s="1">
        <v>0</v>
      </c>
      <c r="S64" s="1">
        <v>0</v>
      </c>
      <c r="T64" s="1">
        <v>536246883</v>
      </c>
      <c r="U64" s="1">
        <v>2827683.65</v>
      </c>
      <c r="V64" t="s">
        <v>51</v>
      </c>
      <c r="W64">
        <v>539262.19999999995</v>
      </c>
      <c r="X64">
        <v>0</v>
      </c>
      <c r="Y64">
        <v>0</v>
      </c>
      <c r="Z64">
        <v>-35717755.619999997</v>
      </c>
      <c r="AA64">
        <v>822044474.27999997</v>
      </c>
      <c r="AC64">
        <v>0</v>
      </c>
      <c r="AD64">
        <v>1394076156.54</v>
      </c>
      <c r="AE64">
        <v>2057436824.46</v>
      </c>
      <c r="AF64">
        <v>0</v>
      </c>
      <c r="AG64" s="14">
        <v>0</v>
      </c>
      <c r="AH64">
        <v>7272937</v>
      </c>
      <c r="AI64">
        <v>7272937</v>
      </c>
      <c r="AJ64">
        <v>280600</v>
      </c>
      <c r="AK64">
        <v>280600</v>
      </c>
      <c r="AL64">
        <v>26713076.280000001</v>
      </c>
      <c r="AM64">
        <v>26716076.280000001</v>
      </c>
      <c r="AN64">
        <v>0</v>
      </c>
      <c r="AO64">
        <v>0</v>
      </c>
      <c r="AP64">
        <f t="shared" si="0"/>
        <v>-4.3449906589645204</v>
      </c>
    </row>
    <row r="65" spans="1:42" x14ac:dyDescent="0.3">
      <c r="A65" t="s">
        <v>330</v>
      </c>
      <c r="B65" t="s">
        <v>356</v>
      </c>
      <c r="C65" t="s">
        <v>357</v>
      </c>
      <c r="D65" t="s">
        <v>358</v>
      </c>
      <c r="E65" t="s">
        <v>70</v>
      </c>
      <c r="F65" t="s">
        <v>107</v>
      </c>
      <c r="G65" t="s">
        <v>48</v>
      </c>
      <c r="H65" t="s">
        <v>49</v>
      </c>
      <c r="I65" t="s">
        <v>50</v>
      </c>
      <c r="J65" t="s">
        <v>51</v>
      </c>
      <c r="K65" t="s">
        <v>51</v>
      </c>
      <c r="L65" t="s">
        <v>52</v>
      </c>
      <c r="M65" t="s">
        <v>359</v>
      </c>
      <c r="N65" t="s">
        <v>54</v>
      </c>
      <c r="O65" t="s">
        <v>54</v>
      </c>
      <c r="P65" t="s">
        <v>51</v>
      </c>
      <c r="Q65" t="s">
        <v>55</v>
      </c>
      <c r="R65" s="1">
        <v>21550611.93</v>
      </c>
      <c r="S65" s="1">
        <v>21157093.600000001</v>
      </c>
      <c r="T65" s="1">
        <v>21297959.780000001</v>
      </c>
      <c r="U65" s="1">
        <v>0</v>
      </c>
      <c r="V65" t="s">
        <v>51</v>
      </c>
      <c r="W65">
        <v>287369.68</v>
      </c>
      <c r="X65">
        <v>0</v>
      </c>
      <c r="Y65">
        <v>0</v>
      </c>
      <c r="Z65">
        <v>252652.15</v>
      </c>
      <c r="AA65">
        <v>-1727395.76</v>
      </c>
      <c r="AC65">
        <v>0</v>
      </c>
      <c r="AD65">
        <v>20598560.109999999</v>
      </c>
      <c r="AE65">
        <v>21416536.550000001</v>
      </c>
      <c r="AF65">
        <v>0</v>
      </c>
      <c r="AG65" s="14">
        <v>0</v>
      </c>
      <c r="AH65">
        <v>22.3</v>
      </c>
      <c r="AI65">
        <v>0</v>
      </c>
      <c r="AJ65">
        <v>1636885749</v>
      </c>
      <c r="AK65">
        <v>1636885749</v>
      </c>
      <c r="AL65">
        <v>16368857.49</v>
      </c>
      <c r="AM65">
        <v>16368857.49</v>
      </c>
      <c r="AN65">
        <v>0</v>
      </c>
      <c r="AO65">
        <v>0</v>
      </c>
      <c r="AP65">
        <f t="shared" si="0"/>
        <v>-14.626187921174473</v>
      </c>
    </row>
    <row r="66" spans="1:42" x14ac:dyDescent="0.3">
      <c r="A66" t="s">
        <v>330</v>
      </c>
      <c r="B66" t="s">
        <v>360</v>
      </c>
      <c r="C66" t="s">
        <v>361</v>
      </c>
      <c r="D66" t="s">
        <v>362</v>
      </c>
      <c r="E66" t="s">
        <v>46</v>
      </c>
      <c r="F66" t="s">
        <v>240</v>
      </c>
      <c r="G66" t="s">
        <v>48</v>
      </c>
      <c r="H66" t="s">
        <v>363</v>
      </c>
      <c r="I66" t="s">
        <v>50</v>
      </c>
      <c r="J66" t="s">
        <v>51</v>
      </c>
      <c r="K66" t="s">
        <v>51</v>
      </c>
      <c r="L66" t="s">
        <v>52</v>
      </c>
      <c r="M66" t="s">
        <v>364</v>
      </c>
      <c r="N66" t="s">
        <v>54</v>
      </c>
      <c r="O66" t="s">
        <v>54</v>
      </c>
      <c r="P66" t="s">
        <v>51</v>
      </c>
      <c r="Q66" t="s">
        <v>55</v>
      </c>
      <c r="R66" s="1">
        <v>5775667.1399999997</v>
      </c>
      <c r="S66" s="1">
        <v>10168034.470000001</v>
      </c>
      <c r="T66" s="1">
        <v>28236642.5</v>
      </c>
      <c r="U66" s="1">
        <v>0</v>
      </c>
      <c r="V66" t="s">
        <v>51</v>
      </c>
      <c r="W66">
        <v>331624.15000000002</v>
      </c>
      <c r="X66">
        <v>0</v>
      </c>
      <c r="Y66">
        <v>0</v>
      </c>
      <c r="Z66">
        <v>-36494715.710000001</v>
      </c>
      <c r="AA66">
        <v>60677501.479999997</v>
      </c>
      <c r="AC66">
        <v>0</v>
      </c>
      <c r="AD66">
        <v>215123905.25999999</v>
      </c>
      <c r="AE66">
        <v>266922699.81</v>
      </c>
      <c r="AF66">
        <v>75022398.670000002</v>
      </c>
      <c r="AG66" s="14">
        <v>136199874.21000001</v>
      </c>
      <c r="AH66">
        <v>0</v>
      </c>
      <c r="AI66">
        <v>0</v>
      </c>
      <c r="AJ66">
        <v>37722.75</v>
      </c>
      <c r="AK66">
        <v>37722.75</v>
      </c>
      <c r="AL66">
        <v>43886200</v>
      </c>
      <c r="AM66">
        <v>43886200</v>
      </c>
      <c r="AN66">
        <v>0</v>
      </c>
      <c r="AO66">
        <v>0</v>
      </c>
      <c r="AP66">
        <f t="shared" ref="AP66:AP129" si="1">Z66*100/AA66</f>
        <v>-60.14538308244132</v>
      </c>
    </row>
    <row r="67" spans="1:42" x14ac:dyDescent="0.3">
      <c r="A67" t="s">
        <v>330</v>
      </c>
      <c r="B67" t="s">
        <v>365</v>
      </c>
      <c r="C67" t="s">
        <v>366</v>
      </c>
      <c r="D67" t="s">
        <v>367</v>
      </c>
      <c r="E67" t="s">
        <v>46</v>
      </c>
      <c r="F67" t="s">
        <v>65</v>
      </c>
      <c r="G67" t="s">
        <v>48</v>
      </c>
      <c r="H67" t="s">
        <v>49</v>
      </c>
      <c r="I67" t="s">
        <v>50</v>
      </c>
      <c r="J67" t="s">
        <v>51</v>
      </c>
      <c r="K67" t="s">
        <v>54</v>
      </c>
      <c r="L67" t="s">
        <v>134</v>
      </c>
      <c r="M67" t="s">
        <v>368</v>
      </c>
      <c r="N67" t="s">
        <v>54</v>
      </c>
      <c r="O67" t="s">
        <v>54</v>
      </c>
      <c r="P67" t="s">
        <v>51</v>
      </c>
      <c r="Q67" t="s">
        <v>369</v>
      </c>
      <c r="R67" s="1">
        <v>0</v>
      </c>
      <c r="S67" s="1">
        <v>10021616.33</v>
      </c>
      <c r="T67" s="1">
        <v>18009638.379999999</v>
      </c>
      <c r="U67" s="1">
        <v>1515396.62</v>
      </c>
      <c r="V67" t="s">
        <v>51</v>
      </c>
      <c r="W67">
        <v>532630.43000000005</v>
      </c>
      <c r="X67">
        <v>0</v>
      </c>
      <c r="Y67">
        <v>0</v>
      </c>
      <c r="Z67">
        <v>28800626</v>
      </c>
      <c r="AA67">
        <v>1052610978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9958047</v>
      </c>
      <c r="AK67">
        <v>9958047</v>
      </c>
      <c r="AL67">
        <v>995804700</v>
      </c>
      <c r="AM67">
        <v>995804700</v>
      </c>
      <c r="AN67">
        <v>-5794655</v>
      </c>
      <c r="AO67">
        <v>-5794655</v>
      </c>
      <c r="AP67">
        <f t="shared" si="1"/>
        <v>2.7361130181942679</v>
      </c>
    </row>
    <row r="68" spans="1:42" x14ac:dyDescent="0.3">
      <c r="A68" t="s">
        <v>330</v>
      </c>
      <c r="B68" t="s">
        <v>370</v>
      </c>
      <c r="C68" t="s">
        <v>371</v>
      </c>
      <c r="D68" t="s">
        <v>372</v>
      </c>
      <c r="E68" t="s">
        <v>46</v>
      </c>
      <c r="F68" t="s">
        <v>71</v>
      </c>
      <c r="G68" t="s">
        <v>60</v>
      </c>
      <c r="H68" t="s">
        <v>49</v>
      </c>
      <c r="I68" t="s">
        <v>373</v>
      </c>
      <c r="J68" t="s">
        <v>54</v>
      </c>
      <c r="K68" t="s">
        <v>51</v>
      </c>
      <c r="L68" t="s">
        <v>134</v>
      </c>
      <c r="M68" t="s">
        <v>374</v>
      </c>
      <c r="N68" t="s">
        <v>54</v>
      </c>
      <c r="O68" t="s">
        <v>54</v>
      </c>
      <c r="P68" t="s">
        <v>54</v>
      </c>
      <c r="Q68" t="s">
        <v>375</v>
      </c>
      <c r="R68" s="1">
        <v>229338714.06</v>
      </c>
      <c r="S68" s="1">
        <v>1215339654.3599999</v>
      </c>
      <c r="T68" s="1">
        <v>8156633926.5500002</v>
      </c>
      <c r="U68" s="1">
        <v>206086925.47999999</v>
      </c>
      <c r="V68" t="s">
        <v>54</v>
      </c>
      <c r="W68">
        <v>837726.37</v>
      </c>
      <c r="X68">
        <v>324385.26</v>
      </c>
      <c r="Y68">
        <v>0</v>
      </c>
      <c r="Z68">
        <v>195716826.59</v>
      </c>
      <c r="AA68">
        <v>3687331404.7199998</v>
      </c>
      <c r="AB68">
        <v>3190605972.8200002</v>
      </c>
      <c r="AC68">
        <v>1206204.48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71.92</v>
      </c>
      <c r="AK68">
        <v>65.63</v>
      </c>
      <c r="AL68">
        <v>0</v>
      </c>
      <c r="AM68">
        <v>0</v>
      </c>
      <c r="AN68">
        <v>0</v>
      </c>
      <c r="AO68">
        <v>0</v>
      </c>
      <c r="AP68">
        <f t="shared" si="1"/>
        <v>5.307817635796745</v>
      </c>
    </row>
    <row r="69" spans="1:42" x14ac:dyDescent="0.3">
      <c r="A69" t="s">
        <v>330</v>
      </c>
      <c r="B69" t="s">
        <v>376</v>
      </c>
      <c r="C69" t="s">
        <v>377</v>
      </c>
      <c r="D69" t="s">
        <v>378</v>
      </c>
      <c r="E69" t="s">
        <v>46</v>
      </c>
      <c r="F69" t="s">
        <v>71</v>
      </c>
      <c r="G69" t="s">
        <v>60</v>
      </c>
      <c r="H69" t="s">
        <v>49</v>
      </c>
      <c r="I69" t="s">
        <v>50</v>
      </c>
      <c r="J69" t="s">
        <v>51</v>
      </c>
      <c r="K69" t="s">
        <v>54</v>
      </c>
      <c r="L69" t="s">
        <v>134</v>
      </c>
      <c r="M69" t="s">
        <v>66</v>
      </c>
      <c r="N69" t="s">
        <v>51</v>
      </c>
      <c r="O69" t="s">
        <v>54</v>
      </c>
      <c r="P69" t="s">
        <v>51</v>
      </c>
      <c r="Q69" t="s">
        <v>55</v>
      </c>
      <c r="R69" s="1">
        <v>301617.51</v>
      </c>
      <c r="S69" s="1">
        <v>1490863.63</v>
      </c>
      <c r="T69" s="1">
        <v>2979003.3</v>
      </c>
      <c r="U69" s="1">
        <v>0</v>
      </c>
      <c r="V69" t="s">
        <v>51</v>
      </c>
      <c r="W69">
        <v>0</v>
      </c>
      <c r="X69">
        <v>0</v>
      </c>
      <c r="Y69">
        <v>0</v>
      </c>
      <c r="Z69">
        <v>80614672.409999996</v>
      </c>
      <c r="AA69">
        <v>499541580.00999999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f t="shared" si="1"/>
        <v>16.137730198232195</v>
      </c>
    </row>
    <row r="70" spans="1:42" x14ac:dyDescent="0.3">
      <c r="A70" t="s">
        <v>330</v>
      </c>
      <c r="B70" t="s">
        <v>379</v>
      </c>
      <c r="C70" t="s">
        <v>380</v>
      </c>
      <c r="D70" t="s">
        <v>381</v>
      </c>
      <c r="E70" t="s">
        <v>46</v>
      </c>
      <c r="F70" t="s">
        <v>71</v>
      </c>
      <c r="G70" t="s">
        <v>60</v>
      </c>
      <c r="H70" t="s">
        <v>49</v>
      </c>
      <c r="I70" t="s">
        <v>50</v>
      </c>
      <c r="J70" t="s">
        <v>51</v>
      </c>
      <c r="K70" t="s">
        <v>54</v>
      </c>
      <c r="L70" t="s">
        <v>134</v>
      </c>
      <c r="M70" t="s">
        <v>382</v>
      </c>
      <c r="N70" t="s">
        <v>54</v>
      </c>
      <c r="O70" t="s">
        <v>54</v>
      </c>
      <c r="P70" t="s">
        <v>54</v>
      </c>
      <c r="Q70" t="s">
        <v>55</v>
      </c>
      <c r="R70" s="1">
        <v>11143665.43</v>
      </c>
      <c r="S70" s="1">
        <v>3082019.37</v>
      </c>
      <c r="T70" s="1">
        <v>26478526.140000001</v>
      </c>
      <c r="U70" s="1">
        <v>0</v>
      </c>
      <c r="V70" t="s">
        <v>54</v>
      </c>
      <c r="W70">
        <v>697595.69</v>
      </c>
      <c r="X70">
        <v>74146.850000000006</v>
      </c>
      <c r="Y70">
        <v>0</v>
      </c>
      <c r="Z70">
        <v>5674698.6799999997</v>
      </c>
      <c r="AA70">
        <v>62259025.609999999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40000000</v>
      </c>
      <c r="AM70">
        <v>40000000</v>
      </c>
      <c r="AN70">
        <v>0</v>
      </c>
      <c r="AO70">
        <v>0</v>
      </c>
      <c r="AP70">
        <f t="shared" si="1"/>
        <v>9.1146602832289325</v>
      </c>
    </row>
    <row r="71" spans="1:42" x14ac:dyDescent="0.3">
      <c r="A71" t="s">
        <v>330</v>
      </c>
      <c r="B71" t="s">
        <v>383</v>
      </c>
      <c r="C71" t="s">
        <v>384</v>
      </c>
      <c r="D71" t="s">
        <v>385</v>
      </c>
      <c r="E71" t="s">
        <v>46</v>
      </c>
      <c r="F71" t="s">
        <v>71</v>
      </c>
      <c r="G71" t="s">
        <v>60</v>
      </c>
      <c r="H71" t="s">
        <v>49</v>
      </c>
      <c r="I71" t="s">
        <v>50</v>
      </c>
      <c r="J71" t="s">
        <v>51</v>
      </c>
      <c r="K71" t="s">
        <v>54</v>
      </c>
      <c r="L71" t="s">
        <v>134</v>
      </c>
      <c r="M71" t="s">
        <v>66</v>
      </c>
      <c r="N71" t="s">
        <v>51</v>
      </c>
      <c r="O71" t="s">
        <v>54</v>
      </c>
      <c r="P71" t="s">
        <v>51</v>
      </c>
      <c r="Q71" t="s">
        <v>55</v>
      </c>
      <c r="R71" s="1">
        <v>234119072.94999999</v>
      </c>
      <c r="S71" s="1">
        <v>567953.80000000005</v>
      </c>
      <c r="T71" s="1">
        <v>977870414.91999996</v>
      </c>
      <c r="U71" s="1">
        <v>0</v>
      </c>
      <c r="V71" t="s">
        <v>54</v>
      </c>
      <c r="W71">
        <v>614208.69999999995</v>
      </c>
      <c r="X71">
        <v>20796.97</v>
      </c>
      <c r="Y71">
        <v>0</v>
      </c>
      <c r="Z71">
        <v>141054314.84999999</v>
      </c>
      <c r="AA71">
        <v>433727010.30000001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420</v>
      </c>
      <c r="AK71">
        <v>420</v>
      </c>
      <c r="AL71">
        <v>150000000</v>
      </c>
      <c r="AM71">
        <v>150000000</v>
      </c>
      <c r="AN71">
        <v>0</v>
      </c>
      <c r="AO71">
        <v>0</v>
      </c>
      <c r="AP71">
        <f t="shared" si="1"/>
        <v>32.521450474674296</v>
      </c>
    </row>
    <row r="72" spans="1:42" x14ac:dyDescent="0.3">
      <c r="A72" t="s">
        <v>330</v>
      </c>
      <c r="B72" t="s">
        <v>386</v>
      </c>
      <c r="C72" t="s">
        <v>387</v>
      </c>
      <c r="D72" t="s">
        <v>388</v>
      </c>
      <c r="E72" t="s">
        <v>46</v>
      </c>
      <c r="F72" t="s">
        <v>71</v>
      </c>
      <c r="G72" t="s">
        <v>48</v>
      </c>
      <c r="H72" t="s">
        <v>49</v>
      </c>
      <c r="I72" t="s">
        <v>50</v>
      </c>
      <c r="J72" t="s">
        <v>51</v>
      </c>
      <c r="K72" t="s">
        <v>54</v>
      </c>
      <c r="L72" t="s">
        <v>134</v>
      </c>
      <c r="M72" t="s">
        <v>66</v>
      </c>
      <c r="N72" t="s">
        <v>54</v>
      </c>
      <c r="O72" t="s">
        <v>51</v>
      </c>
      <c r="P72" t="s">
        <v>51</v>
      </c>
      <c r="Q72" t="s">
        <v>55</v>
      </c>
      <c r="R72" s="1">
        <v>0</v>
      </c>
      <c r="S72" s="1">
        <v>0</v>
      </c>
      <c r="T72" s="1">
        <v>1032.94</v>
      </c>
      <c r="U72" s="1">
        <v>0</v>
      </c>
      <c r="V72" t="s">
        <v>51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e">
        <f t="shared" si="1"/>
        <v>#DIV/0!</v>
      </c>
    </row>
    <row r="73" spans="1:42" x14ac:dyDescent="0.3">
      <c r="A73" t="s">
        <v>330</v>
      </c>
      <c r="B73" t="s">
        <v>389</v>
      </c>
      <c r="C73" t="s">
        <v>389</v>
      </c>
      <c r="D73" t="s">
        <v>390</v>
      </c>
      <c r="E73" t="s">
        <v>46</v>
      </c>
      <c r="F73" t="s">
        <v>71</v>
      </c>
      <c r="G73" t="s">
        <v>60</v>
      </c>
      <c r="H73" t="s">
        <v>49</v>
      </c>
      <c r="I73" t="s">
        <v>50</v>
      </c>
      <c r="J73" t="s">
        <v>51</v>
      </c>
      <c r="K73" t="s">
        <v>54</v>
      </c>
      <c r="L73" t="s">
        <v>134</v>
      </c>
      <c r="M73" t="s">
        <v>391</v>
      </c>
      <c r="N73" t="s">
        <v>54</v>
      </c>
      <c r="O73" t="s">
        <v>54</v>
      </c>
      <c r="P73" t="s">
        <v>51</v>
      </c>
      <c r="Q73" t="s">
        <v>55</v>
      </c>
      <c r="R73" s="1">
        <v>100549726</v>
      </c>
      <c r="S73" s="1">
        <v>72223772.469999999</v>
      </c>
      <c r="T73" s="1">
        <v>103199793.56</v>
      </c>
      <c r="U73" s="1">
        <v>0</v>
      </c>
      <c r="V73" t="s">
        <v>54</v>
      </c>
      <c r="W73">
        <v>673442.27</v>
      </c>
      <c r="X73">
        <v>66872.98</v>
      </c>
      <c r="Y73">
        <v>0</v>
      </c>
      <c r="Z73">
        <v>-26500068</v>
      </c>
      <c r="AA73">
        <v>28906244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248000</v>
      </c>
      <c r="AK73">
        <v>248000</v>
      </c>
      <c r="AL73">
        <v>29744203</v>
      </c>
      <c r="AM73">
        <v>30000000</v>
      </c>
      <c r="AN73">
        <v>255797</v>
      </c>
      <c r="AO73">
        <v>0</v>
      </c>
      <c r="AP73">
        <f t="shared" si="1"/>
        <v>-91.67592994786871</v>
      </c>
    </row>
    <row r="74" spans="1:42" x14ac:dyDescent="0.3">
      <c r="A74" t="s">
        <v>330</v>
      </c>
      <c r="B74" t="s">
        <v>392</v>
      </c>
      <c r="C74" t="s">
        <v>393</v>
      </c>
      <c r="D74" t="s">
        <v>394</v>
      </c>
      <c r="E74" t="s">
        <v>46</v>
      </c>
      <c r="F74" t="s">
        <v>71</v>
      </c>
      <c r="G74" t="s">
        <v>60</v>
      </c>
      <c r="H74" t="s">
        <v>49</v>
      </c>
      <c r="I74" t="s">
        <v>50</v>
      </c>
      <c r="J74" t="s">
        <v>51</v>
      </c>
      <c r="K74" t="s">
        <v>54</v>
      </c>
      <c r="L74" t="s">
        <v>134</v>
      </c>
      <c r="M74" t="s">
        <v>395</v>
      </c>
      <c r="N74" t="s">
        <v>54</v>
      </c>
      <c r="O74" t="s">
        <v>54</v>
      </c>
      <c r="P74" t="s">
        <v>51</v>
      </c>
      <c r="Q74" t="s">
        <v>396</v>
      </c>
      <c r="R74" s="1">
        <v>299508917.44</v>
      </c>
      <c r="S74" s="1">
        <v>55122088.689999998</v>
      </c>
      <c r="T74" s="1">
        <v>687534582.97000003</v>
      </c>
      <c r="U74" s="1">
        <v>124046687.11</v>
      </c>
      <c r="V74" t="s">
        <v>54</v>
      </c>
      <c r="W74">
        <v>428014.97</v>
      </c>
      <c r="X74">
        <v>209404.05</v>
      </c>
      <c r="Y74">
        <v>311854.32</v>
      </c>
      <c r="Z74">
        <v>36771132.82</v>
      </c>
      <c r="AA74">
        <v>586672269.13999999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3941551</v>
      </c>
      <c r="AK74">
        <v>3941551</v>
      </c>
      <c r="AL74">
        <v>574791209.91999996</v>
      </c>
      <c r="AM74">
        <v>522034715.57999998</v>
      </c>
      <c r="AN74">
        <v>0</v>
      </c>
      <c r="AO74">
        <v>0</v>
      </c>
      <c r="AP74">
        <f t="shared" si="1"/>
        <v>6.2677468757646624</v>
      </c>
    </row>
    <row r="75" spans="1:42" x14ac:dyDescent="0.3">
      <c r="A75" t="s">
        <v>330</v>
      </c>
      <c r="B75" t="s">
        <v>397</v>
      </c>
      <c r="C75" t="s">
        <v>398</v>
      </c>
      <c r="D75" t="s">
        <v>399</v>
      </c>
      <c r="E75" t="s">
        <v>46</v>
      </c>
      <c r="F75" t="s">
        <v>107</v>
      </c>
      <c r="G75" t="s">
        <v>60</v>
      </c>
      <c r="H75" t="s">
        <v>49</v>
      </c>
      <c r="I75" t="s">
        <v>50</v>
      </c>
      <c r="J75" t="s">
        <v>51</v>
      </c>
      <c r="K75" t="s">
        <v>51</v>
      </c>
      <c r="L75" t="s">
        <v>134</v>
      </c>
      <c r="M75" t="s">
        <v>400</v>
      </c>
      <c r="N75" t="s">
        <v>54</v>
      </c>
      <c r="O75" t="s">
        <v>54</v>
      </c>
      <c r="P75" t="s">
        <v>54</v>
      </c>
      <c r="Q75" t="s">
        <v>401</v>
      </c>
      <c r="R75" s="1">
        <v>2292756128.9299998</v>
      </c>
      <c r="S75" s="1">
        <v>975150306.65999997</v>
      </c>
      <c r="T75" s="1">
        <v>2529906856.04</v>
      </c>
      <c r="U75" s="1">
        <v>372533309.08999997</v>
      </c>
      <c r="V75" t="s">
        <v>54</v>
      </c>
      <c r="W75">
        <v>896119.71</v>
      </c>
      <c r="X75">
        <v>24792.52</v>
      </c>
      <c r="Y75">
        <v>25755.86</v>
      </c>
      <c r="Z75">
        <v>90460720</v>
      </c>
      <c r="AA75">
        <v>2248240620</v>
      </c>
      <c r="AC75">
        <v>0</v>
      </c>
      <c r="AD75">
        <v>0</v>
      </c>
      <c r="AE75">
        <v>0</v>
      </c>
      <c r="AF75">
        <v>64529800.390000001</v>
      </c>
      <c r="AG75">
        <v>43607600.030000001</v>
      </c>
      <c r="AH75">
        <v>0</v>
      </c>
      <c r="AI75">
        <v>0</v>
      </c>
      <c r="AJ75">
        <v>929456430</v>
      </c>
      <c r="AK75">
        <v>929456430</v>
      </c>
      <c r="AL75">
        <v>2074068686</v>
      </c>
      <c r="AM75">
        <v>2074068686</v>
      </c>
      <c r="AN75">
        <v>0</v>
      </c>
      <c r="AO75">
        <v>0</v>
      </c>
      <c r="AP75">
        <f t="shared" si="1"/>
        <v>4.0236227028048273</v>
      </c>
    </row>
    <row r="76" spans="1:42" x14ac:dyDescent="0.3">
      <c r="A76" t="s">
        <v>330</v>
      </c>
      <c r="B76" t="s">
        <v>402</v>
      </c>
      <c r="C76" t="s">
        <v>403</v>
      </c>
      <c r="D76" t="s">
        <v>404</v>
      </c>
      <c r="E76" t="s">
        <v>46</v>
      </c>
      <c r="F76" t="s">
        <v>75</v>
      </c>
      <c r="G76" t="s">
        <v>60</v>
      </c>
      <c r="H76" t="s">
        <v>49</v>
      </c>
      <c r="I76" t="s">
        <v>50</v>
      </c>
      <c r="J76" t="s">
        <v>51</v>
      </c>
      <c r="K76" t="s">
        <v>51</v>
      </c>
      <c r="L76" t="s">
        <v>134</v>
      </c>
      <c r="M76" t="s">
        <v>405</v>
      </c>
      <c r="N76" t="s">
        <v>54</v>
      </c>
      <c r="O76" t="s">
        <v>54</v>
      </c>
      <c r="P76" t="s">
        <v>51</v>
      </c>
      <c r="Q76" t="s">
        <v>55</v>
      </c>
      <c r="R76" s="1">
        <v>15958076.609999999</v>
      </c>
      <c r="S76" s="1">
        <v>15729760.24</v>
      </c>
      <c r="T76" s="1">
        <v>20282199.98</v>
      </c>
      <c r="U76" s="1">
        <v>0</v>
      </c>
      <c r="V76" t="s">
        <v>51</v>
      </c>
      <c r="W76">
        <v>327915.96999999997</v>
      </c>
      <c r="X76">
        <v>0</v>
      </c>
      <c r="Y76">
        <v>0</v>
      </c>
      <c r="Z76">
        <v>1866173.98</v>
      </c>
      <c r="AA76">
        <v>60377796.909999996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18000000</v>
      </c>
      <c r="AJ76">
        <v>32197937.120000001</v>
      </c>
      <c r="AK76">
        <v>32197937.120000001</v>
      </c>
      <c r="AL76">
        <v>32197937.120000001</v>
      </c>
      <c r="AM76">
        <v>32197937.120000001</v>
      </c>
      <c r="AN76">
        <v>0</v>
      </c>
      <c r="AO76">
        <v>0</v>
      </c>
      <c r="AP76">
        <f t="shared" si="1"/>
        <v>3.0908282108765008</v>
      </c>
    </row>
    <row r="77" spans="1:42" x14ac:dyDescent="0.3">
      <c r="A77" t="s">
        <v>330</v>
      </c>
      <c r="B77" t="s">
        <v>406</v>
      </c>
      <c r="C77" t="s">
        <v>407</v>
      </c>
      <c r="D77" t="s">
        <v>408</v>
      </c>
      <c r="E77" t="s">
        <v>46</v>
      </c>
      <c r="F77" t="s">
        <v>409</v>
      </c>
      <c r="G77" t="s">
        <v>60</v>
      </c>
      <c r="H77" t="s">
        <v>49</v>
      </c>
      <c r="I77" t="s">
        <v>373</v>
      </c>
      <c r="J77" t="s">
        <v>54</v>
      </c>
      <c r="K77" t="s">
        <v>51</v>
      </c>
      <c r="L77" t="s">
        <v>134</v>
      </c>
      <c r="M77" t="s">
        <v>410</v>
      </c>
      <c r="N77" t="s">
        <v>54</v>
      </c>
      <c r="O77" t="s">
        <v>54</v>
      </c>
      <c r="P77" t="s">
        <v>54</v>
      </c>
      <c r="Q77" t="s">
        <v>411</v>
      </c>
      <c r="R77" s="1">
        <v>31181843.170000002</v>
      </c>
      <c r="S77" s="1">
        <v>35837828.899999999</v>
      </c>
      <c r="T77" s="1">
        <v>64043261.359999999</v>
      </c>
      <c r="U77" s="1">
        <v>0</v>
      </c>
      <c r="V77" t="s">
        <v>54</v>
      </c>
      <c r="W77">
        <v>716384.41</v>
      </c>
      <c r="X77">
        <v>104728.96000000001</v>
      </c>
      <c r="Y77">
        <v>21395.24</v>
      </c>
      <c r="Z77">
        <v>174228036.25999999</v>
      </c>
      <c r="AA77">
        <v>1065392978.74</v>
      </c>
      <c r="AC77">
        <v>94835083.099999994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57773215</v>
      </c>
      <c r="AK77">
        <v>57773215</v>
      </c>
      <c r="AL77">
        <v>566025355.62</v>
      </c>
      <c r="AM77">
        <v>566025355.62</v>
      </c>
      <c r="AN77">
        <v>0</v>
      </c>
      <c r="AO77">
        <v>0</v>
      </c>
      <c r="AP77">
        <f t="shared" si="1"/>
        <v>16.353405713828987</v>
      </c>
    </row>
    <row r="78" spans="1:42" x14ac:dyDescent="0.3">
      <c r="A78" t="s">
        <v>330</v>
      </c>
      <c r="B78" t="s">
        <v>412</v>
      </c>
      <c r="C78" t="s">
        <v>413</v>
      </c>
      <c r="D78" t="s">
        <v>414</v>
      </c>
      <c r="E78" t="s">
        <v>46</v>
      </c>
      <c r="F78" t="s">
        <v>409</v>
      </c>
      <c r="G78" t="s">
        <v>60</v>
      </c>
      <c r="H78" t="s">
        <v>49</v>
      </c>
      <c r="I78" t="s">
        <v>50</v>
      </c>
      <c r="J78" t="s">
        <v>51</v>
      </c>
      <c r="K78" t="s">
        <v>54</v>
      </c>
      <c r="L78" t="s">
        <v>134</v>
      </c>
      <c r="M78" t="s">
        <v>415</v>
      </c>
      <c r="N78" t="s">
        <v>51</v>
      </c>
      <c r="O78" t="s">
        <v>54</v>
      </c>
      <c r="P78" t="s">
        <v>51</v>
      </c>
      <c r="Q78" t="s">
        <v>55</v>
      </c>
      <c r="R78" s="1">
        <v>51831969</v>
      </c>
      <c r="S78" s="1">
        <v>19629027</v>
      </c>
      <c r="T78" s="1">
        <v>60332471.649999999</v>
      </c>
      <c r="U78" s="1">
        <v>327950</v>
      </c>
      <c r="V78" t="s">
        <v>54</v>
      </c>
      <c r="W78">
        <v>591686.76</v>
      </c>
      <c r="X78">
        <v>75404.84</v>
      </c>
      <c r="Y78">
        <v>21395.23</v>
      </c>
      <c r="Z78">
        <v>14013461.949999999</v>
      </c>
      <c r="AA78">
        <v>197508701.77000001</v>
      </c>
      <c r="AC78">
        <v>5170071.05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174080579.47</v>
      </c>
      <c r="AK78">
        <v>174080579.47</v>
      </c>
      <c r="AL78">
        <v>174080579.47</v>
      </c>
      <c r="AM78">
        <v>174080579.47</v>
      </c>
      <c r="AN78">
        <v>0</v>
      </c>
      <c r="AO78">
        <v>0</v>
      </c>
      <c r="AP78">
        <f t="shared" si="1"/>
        <v>7.095111164427963</v>
      </c>
    </row>
    <row r="79" spans="1:42" x14ac:dyDescent="0.3">
      <c r="A79" t="s">
        <v>330</v>
      </c>
      <c r="B79" t="s">
        <v>416</v>
      </c>
      <c r="C79" t="s">
        <v>417</v>
      </c>
      <c r="D79" t="s">
        <v>418</v>
      </c>
      <c r="E79" t="s">
        <v>46</v>
      </c>
      <c r="F79" t="s">
        <v>409</v>
      </c>
      <c r="G79" t="s">
        <v>60</v>
      </c>
      <c r="H79" t="s">
        <v>49</v>
      </c>
      <c r="I79" t="s">
        <v>50</v>
      </c>
      <c r="J79" t="s">
        <v>51</v>
      </c>
      <c r="K79" t="s">
        <v>54</v>
      </c>
      <c r="L79" t="s">
        <v>134</v>
      </c>
      <c r="M79" t="s">
        <v>419</v>
      </c>
      <c r="N79" t="s">
        <v>54</v>
      </c>
      <c r="O79" t="s">
        <v>54</v>
      </c>
      <c r="P79" t="s">
        <v>54</v>
      </c>
      <c r="Q79" t="s">
        <v>55</v>
      </c>
      <c r="R79" s="1">
        <v>234365960.09999999</v>
      </c>
      <c r="S79" s="1">
        <v>6859542.0800000001</v>
      </c>
      <c r="T79" s="1">
        <v>109020973.31999999</v>
      </c>
      <c r="U79" s="1">
        <v>0</v>
      </c>
      <c r="V79" t="s">
        <v>54</v>
      </c>
      <c r="W79">
        <v>715997.49</v>
      </c>
      <c r="X79">
        <v>0</v>
      </c>
      <c r="Y79">
        <v>13777.72</v>
      </c>
      <c r="Z79">
        <v>104989869.34</v>
      </c>
      <c r="AA79">
        <v>387562396.51999998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136850013</v>
      </c>
      <c r="AK79">
        <v>136850013</v>
      </c>
      <c r="AL79">
        <v>112283997.86</v>
      </c>
      <c r="AM79">
        <v>112283997.86</v>
      </c>
      <c r="AN79">
        <v>0</v>
      </c>
      <c r="AO79">
        <v>0</v>
      </c>
      <c r="AP79">
        <f t="shared" si="1"/>
        <v>27.08979774166043</v>
      </c>
    </row>
    <row r="80" spans="1:42" x14ac:dyDescent="0.3">
      <c r="A80" t="s">
        <v>330</v>
      </c>
      <c r="B80" t="s">
        <v>420</v>
      </c>
      <c r="C80" t="s">
        <v>421</v>
      </c>
      <c r="D80" t="s">
        <v>422</v>
      </c>
      <c r="E80" t="s">
        <v>46</v>
      </c>
      <c r="F80" t="s">
        <v>409</v>
      </c>
      <c r="G80" t="s">
        <v>60</v>
      </c>
      <c r="H80" t="s">
        <v>49</v>
      </c>
      <c r="I80" t="s">
        <v>50</v>
      </c>
      <c r="J80" t="s">
        <v>51</v>
      </c>
      <c r="K80" t="s">
        <v>54</v>
      </c>
      <c r="L80" t="s">
        <v>134</v>
      </c>
      <c r="M80" t="s">
        <v>98</v>
      </c>
      <c r="N80" t="s">
        <v>51</v>
      </c>
      <c r="O80" t="s">
        <v>54</v>
      </c>
      <c r="P80" t="s">
        <v>54</v>
      </c>
      <c r="Q80" t="s">
        <v>423</v>
      </c>
      <c r="R80" s="1">
        <v>10065218.949999999</v>
      </c>
      <c r="S80" s="1">
        <v>5831363.7999999998</v>
      </c>
      <c r="T80" s="1">
        <v>14208086.470000001</v>
      </c>
      <c r="U80" s="1">
        <v>768850.49</v>
      </c>
      <c r="V80" t="s">
        <v>54</v>
      </c>
      <c r="W80">
        <v>624558.16</v>
      </c>
      <c r="X80">
        <v>79594</v>
      </c>
      <c r="Y80">
        <v>21329.22</v>
      </c>
      <c r="Z80">
        <v>-629528.41</v>
      </c>
      <c r="AA80">
        <v>14520896.810000001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7575212</v>
      </c>
      <c r="AK80">
        <v>7575212</v>
      </c>
      <c r="AL80">
        <v>7575212.6100000003</v>
      </c>
      <c r="AM80">
        <v>7575212.6100000003</v>
      </c>
      <c r="AN80">
        <v>0</v>
      </c>
      <c r="AO80">
        <v>0</v>
      </c>
      <c r="AP80">
        <f t="shared" si="1"/>
        <v>-4.3353273440140914</v>
      </c>
    </row>
    <row r="81" spans="1:42" x14ac:dyDescent="0.3">
      <c r="A81" t="s">
        <v>330</v>
      </c>
      <c r="B81" t="s">
        <v>424</v>
      </c>
      <c r="C81" t="s">
        <v>425</v>
      </c>
      <c r="D81" t="s">
        <v>426</v>
      </c>
      <c r="E81" t="s">
        <v>46</v>
      </c>
      <c r="F81" t="s">
        <v>139</v>
      </c>
      <c r="G81" t="s">
        <v>60</v>
      </c>
      <c r="H81" t="s">
        <v>49</v>
      </c>
      <c r="I81" t="s">
        <v>50</v>
      </c>
      <c r="J81" t="s">
        <v>51</v>
      </c>
      <c r="K81" t="s">
        <v>51</v>
      </c>
      <c r="L81" t="s">
        <v>134</v>
      </c>
      <c r="M81" t="s">
        <v>117</v>
      </c>
      <c r="N81" t="s">
        <v>54</v>
      </c>
      <c r="O81" t="s">
        <v>54</v>
      </c>
      <c r="P81" t="s">
        <v>51</v>
      </c>
      <c r="Q81" t="s">
        <v>55</v>
      </c>
      <c r="R81" s="1">
        <v>386191.02</v>
      </c>
      <c r="S81" s="1">
        <v>378614.51</v>
      </c>
      <c r="T81" s="1">
        <v>1290646.22</v>
      </c>
      <c r="U81" s="1">
        <v>0</v>
      </c>
      <c r="V81" t="s">
        <v>51</v>
      </c>
      <c r="W81">
        <v>199511.49</v>
      </c>
      <c r="X81">
        <v>0</v>
      </c>
      <c r="Y81">
        <v>0</v>
      </c>
      <c r="Z81">
        <v>-1029544.37</v>
      </c>
      <c r="AA81">
        <v>-1493762.37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318750</v>
      </c>
      <c r="AI81">
        <v>162500</v>
      </c>
      <c r="AJ81">
        <v>1930250</v>
      </c>
      <c r="AK81">
        <v>1930250</v>
      </c>
      <c r="AL81">
        <v>1930250</v>
      </c>
      <c r="AM81">
        <v>1930250</v>
      </c>
      <c r="AN81">
        <v>0</v>
      </c>
      <c r="AO81">
        <v>0</v>
      </c>
      <c r="AP81">
        <f t="shared" si="1"/>
        <v>68.92290170624662</v>
      </c>
    </row>
    <row r="82" spans="1:42" x14ac:dyDescent="0.3">
      <c r="A82" t="s">
        <v>330</v>
      </c>
      <c r="B82" t="s">
        <v>427</v>
      </c>
      <c r="C82" t="s">
        <v>428</v>
      </c>
      <c r="D82" t="s">
        <v>429</v>
      </c>
      <c r="E82" t="s">
        <v>46</v>
      </c>
      <c r="F82" t="s">
        <v>409</v>
      </c>
      <c r="G82" t="s">
        <v>60</v>
      </c>
      <c r="H82" t="s">
        <v>49</v>
      </c>
      <c r="I82" t="s">
        <v>50</v>
      </c>
      <c r="J82" t="s">
        <v>51</v>
      </c>
      <c r="K82" t="s">
        <v>54</v>
      </c>
      <c r="L82" t="s">
        <v>134</v>
      </c>
      <c r="M82" t="s">
        <v>430</v>
      </c>
      <c r="N82" t="s">
        <v>51</v>
      </c>
      <c r="O82" t="s">
        <v>54</v>
      </c>
      <c r="P82" t="s">
        <v>51</v>
      </c>
      <c r="Q82" t="s">
        <v>55</v>
      </c>
      <c r="R82" s="1">
        <v>24475006.18</v>
      </c>
      <c r="S82" s="1">
        <v>3619219.29</v>
      </c>
      <c r="T82" s="1">
        <v>13752868.949999999</v>
      </c>
      <c r="U82" s="1">
        <v>1821286.26</v>
      </c>
      <c r="V82" t="s">
        <v>54</v>
      </c>
      <c r="W82">
        <v>610803.22</v>
      </c>
      <c r="X82">
        <v>0</v>
      </c>
      <c r="Y82">
        <v>0</v>
      </c>
      <c r="Z82">
        <v>17304561.859999999</v>
      </c>
      <c r="AA82">
        <v>42329035.399999999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21270415</v>
      </c>
      <c r="AK82">
        <v>21270415</v>
      </c>
      <c r="AL82">
        <v>21270414.68</v>
      </c>
      <c r="AM82">
        <v>21270414.68</v>
      </c>
      <c r="AN82">
        <v>0</v>
      </c>
      <c r="AO82">
        <v>0</v>
      </c>
      <c r="AP82">
        <f t="shared" si="1"/>
        <v>40.881068270220965</v>
      </c>
    </row>
    <row r="83" spans="1:42" x14ac:dyDescent="0.3">
      <c r="A83" t="s">
        <v>330</v>
      </c>
      <c r="B83" t="s">
        <v>431</v>
      </c>
      <c r="C83" t="s">
        <v>431</v>
      </c>
      <c r="D83" t="s">
        <v>432</v>
      </c>
      <c r="E83" t="s">
        <v>70</v>
      </c>
      <c r="F83" t="s">
        <v>65</v>
      </c>
      <c r="G83" t="s">
        <v>60</v>
      </c>
      <c r="H83" t="s">
        <v>49</v>
      </c>
      <c r="I83" t="s">
        <v>50</v>
      </c>
      <c r="J83" t="s">
        <v>51</v>
      </c>
      <c r="K83" t="s">
        <v>51</v>
      </c>
      <c r="L83" t="s">
        <v>134</v>
      </c>
      <c r="M83" t="s">
        <v>433</v>
      </c>
      <c r="N83" t="s">
        <v>54</v>
      </c>
      <c r="O83" t="s">
        <v>54</v>
      </c>
      <c r="P83" t="s">
        <v>51</v>
      </c>
      <c r="Q83" t="s">
        <v>55</v>
      </c>
      <c r="R83" s="1">
        <v>1385020.27</v>
      </c>
      <c r="S83" s="1">
        <v>1209779.54</v>
      </c>
      <c r="T83" s="1">
        <v>1479461.84</v>
      </c>
      <c r="U83" s="1">
        <v>0</v>
      </c>
      <c r="V83" t="s">
        <v>51</v>
      </c>
      <c r="W83">
        <v>187442.3</v>
      </c>
      <c r="X83">
        <v>0</v>
      </c>
      <c r="Y83">
        <v>0</v>
      </c>
      <c r="Z83">
        <v>-7200331.1399999997</v>
      </c>
      <c r="AA83">
        <v>8244998.8600000003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4024.42</v>
      </c>
      <c r="AK83">
        <v>4024.42</v>
      </c>
      <c r="AL83">
        <v>4024.42</v>
      </c>
      <c r="AM83">
        <v>4024.42</v>
      </c>
      <c r="AN83">
        <v>0</v>
      </c>
      <c r="AO83">
        <v>0</v>
      </c>
      <c r="AP83">
        <f t="shared" si="1"/>
        <v>-87.329680237214731</v>
      </c>
    </row>
    <row r="84" spans="1:42" x14ac:dyDescent="0.3">
      <c r="A84" t="s">
        <v>330</v>
      </c>
      <c r="B84" t="s">
        <v>434</v>
      </c>
      <c r="C84" t="s">
        <v>435</v>
      </c>
      <c r="D84" t="s">
        <v>436</v>
      </c>
      <c r="E84" t="s">
        <v>46</v>
      </c>
      <c r="F84" t="s">
        <v>93</v>
      </c>
      <c r="G84" t="s">
        <v>48</v>
      </c>
      <c r="H84" t="s">
        <v>49</v>
      </c>
      <c r="I84" t="s">
        <v>50</v>
      </c>
      <c r="J84" t="s">
        <v>51</v>
      </c>
      <c r="K84" t="s">
        <v>51</v>
      </c>
      <c r="L84" t="s">
        <v>134</v>
      </c>
      <c r="M84" t="s">
        <v>437</v>
      </c>
      <c r="N84" t="s">
        <v>54</v>
      </c>
      <c r="O84" t="s">
        <v>54</v>
      </c>
      <c r="P84" t="s">
        <v>54</v>
      </c>
      <c r="Q84" t="s">
        <v>438</v>
      </c>
      <c r="R84" s="1">
        <v>653114421.62</v>
      </c>
      <c r="S84" s="1">
        <v>331318076.81999999</v>
      </c>
      <c r="T84" s="1">
        <v>818317931.78999996</v>
      </c>
      <c r="U84" s="1">
        <v>241820000</v>
      </c>
      <c r="V84" t="s">
        <v>54</v>
      </c>
      <c r="W84">
        <v>928239.58</v>
      </c>
      <c r="X84">
        <v>32984.300000000003</v>
      </c>
      <c r="Y84">
        <v>77201.899999999994</v>
      </c>
      <c r="Z84">
        <v>-165203510.16999999</v>
      </c>
      <c r="AA84">
        <v>5287056857.6599998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255000</v>
      </c>
      <c r="AK84">
        <v>255000</v>
      </c>
      <c r="AL84">
        <v>1851078531.3699999</v>
      </c>
      <c r="AM84">
        <v>1851078531.3699999</v>
      </c>
      <c r="AN84">
        <v>0</v>
      </c>
      <c r="AO84">
        <v>0</v>
      </c>
      <c r="AP84">
        <f t="shared" si="1"/>
        <v>-3.1246781454723651</v>
      </c>
    </row>
    <row r="85" spans="1:42" x14ac:dyDescent="0.3">
      <c r="A85" t="s">
        <v>439</v>
      </c>
      <c r="B85" t="s">
        <v>440</v>
      </c>
      <c r="C85" t="s">
        <v>303</v>
      </c>
      <c r="D85" t="s">
        <v>441</v>
      </c>
      <c r="E85" t="s">
        <v>46</v>
      </c>
      <c r="F85" t="s">
        <v>75</v>
      </c>
      <c r="G85" t="s">
        <v>60</v>
      </c>
      <c r="H85" t="s">
        <v>49</v>
      </c>
      <c r="I85" t="s">
        <v>50</v>
      </c>
      <c r="J85" t="s">
        <v>51</v>
      </c>
      <c r="K85" t="s">
        <v>51</v>
      </c>
      <c r="L85" t="s">
        <v>52</v>
      </c>
      <c r="M85" t="s">
        <v>442</v>
      </c>
      <c r="N85" t="s">
        <v>54</v>
      </c>
      <c r="O85" t="s">
        <v>54</v>
      </c>
      <c r="P85" t="s">
        <v>51</v>
      </c>
      <c r="Q85" t="s">
        <v>443</v>
      </c>
      <c r="R85" s="1">
        <v>19359297.32</v>
      </c>
      <c r="S85" s="1">
        <v>14516508.73</v>
      </c>
      <c r="T85" s="1">
        <v>23723451.43</v>
      </c>
      <c r="U85" s="1">
        <v>0</v>
      </c>
      <c r="V85" t="s">
        <v>51</v>
      </c>
      <c r="W85">
        <v>4737029.62</v>
      </c>
      <c r="X85">
        <v>0</v>
      </c>
      <c r="Y85">
        <v>0</v>
      </c>
      <c r="Z85">
        <v>794552.61</v>
      </c>
      <c r="AA85">
        <v>10901902.08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3159556</v>
      </c>
      <c r="AK85">
        <v>3159556</v>
      </c>
      <c r="AL85">
        <v>3159556.67</v>
      </c>
      <c r="AM85">
        <v>3159556.67</v>
      </c>
      <c r="AN85">
        <v>0</v>
      </c>
      <c r="AO85">
        <v>0</v>
      </c>
      <c r="AP85">
        <f t="shared" si="1"/>
        <v>7.2882016749869765</v>
      </c>
    </row>
    <row r="86" spans="1:42" x14ac:dyDescent="0.3">
      <c r="A86" t="s">
        <v>439</v>
      </c>
      <c r="B86" t="s">
        <v>444</v>
      </c>
      <c r="C86" t="s">
        <v>445</v>
      </c>
      <c r="D86" t="s">
        <v>446</v>
      </c>
      <c r="E86" t="s">
        <v>46</v>
      </c>
      <c r="F86" t="s">
        <v>71</v>
      </c>
      <c r="G86" t="s">
        <v>60</v>
      </c>
      <c r="H86" t="s">
        <v>49</v>
      </c>
      <c r="I86" t="s">
        <v>50</v>
      </c>
      <c r="J86" t="s">
        <v>51</v>
      </c>
      <c r="K86" t="s">
        <v>51</v>
      </c>
      <c r="L86" t="s">
        <v>134</v>
      </c>
      <c r="M86" t="s">
        <v>447</v>
      </c>
      <c r="N86" t="s">
        <v>54</v>
      </c>
      <c r="O86" t="s">
        <v>54</v>
      </c>
      <c r="P86" t="s">
        <v>54</v>
      </c>
      <c r="Q86" t="s">
        <v>448</v>
      </c>
      <c r="R86" s="1">
        <v>228438520.34999999</v>
      </c>
      <c r="S86" s="1">
        <v>54800724.710000001</v>
      </c>
      <c r="T86" s="1">
        <v>188550875.63999999</v>
      </c>
      <c r="U86" s="1">
        <v>4083775</v>
      </c>
      <c r="V86" t="s">
        <v>54</v>
      </c>
      <c r="W86">
        <v>35566517.009999998</v>
      </c>
      <c r="X86">
        <v>4879122.96</v>
      </c>
      <c r="Y86">
        <v>9110878.4499999993</v>
      </c>
      <c r="Z86">
        <v>99380415.620000005</v>
      </c>
      <c r="AA86">
        <v>520409975.76999998</v>
      </c>
      <c r="AB86">
        <v>520409975.76999998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25246979553</v>
      </c>
      <c r="AK86">
        <v>26742192753</v>
      </c>
      <c r="AL86">
        <v>439371000</v>
      </c>
      <c r="AM86">
        <v>463379995.58999997</v>
      </c>
      <c r="AN86">
        <v>0</v>
      </c>
      <c r="AO86">
        <v>0</v>
      </c>
      <c r="AP86">
        <f t="shared" si="1"/>
        <v>19.096562373339687</v>
      </c>
    </row>
    <row r="87" spans="1:42" x14ac:dyDescent="0.3">
      <c r="A87" t="s">
        <v>439</v>
      </c>
      <c r="B87" t="s">
        <v>449</v>
      </c>
      <c r="C87" t="s">
        <v>450</v>
      </c>
      <c r="D87" t="s">
        <v>451</v>
      </c>
      <c r="E87" t="s">
        <v>46</v>
      </c>
      <c r="F87" t="s">
        <v>71</v>
      </c>
      <c r="G87" t="s">
        <v>60</v>
      </c>
      <c r="H87" t="s">
        <v>49</v>
      </c>
      <c r="I87" t="s">
        <v>373</v>
      </c>
      <c r="J87" t="s">
        <v>54</v>
      </c>
      <c r="K87" t="s">
        <v>51</v>
      </c>
      <c r="L87" t="s">
        <v>134</v>
      </c>
      <c r="M87" t="s">
        <v>452</v>
      </c>
      <c r="N87" t="s">
        <v>54</v>
      </c>
      <c r="O87" t="s">
        <v>54</v>
      </c>
      <c r="P87" t="s">
        <v>54</v>
      </c>
      <c r="Q87" t="s">
        <v>453</v>
      </c>
      <c r="R87" s="1">
        <v>1185340080.29</v>
      </c>
      <c r="S87" s="1">
        <v>491936265.01999998</v>
      </c>
      <c r="T87" s="1">
        <v>5065251160.2399998</v>
      </c>
      <c r="U87" s="1">
        <v>249965387.56</v>
      </c>
      <c r="V87" t="s">
        <v>54</v>
      </c>
      <c r="W87">
        <v>763612.13</v>
      </c>
      <c r="X87">
        <v>158498.22</v>
      </c>
      <c r="Y87">
        <v>0</v>
      </c>
      <c r="Z87">
        <v>392487112.25999999</v>
      </c>
      <c r="AA87">
        <v>2357213667.21</v>
      </c>
      <c r="AB87">
        <v>2706860802</v>
      </c>
      <c r="AC87">
        <v>199969341.52000001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291793529</v>
      </c>
      <c r="AK87">
        <v>291793529</v>
      </c>
      <c r="AL87">
        <v>1477920000</v>
      </c>
      <c r="AM87">
        <v>1600000000</v>
      </c>
      <c r="AN87">
        <v>0</v>
      </c>
      <c r="AO87">
        <v>0</v>
      </c>
      <c r="AP87">
        <f t="shared" si="1"/>
        <v>16.650468208278635</v>
      </c>
    </row>
    <row r="88" spans="1:42" x14ac:dyDescent="0.3">
      <c r="A88" t="s">
        <v>439</v>
      </c>
      <c r="B88" t="s">
        <v>454</v>
      </c>
      <c r="C88" t="s">
        <v>455</v>
      </c>
      <c r="D88" t="s">
        <v>456</v>
      </c>
      <c r="E88" t="s">
        <v>46</v>
      </c>
      <c r="F88" t="s">
        <v>107</v>
      </c>
      <c r="G88" t="s">
        <v>60</v>
      </c>
      <c r="H88" t="s">
        <v>49</v>
      </c>
      <c r="I88" t="s">
        <v>50</v>
      </c>
      <c r="J88" t="s">
        <v>51</v>
      </c>
      <c r="K88" t="s">
        <v>51</v>
      </c>
      <c r="L88" t="s">
        <v>134</v>
      </c>
      <c r="M88" t="s">
        <v>457</v>
      </c>
      <c r="N88" t="s">
        <v>54</v>
      </c>
      <c r="O88" t="s">
        <v>54</v>
      </c>
      <c r="P88" t="s">
        <v>54</v>
      </c>
      <c r="Q88" t="s">
        <v>458</v>
      </c>
      <c r="R88" s="1">
        <v>1275944356.0999999</v>
      </c>
      <c r="S88" s="1">
        <v>315136067.27999997</v>
      </c>
      <c r="T88" s="1">
        <v>1200693920.1800001</v>
      </c>
      <c r="U88" s="1">
        <v>0</v>
      </c>
      <c r="V88" t="s">
        <v>54</v>
      </c>
      <c r="W88">
        <v>722809.61</v>
      </c>
      <c r="X88">
        <v>54781.47</v>
      </c>
      <c r="Y88">
        <v>91704.99</v>
      </c>
      <c r="Z88">
        <v>202438661.34999999</v>
      </c>
      <c r="AA88">
        <v>4218159000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249280703</v>
      </c>
      <c r="AI88">
        <v>179289971.19999999</v>
      </c>
      <c r="AJ88">
        <v>3015250810</v>
      </c>
      <c r="AK88">
        <v>3413141853</v>
      </c>
      <c r="AL88">
        <v>390685165</v>
      </c>
      <c r="AM88">
        <v>397891043</v>
      </c>
      <c r="AN88">
        <v>0</v>
      </c>
      <c r="AO88">
        <v>0</v>
      </c>
      <c r="AP88">
        <f t="shared" si="1"/>
        <v>4.79921836398296</v>
      </c>
    </row>
    <row r="89" spans="1:42" x14ac:dyDescent="0.3">
      <c r="A89" t="s">
        <v>439</v>
      </c>
      <c r="B89" t="s">
        <v>459</v>
      </c>
      <c r="C89" t="s">
        <v>460</v>
      </c>
      <c r="D89" t="s">
        <v>461</v>
      </c>
      <c r="E89" t="s">
        <v>46</v>
      </c>
      <c r="F89" t="s">
        <v>240</v>
      </c>
      <c r="G89" t="s">
        <v>48</v>
      </c>
      <c r="H89" t="s">
        <v>49</v>
      </c>
      <c r="I89" t="s">
        <v>50</v>
      </c>
      <c r="J89" t="s">
        <v>51</v>
      </c>
      <c r="K89" t="s">
        <v>51</v>
      </c>
      <c r="L89" t="s">
        <v>134</v>
      </c>
      <c r="M89" t="s">
        <v>462</v>
      </c>
      <c r="N89" t="s">
        <v>54</v>
      </c>
      <c r="O89" t="s">
        <v>54</v>
      </c>
      <c r="P89" t="s">
        <v>51</v>
      </c>
      <c r="Q89" t="s">
        <v>463</v>
      </c>
      <c r="R89" s="1">
        <v>85695694.439999998</v>
      </c>
      <c r="S89" s="1">
        <v>36943692.130000003</v>
      </c>
      <c r="T89" s="1">
        <v>87620575.209999993</v>
      </c>
      <c r="U89" s="1">
        <v>799246.52</v>
      </c>
      <c r="V89" t="s">
        <v>51</v>
      </c>
      <c r="W89">
        <v>453088.04</v>
      </c>
      <c r="X89">
        <v>0</v>
      </c>
      <c r="Y89">
        <v>0</v>
      </c>
      <c r="Z89">
        <v>2119642.44</v>
      </c>
      <c r="AA89">
        <v>21912715.390000001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1500000</v>
      </c>
      <c r="AJ89">
        <v>93473015</v>
      </c>
      <c r="AK89">
        <v>120370891</v>
      </c>
      <c r="AL89">
        <v>93473015.359999999</v>
      </c>
      <c r="AM89">
        <v>120370891.56999999</v>
      </c>
      <c r="AN89">
        <v>106526984.64</v>
      </c>
      <c r="AO89">
        <v>79629108.430000007</v>
      </c>
      <c r="AP89">
        <f t="shared" si="1"/>
        <v>9.6731162810032743</v>
      </c>
    </row>
    <row r="90" spans="1:42" x14ac:dyDescent="0.3">
      <c r="A90" t="s">
        <v>439</v>
      </c>
      <c r="B90" t="s">
        <v>464</v>
      </c>
      <c r="C90" t="s">
        <v>91</v>
      </c>
      <c r="D90" t="s">
        <v>465</v>
      </c>
      <c r="E90" t="s">
        <v>70</v>
      </c>
      <c r="F90" t="s">
        <v>93</v>
      </c>
      <c r="G90" t="s">
        <v>60</v>
      </c>
      <c r="H90" t="s">
        <v>49</v>
      </c>
      <c r="I90" t="s">
        <v>50</v>
      </c>
      <c r="J90" t="s">
        <v>51</v>
      </c>
      <c r="K90" t="s">
        <v>51</v>
      </c>
      <c r="L90" t="s">
        <v>134</v>
      </c>
      <c r="M90" t="s">
        <v>466</v>
      </c>
      <c r="N90" t="s">
        <v>54</v>
      </c>
      <c r="O90" t="s">
        <v>54</v>
      </c>
      <c r="P90" t="s">
        <v>54</v>
      </c>
      <c r="Q90" t="s">
        <v>467</v>
      </c>
      <c r="R90" s="1">
        <v>3827365.16</v>
      </c>
      <c r="S90" s="1">
        <v>1430113.25</v>
      </c>
      <c r="T90" s="1">
        <v>3974715.21</v>
      </c>
      <c r="U90" s="1">
        <v>0</v>
      </c>
      <c r="V90" t="s">
        <v>51</v>
      </c>
      <c r="W90">
        <v>95433.59</v>
      </c>
      <c r="X90">
        <v>0</v>
      </c>
      <c r="Y90">
        <v>632934.79</v>
      </c>
      <c r="Z90">
        <v>-147350.04999999999</v>
      </c>
      <c r="AA90">
        <v>14717291.91</v>
      </c>
      <c r="AB90">
        <v>14717291.91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68602271495</v>
      </c>
      <c r="AK90">
        <v>68602271495</v>
      </c>
      <c r="AL90">
        <v>4525000</v>
      </c>
      <c r="AM90">
        <v>4525000</v>
      </c>
      <c r="AN90">
        <v>0</v>
      </c>
      <c r="AO90">
        <v>0</v>
      </c>
      <c r="AP90">
        <f t="shared" si="1"/>
        <v>-1.0012035563409571</v>
      </c>
    </row>
    <row r="91" spans="1:42" x14ac:dyDescent="0.3">
      <c r="A91" t="s">
        <v>439</v>
      </c>
      <c r="B91" t="s">
        <v>468</v>
      </c>
      <c r="C91" t="s">
        <v>469</v>
      </c>
      <c r="D91" t="s">
        <v>470</v>
      </c>
      <c r="E91" t="s">
        <v>46</v>
      </c>
      <c r="F91" t="s">
        <v>150</v>
      </c>
      <c r="G91" t="s">
        <v>48</v>
      </c>
      <c r="H91" t="s">
        <v>363</v>
      </c>
      <c r="I91" t="s">
        <v>50</v>
      </c>
      <c r="J91" t="s">
        <v>51</v>
      </c>
      <c r="K91" t="s">
        <v>51</v>
      </c>
      <c r="L91" t="s">
        <v>134</v>
      </c>
      <c r="M91" t="s">
        <v>471</v>
      </c>
      <c r="N91" t="s">
        <v>54</v>
      </c>
      <c r="O91" t="s">
        <v>54</v>
      </c>
      <c r="P91" t="s">
        <v>51</v>
      </c>
      <c r="Q91" t="s">
        <v>472</v>
      </c>
      <c r="R91" s="1">
        <v>240576</v>
      </c>
      <c r="S91" s="1">
        <v>2240252.56</v>
      </c>
      <c r="T91" s="1">
        <v>2343475.62</v>
      </c>
      <c r="U91" s="1">
        <v>0</v>
      </c>
      <c r="V91" t="s">
        <v>51</v>
      </c>
      <c r="W91">
        <v>1787799.94</v>
      </c>
      <c r="X91">
        <v>0</v>
      </c>
      <c r="Y91">
        <v>0</v>
      </c>
      <c r="Z91">
        <v>1815812.38</v>
      </c>
      <c r="AA91">
        <v>8445906.5800000001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10261718.960000001</v>
      </c>
      <c r="AN91">
        <v>0</v>
      </c>
      <c r="AO91">
        <v>42000000</v>
      </c>
      <c r="AP91">
        <f t="shared" si="1"/>
        <v>21.499318785976911</v>
      </c>
    </row>
    <row r="92" spans="1:42" x14ac:dyDescent="0.3">
      <c r="A92" t="s">
        <v>473</v>
      </c>
      <c r="B92" t="s">
        <v>474</v>
      </c>
      <c r="C92" t="s">
        <v>475</v>
      </c>
      <c r="D92" t="s">
        <v>476</v>
      </c>
      <c r="E92" t="s">
        <v>46</v>
      </c>
      <c r="F92" t="s">
        <v>93</v>
      </c>
      <c r="G92" t="s">
        <v>60</v>
      </c>
      <c r="H92" t="s">
        <v>49</v>
      </c>
      <c r="I92" t="s">
        <v>50</v>
      </c>
      <c r="J92" t="s">
        <v>51</v>
      </c>
      <c r="K92" t="s">
        <v>51</v>
      </c>
      <c r="L92" t="s">
        <v>52</v>
      </c>
      <c r="M92" t="s">
        <v>477</v>
      </c>
      <c r="N92" t="s">
        <v>54</v>
      </c>
      <c r="O92" t="s">
        <v>54</v>
      </c>
      <c r="P92" t="s">
        <v>54</v>
      </c>
      <c r="Q92" t="s">
        <v>478</v>
      </c>
      <c r="R92" s="1">
        <v>3768285.31</v>
      </c>
      <c r="S92" s="1">
        <v>67137141.859999999</v>
      </c>
      <c r="T92" s="1">
        <v>601348873.39999998</v>
      </c>
      <c r="U92" s="1">
        <v>291778988.33999997</v>
      </c>
      <c r="V92" t="s">
        <v>51</v>
      </c>
      <c r="W92">
        <v>1108154.3400000001</v>
      </c>
      <c r="X92">
        <v>0</v>
      </c>
      <c r="Y92">
        <v>0</v>
      </c>
      <c r="Z92">
        <v>146950636.65000001</v>
      </c>
      <c r="AA92">
        <v>522204264.81</v>
      </c>
      <c r="AB92">
        <v>0</v>
      </c>
      <c r="AC92">
        <v>0</v>
      </c>
      <c r="AD92">
        <v>351858350.23000002</v>
      </c>
      <c r="AE92">
        <v>312898396.06</v>
      </c>
      <c r="AF92">
        <v>0</v>
      </c>
      <c r="AG92" s="14">
        <v>0</v>
      </c>
      <c r="AH92">
        <v>0</v>
      </c>
      <c r="AI92">
        <v>0</v>
      </c>
      <c r="AJ92">
        <v>196040923.41999999</v>
      </c>
      <c r="AK92">
        <v>196040923.41999999</v>
      </c>
      <c r="AL92">
        <v>187163774.28999999</v>
      </c>
      <c r="AM92">
        <v>187163774.28999999</v>
      </c>
      <c r="AN92">
        <v>8877149.1300000008</v>
      </c>
      <c r="AO92">
        <v>8877149.1300000008</v>
      </c>
      <c r="AP92">
        <f t="shared" si="1"/>
        <v>28.140451266415234</v>
      </c>
    </row>
    <row r="93" spans="1:42" x14ac:dyDescent="0.3">
      <c r="A93" t="s">
        <v>473</v>
      </c>
      <c r="B93" t="s">
        <v>479</v>
      </c>
      <c r="C93" t="s">
        <v>480</v>
      </c>
      <c r="D93" t="s">
        <v>481</v>
      </c>
      <c r="E93" t="s">
        <v>46</v>
      </c>
      <c r="F93" t="s">
        <v>150</v>
      </c>
      <c r="G93" t="s">
        <v>60</v>
      </c>
      <c r="H93" t="s">
        <v>49</v>
      </c>
      <c r="I93" t="s">
        <v>50</v>
      </c>
      <c r="J93" t="s">
        <v>51</v>
      </c>
      <c r="K93" t="s">
        <v>51</v>
      </c>
      <c r="L93" t="s">
        <v>52</v>
      </c>
      <c r="M93" t="s">
        <v>482</v>
      </c>
      <c r="N93" t="s">
        <v>54</v>
      </c>
      <c r="O93" t="s">
        <v>54</v>
      </c>
      <c r="P93" t="s">
        <v>54</v>
      </c>
      <c r="Q93" t="s">
        <v>483</v>
      </c>
      <c r="R93" s="1">
        <v>-112059.96</v>
      </c>
      <c r="S93" s="1">
        <v>5762687.8600000003</v>
      </c>
      <c r="T93" s="1">
        <v>6600428.3799999999</v>
      </c>
      <c r="U93" s="1">
        <v>0</v>
      </c>
      <c r="V93" t="s">
        <v>51</v>
      </c>
      <c r="W93">
        <v>509842.36</v>
      </c>
      <c r="X93">
        <v>0</v>
      </c>
      <c r="Y93">
        <v>0</v>
      </c>
      <c r="Z93">
        <v>1310016.03</v>
      </c>
      <c r="AA93">
        <v>1972373.89</v>
      </c>
      <c r="AB93">
        <v>0</v>
      </c>
      <c r="AC93">
        <v>0</v>
      </c>
      <c r="AD93">
        <v>4558969.2</v>
      </c>
      <c r="AE93">
        <v>8094138.8600000003</v>
      </c>
      <c r="AF93">
        <v>0</v>
      </c>
      <c r="AG93" s="14">
        <v>0</v>
      </c>
      <c r="AH93">
        <v>0</v>
      </c>
      <c r="AI93">
        <v>0</v>
      </c>
      <c r="AJ93">
        <v>9000000</v>
      </c>
      <c r="AK93">
        <v>9000000</v>
      </c>
      <c r="AL93">
        <v>9000000</v>
      </c>
      <c r="AM93">
        <v>9000000</v>
      </c>
      <c r="AN93">
        <v>0</v>
      </c>
      <c r="AO93">
        <v>0</v>
      </c>
      <c r="AP93">
        <f t="shared" si="1"/>
        <v>66.418240306354903</v>
      </c>
    </row>
    <row r="94" spans="1:42" x14ac:dyDescent="0.3">
      <c r="A94" t="s">
        <v>473</v>
      </c>
      <c r="B94" t="s">
        <v>484</v>
      </c>
      <c r="C94" t="s">
        <v>485</v>
      </c>
      <c r="D94" t="s">
        <v>486</v>
      </c>
      <c r="E94" t="s">
        <v>46</v>
      </c>
      <c r="F94" t="s">
        <v>121</v>
      </c>
      <c r="G94" t="s">
        <v>60</v>
      </c>
      <c r="H94" t="s">
        <v>49</v>
      </c>
      <c r="I94" t="s">
        <v>50</v>
      </c>
      <c r="J94" t="s">
        <v>51</v>
      </c>
      <c r="K94" t="s">
        <v>51</v>
      </c>
      <c r="L94" t="s">
        <v>52</v>
      </c>
      <c r="M94" t="s">
        <v>462</v>
      </c>
      <c r="N94" t="s">
        <v>54</v>
      </c>
      <c r="O94" t="s">
        <v>54</v>
      </c>
      <c r="P94" t="s">
        <v>54</v>
      </c>
      <c r="Q94" t="s">
        <v>487</v>
      </c>
      <c r="R94" s="1">
        <v>3285584.49</v>
      </c>
      <c r="S94" s="1">
        <v>38864423.299999997</v>
      </c>
      <c r="T94" s="1">
        <v>54343375.850000001</v>
      </c>
      <c r="U94" s="1">
        <v>0</v>
      </c>
      <c r="V94" t="s">
        <v>51</v>
      </c>
      <c r="W94">
        <v>240497.4</v>
      </c>
      <c r="X94">
        <v>0</v>
      </c>
      <c r="Y94">
        <v>0</v>
      </c>
      <c r="Z94">
        <v>-185231.32</v>
      </c>
      <c r="AA94">
        <v>-47199477.869999997</v>
      </c>
      <c r="AB94">
        <v>0</v>
      </c>
      <c r="AC94">
        <v>0</v>
      </c>
      <c r="AD94">
        <v>27650145.390000001</v>
      </c>
      <c r="AE94">
        <v>74543497.370000005</v>
      </c>
      <c r="AF94">
        <v>0</v>
      </c>
      <c r="AG94" s="14">
        <v>0</v>
      </c>
      <c r="AH94">
        <v>0</v>
      </c>
      <c r="AI94">
        <v>0</v>
      </c>
      <c r="AJ94">
        <v>239994409</v>
      </c>
      <c r="AK94">
        <v>239995200</v>
      </c>
      <c r="AL94">
        <v>240000000</v>
      </c>
      <c r="AM94">
        <v>223479277</v>
      </c>
      <c r="AN94">
        <v>16516253.32</v>
      </c>
      <c r="AO94">
        <v>16516253.32</v>
      </c>
      <c r="AP94">
        <f t="shared" si="1"/>
        <v>0.39244357852893341</v>
      </c>
    </row>
    <row r="95" spans="1:42" x14ac:dyDescent="0.3">
      <c r="A95" t="s">
        <v>473</v>
      </c>
      <c r="B95" t="s">
        <v>488</v>
      </c>
      <c r="C95" t="s">
        <v>489</v>
      </c>
      <c r="D95" t="s">
        <v>490</v>
      </c>
      <c r="E95" t="s">
        <v>46</v>
      </c>
      <c r="F95" t="s">
        <v>240</v>
      </c>
      <c r="G95" t="s">
        <v>60</v>
      </c>
      <c r="H95" t="s">
        <v>49</v>
      </c>
      <c r="I95" t="s">
        <v>50</v>
      </c>
      <c r="J95" t="s">
        <v>51</v>
      </c>
      <c r="K95" t="s">
        <v>51</v>
      </c>
      <c r="L95" t="s">
        <v>52</v>
      </c>
      <c r="M95" t="s">
        <v>491</v>
      </c>
      <c r="N95" t="s">
        <v>54</v>
      </c>
      <c r="O95" t="s">
        <v>54</v>
      </c>
      <c r="P95" t="s">
        <v>51</v>
      </c>
      <c r="Q95" t="s">
        <v>492</v>
      </c>
      <c r="R95" s="1">
        <v>137440387.50999999</v>
      </c>
      <c r="S95" s="1">
        <v>46402937.020000003</v>
      </c>
      <c r="T95" s="1">
        <v>64601972.18</v>
      </c>
      <c r="U95" s="1">
        <v>0</v>
      </c>
      <c r="V95" t="s">
        <v>51</v>
      </c>
      <c r="W95">
        <v>479198.33</v>
      </c>
      <c r="X95">
        <v>0</v>
      </c>
      <c r="Y95">
        <v>0</v>
      </c>
      <c r="Z95">
        <v>-1963928.77</v>
      </c>
      <c r="AA95">
        <v>8758323.8200000003</v>
      </c>
      <c r="AB95">
        <v>8758323.8200000003</v>
      </c>
      <c r="AC95">
        <v>0</v>
      </c>
      <c r="AD95">
        <v>23951018.329999998</v>
      </c>
      <c r="AE95">
        <v>84446717.299999997</v>
      </c>
      <c r="AF95">
        <v>0</v>
      </c>
      <c r="AG95" s="14">
        <v>0</v>
      </c>
      <c r="AH95">
        <v>0</v>
      </c>
      <c r="AI95">
        <v>0</v>
      </c>
      <c r="AJ95">
        <v>221702474.55000001</v>
      </c>
      <c r="AK95">
        <v>221702474.55000001</v>
      </c>
      <c r="AL95">
        <v>221702474.55000001</v>
      </c>
      <c r="AM95">
        <v>221702474.55000001</v>
      </c>
      <c r="AN95">
        <v>0</v>
      </c>
      <c r="AO95">
        <v>2024</v>
      </c>
      <c r="AP95">
        <f t="shared" si="1"/>
        <v>-22.423568828493028</v>
      </c>
    </row>
    <row r="96" spans="1:42" x14ac:dyDescent="0.3">
      <c r="A96" t="s">
        <v>473</v>
      </c>
      <c r="B96" t="s">
        <v>493</v>
      </c>
      <c r="C96" t="s">
        <v>494</v>
      </c>
      <c r="D96" t="s">
        <v>495</v>
      </c>
      <c r="E96" t="s">
        <v>70</v>
      </c>
      <c r="F96" t="s">
        <v>71</v>
      </c>
      <c r="G96" t="s">
        <v>48</v>
      </c>
      <c r="H96" t="s">
        <v>76</v>
      </c>
      <c r="I96" t="s">
        <v>50</v>
      </c>
      <c r="J96" t="s">
        <v>51</v>
      </c>
      <c r="K96" t="s">
        <v>51</v>
      </c>
      <c r="L96" t="s">
        <v>134</v>
      </c>
      <c r="M96" t="s">
        <v>66</v>
      </c>
      <c r="N96" t="s">
        <v>51</v>
      </c>
      <c r="O96" t="s">
        <v>51</v>
      </c>
      <c r="P96" t="s">
        <v>51</v>
      </c>
      <c r="Q96" t="s">
        <v>55</v>
      </c>
      <c r="R96" s="1">
        <v>0</v>
      </c>
      <c r="S96" s="1">
        <v>0</v>
      </c>
      <c r="T96" s="1">
        <v>0</v>
      </c>
      <c r="U96" s="1">
        <v>0</v>
      </c>
      <c r="V96" t="s">
        <v>51</v>
      </c>
      <c r="W96">
        <v>0</v>
      </c>
      <c r="X96">
        <v>0</v>
      </c>
      <c r="Y96">
        <v>0</v>
      </c>
      <c r="Z96">
        <v>0</v>
      </c>
      <c r="AA96">
        <v>-425197217.69999999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1.24</v>
      </c>
      <c r="AM96">
        <v>1.24</v>
      </c>
      <c r="AN96">
        <v>0</v>
      </c>
      <c r="AO96">
        <v>0</v>
      </c>
      <c r="AP96">
        <f t="shared" si="1"/>
        <v>0</v>
      </c>
    </row>
    <row r="97" spans="1:42" x14ac:dyDescent="0.3">
      <c r="A97" t="s">
        <v>473</v>
      </c>
      <c r="B97" t="s">
        <v>496</v>
      </c>
      <c r="C97" t="s">
        <v>497</v>
      </c>
      <c r="D97" t="s">
        <v>498</v>
      </c>
      <c r="E97" t="s">
        <v>46</v>
      </c>
      <c r="F97" t="s">
        <v>75</v>
      </c>
      <c r="G97" t="s">
        <v>60</v>
      </c>
      <c r="H97" t="s">
        <v>49</v>
      </c>
      <c r="I97" t="s">
        <v>50</v>
      </c>
      <c r="J97" t="s">
        <v>51</v>
      </c>
      <c r="K97" t="s">
        <v>51</v>
      </c>
      <c r="L97" t="s">
        <v>134</v>
      </c>
      <c r="M97" t="s">
        <v>499</v>
      </c>
      <c r="N97" t="s">
        <v>54</v>
      </c>
      <c r="O97" t="s">
        <v>54</v>
      </c>
      <c r="P97" t="s">
        <v>54</v>
      </c>
      <c r="Q97" t="s">
        <v>500</v>
      </c>
      <c r="R97" s="1">
        <v>36113028.460000001</v>
      </c>
      <c r="S97" s="1">
        <v>14671226.83</v>
      </c>
      <c r="T97" s="1">
        <v>34890671</v>
      </c>
      <c r="U97" s="1">
        <v>1830220.8</v>
      </c>
      <c r="V97" t="s">
        <v>51</v>
      </c>
      <c r="W97">
        <v>426408.06</v>
      </c>
      <c r="X97">
        <v>0</v>
      </c>
      <c r="Y97">
        <v>168386.46</v>
      </c>
      <c r="Z97">
        <v>823698.66</v>
      </c>
      <c r="AA97">
        <v>252202182.28999999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23435689.940000001</v>
      </c>
      <c r="AK97">
        <v>23376621.640000001</v>
      </c>
      <c r="AL97">
        <v>23376622</v>
      </c>
      <c r="AM97">
        <v>23435689.940000001</v>
      </c>
      <c r="AN97">
        <v>0</v>
      </c>
      <c r="AO97">
        <v>0</v>
      </c>
      <c r="AP97">
        <f t="shared" si="1"/>
        <v>0.32660251093816972</v>
      </c>
    </row>
    <row r="98" spans="1:42" x14ac:dyDescent="0.3">
      <c r="A98" t="s">
        <v>473</v>
      </c>
      <c r="B98" t="s">
        <v>501</v>
      </c>
      <c r="C98" t="s">
        <v>502</v>
      </c>
      <c r="D98" t="s">
        <v>503</v>
      </c>
      <c r="E98" t="s">
        <v>46</v>
      </c>
      <c r="F98" t="s">
        <v>409</v>
      </c>
      <c r="G98" t="s">
        <v>60</v>
      </c>
      <c r="H98" t="s">
        <v>49</v>
      </c>
      <c r="I98" t="s">
        <v>373</v>
      </c>
      <c r="J98" t="s">
        <v>54</v>
      </c>
      <c r="K98" t="s">
        <v>51</v>
      </c>
      <c r="L98" t="s">
        <v>134</v>
      </c>
      <c r="M98" t="s">
        <v>359</v>
      </c>
      <c r="N98" t="s">
        <v>54</v>
      </c>
      <c r="O98" t="s">
        <v>54</v>
      </c>
      <c r="P98" t="s">
        <v>54</v>
      </c>
      <c r="Q98" t="s">
        <v>504</v>
      </c>
      <c r="R98" s="1">
        <v>19287584.649999999</v>
      </c>
      <c r="S98" s="1">
        <v>25061326.27</v>
      </c>
      <c r="T98" s="1">
        <v>58565486.159999996</v>
      </c>
      <c r="U98" s="1">
        <v>21027359.489999998</v>
      </c>
      <c r="V98" t="s">
        <v>51</v>
      </c>
      <c r="W98">
        <v>888466.76</v>
      </c>
      <c r="X98">
        <v>0</v>
      </c>
      <c r="Y98">
        <v>0</v>
      </c>
      <c r="Z98">
        <v>37486205.479999997</v>
      </c>
      <c r="AA98">
        <v>783558914.41999996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79676502</v>
      </c>
      <c r="AK98">
        <v>79676502</v>
      </c>
      <c r="AL98">
        <v>602350701.85000002</v>
      </c>
      <c r="AM98">
        <v>602350701.85000002</v>
      </c>
      <c r="AN98">
        <v>0</v>
      </c>
      <c r="AO98">
        <v>0</v>
      </c>
      <c r="AP98">
        <f t="shared" si="1"/>
        <v>4.7840953360536709</v>
      </c>
    </row>
    <row r="99" spans="1:42" x14ac:dyDescent="0.3">
      <c r="A99" t="s">
        <v>473</v>
      </c>
      <c r="B99" t="s">
        <v>505</v>
      </c>
      <c r="C99" t="s">
        <v>506</v>
      </c>
      <c r="D99" t="s">
        <v>507</v>
      </c>
      <c r="E99" t="s">
        <v>46</v>
      </c>
      <c r="F99" t="s">
        <v>240</v>
      </c>
      <c r="G99" t="s">
        <v>48</v>
      </c>
      <c r="H99" t="s">
        <v>76</v>
      </c>
      <c r="I99" t="s">
        <v>50</v>
      </c>
      <c r="J99" t="s">
        <v>51</v>
      </c>
      <c r="K99" t="s">
        <v>51</v>
      </c>
      <c r="L99" t="s">
        <v>134</v>
      </c>
      <c r="M99" t="s">
        <v>508</v>
      </c>
      <c r="N99" t="s">
        <v>54</v>
      </c>
      <c r="O99" t="s">
        <v>54</v>
      </c>
      <c r="P99" t="s">
        <v>51</v>
      </c>
      <c r="Q99" t="s">
        <v>509</v>
      </c>
      <c r="R99" s="1">
        <v>10685127.470000001</v>
      </c>
      <c r="S99" s="1">
        <v>10859558.17</v>
      </c>
      <c r="T99" s="1">
        <v>17278100.640000001</v>
      </c>
      <c r="U99" s="1">
        <v>0</v>
      </c>
      <c r="V99" t="s">
        <v>51</v>
      </c>
      <c r="W99">
        <v>267005.07</v>
      </c>
      <c r="X99">
        <v>0</v>
      </c>
      <c r="Y99">
        <v>14836.94</v>
      </c>
      <c r="Z99">
        <v>-6592973.1699999999</v>
      </c>
      <c r="AA99">
        <v>1465632.25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3380000</v>
      </c>
      <c r="AJ99">
        <v>0</v>
      </c>
      <c r="AK99">
        <v>10000000</v>
      </c>
      <c r="AL99">
        <v>0</v>
      </c>
      <c r="AM99">
        <v>4130000</v>
      </c>
      <c r="AN99">
        <v>0</v>
      </c>
      <c r="AO99">
        <v>5870000</v>
      </c>
      <c r="AP99">
        <f t="shared" si="1"/>
        <v>-449.83816165344342</v>
      </c>
    </row>
    <row r="100" spans="1:42" x14ac:dyDescent="0.3">
      <c r="A100" t="s">
        <v>473</v>
      </c>
      <c r="B100" t="s">
        <v>510</v>
      </c>
      <c r="C100" t="s">
        <v>511</v>
      </c>
      <c r="D100" t="s">
        <v>512</v>
      </c>
      <c r="E100" t="s">
        <v>46</v>
      </c>
      <c r="F100" t="s">
        <v>65</v>
      </c>
      <c r="G100" t="s">
        <v>60</v>
      </c>
      <c r="H100" t="s">
        <v>49</v>
      </c>
      <c r="I100" t="s">
        <v>50</v>
      </c>
      <c r="J100" t="s">
        <v>51</v>
      </c>
      <c r="K100" t="s">
        <v>51</v>
      </c>
      <c r="L100" t="s">
        <v>134</v>
      </c>
      <c r="M100" t="s">
        <v>513</v>
      </c>
      <c r="N100" t="s">
        <v>54</v>
      </c>
      <c r="O100" t="s">
        <v>54</v>
      </c>
      <c r="P100" t="s">
        <v>54</v>
      </c>
      <c r="Q100" t="s">
        <v>514</v>
      </c>
      <c r="R100" s="1">
        <v>68588577</v>
      </c>
      <c r="S100" s="1">
        <v>58285765</v>
      </c>
      <c r="T100" s="1">
        <v>62508621</v>
      </c>
      <c r="U100" s="1">
        <v>0</v>
      </c>
      <c r="V100" t="s">
        <v>51</v>
      </c>
      <c r="W100">
        <v>420000</v>
      </c>
      <c r="X100">
        <v>0</v>
      </c>
      <c r="Y100">
        <v>132000</v>
      </c>
      <c r="Z100">
        <v>-52937445</v>
      </c>
      <c r="AA100">
        <v>220753873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285854692</v>
      </c>
      <c r="AK100">
        <v>328022634</v>
      </c>
      <c r="AL100">
        <v>420447038.10000002</v>
      </c>
      <c r="AM100">
        <v>481302976</v>
      </c>
      <c r="AN100">
        <v>0</v>
      </c>
      <c r="AO100">
        <v>0</v>
      </c>
      <c r="AP100">
        <f t="shared" si="1"/>
        <v>-23.980301808793179</v>
      </c>
    </row>
    <row r="101" spans="1:42" x14ac:dyDescent="0.3">
      <c r="A101" t="s">
        <v>473</v>
      </c>
      <c r="B101" t="s">
        <v>515</v>
      </c>
      <c r="C101" t="s">
        <v>516</v>
      </c>
      <c r="D101" t="s">
        <v>517</v>
      </c>
      <c r="E101" t="s">
        <v>46</v>
      </c>
      <c r="F101" t="s">
        <v>409</v>
      </c>
      <c r="G101" t="s">
        <v>60</v>
      </c>
      <c r="H101" t="s">
        <v>49</v>
      </c>
      <c r="I101" t="s">
        <v>50</v>
      </c>
      <c r="J101" t="s">
        <v>51</v>
      </c>
      <c r="K101" t="s">
        <v>54</v>
      </c>
      <c r="L101" t="s">
        <v>134</v>
      </c>
      <c r="M101" t="s">
        <v>518</v>
      </c>
      <c r="N101" t="s">
        <v>51</v>
      </c>
      <c r="O101" t="s">
        <v>54</v>
      </c>
      <c r="P101" t="s">
        <v>51</v>
      </c>
      <c r="Q101" t="s">
        <v>504</v>
      </c>
      <c r="R101" s="1">
        <v>12136390.91</v>
      </c>
      <c r="S101" s="1">
        <v>1186958.8</v>
      </c>
      <c r="T101" s="1">
        <v>5755733.5300000003</v>
      </c>
      <c r="U101" s="1">
        <v>0</v>
      </c>
      <c r="V101" t="s">
        <v>51</v>
      </c>
      <c r="W101">
        <v>156757.48000000001</v>
      </c>
      <c r="X101">
        <v>0</v>
      </c>
      <c r="Y101">
        <v>0</v>
      </c>
      <c r="Z101">
        <v>4756432.6100000003</v>
      </c>
      <c r="AA101">
        <v>76628909.560000002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34696000</v>
      </c>
      <c r="AK101">
        <v>34696000</v>
      </c>
      <c r="AL101">
        <v>34696000</v>
      </c>
      <c r="AM101">
        <v>34696000</v>
      </c>
      <c r="AN101">
        <v>0</v>
      </c>
      <c r="AO101">
        <v>0</v>
      </c>
      <c r="AP101">
        <f t="shared" si="1"/>
        <v>6.2070994319392483</v>
      </c>
    </row>
    <row r="102" spans="1:42" x14ac:dyDescent="0.3">
      <c r="A102" t="s">
        <v>473</v>
      </c>
      <c r="B102" t="s">
        <v>519</v>
      </c>
      <c r="C102" t="s">
        <v>520</v>
      </c>
      <c r="D102" t="s">
        <v>521</v>
      </c>
      <c r="E102" t="s">
        <v>46</v>
      </c>
      <c r="F102" t="s">
        <v>71</v>
      </c>
      <c r="G102" t="s">
        <v>60</v>
      </c>
      <c r="H102" t="s">
        <v>49</v>
      </c>
      <c r="I102" t="s">
        <v>50</v>
      </c>
      <c r="J102" t="s">
        <v>51</v>
      </c>
      <c r="K102" t="s">
        <v>51</v>
      </c>
      <c r="L102" t="s">
        <v>134</v>
      </c>
      <c r="M102" t="s">
        <v>522</v>
      </c>
      <c r="N102" t="s">
        <v>54</v>
      </c>
      <c r="O102" t="s">
        <v>54</v>
      </c>
      <c r="P102" t="s">
        <v>51</v>
      </c>
      <c r="Q102" t="s">
        <v>523</v>
      </c>
      <c r="R102" s="1">
        <v>67149141.700000003</v>
      </c>
      <c r="S102" s="1">
        <v>34912880.640000001</v>
      </c>
      <c r="T102" s="1">
        <v>63689613.82</v>
      </c>
      <c r="U102" s="1">
        <v>0</v>
      </c>
      <c r="V102" t="s">
        <v>54</v>
      </c>
      <c r="W102">
        <v>448712.5</v>
      </c>
      <c r="X102">
        <v>6090.93</v>
      </c>
      <c r="Y102">
        <v>0</v>
      </c>
      <c r="Z102">
        <v>3573169.57</v>
      </c>
      <c r="AA102">
        <v>202753071.25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186394380</v>
      </c>
      <c r="AK102">
        <v>193195396</v>
      </c>
      <c r="AL102">
        <v>186394379.58000001</v>
      </c>
      <c r="AM102">
        <v>193195396.06999999</v>
      </c>
      <c r="AN102">
        <v>3199176.39</v>
      </c>
      <c r="AO102">
        <v>0</v>
      </c>
      <c r="AP102">
        <f t="shared" si="1"/>
        <v>1.7623257433147268</v>
      </c>
    </row>
    <row r="103" spans="1:42" x14ac:dyDescent="0.3">
      <c r="A103" t="s">
        <v>473</v>
      </c>
      <c r="B103" t="s">
        <v>524</v>
      </c>
      <c r="C103" t="s">
        <v>525</v>
      </c>
      <c r="D103" t="s">
        <v>526</v>
      </c>
      <c r="E103" t="s">
        <v>46</v>
      </c>
      <c r="F103" t="s">
        <v>139</v>
      </c>
      <c r="G103" t="s">
        <v>60</v>
      </c>
      <c r="H103" t="s">
        <v>49</v>
      </c>
      <c r="I103" t="s">
        <v>50</v>
      </c>
      <c r="J103" t="s">
        <v>51</v>
      </c>
      <c r="K103" t="s">
        <v>51</v>
      </c>
      <c r="L103" t="s">
        <v>134</v>
      </c>
      <c r="M103" t="s">
        <v>61</v>
      </c>
      <c r="N103" t="s">
        <v>54</v>
      </c>
      <c r="O103" t="s">
        <v>54</v>
      </c>
      <c r="P103" t="s">
        <v>51</v>
      </c>
      <c r="Q103" t="s">
        <v>527</v>
      </c>
      <c r="R103" s="1">
        <v>0</v>
      </c>
      <c r="S103" s="1">
        <v>478217.72</v>
      </c>
      <c r="T103" s="1">
        <v>908252.72</v>
      </c>
      <c r="U103" s="1">
        <v>7550.09</v>
      </c>
      <c r="V103" t="s">
        <v>51</v>
      </c>
      <c r="W103">
        <v>194114.4</v>
      </c>
      <c r="X103">
        <v>0</v>
      </c>
      <c r="Y103">
        <v>22387.200000000001</v>
      </c>
      <c r="Z103">
        <v>-886415.29</v>
      </c>
      <c r="AA103">
        <v>422532.88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159782.1</v>
      </c>
      <c r="AJ103">
        <v>1511301</v>
      </c>
      <c r="AK103">
        <v>2040000</v>
      </c>
      <c r="AL103">
        <v>8870000</v>
      </c>
      <c r="AM103">
        <v>2040000</v>
      </c>
      <c r="AN103">
        <v>0</v>
      </c>
      <c r="AO103">
        <v>368899</v>
      </c>
      <c r="AP103">
        <f t="shared" si="1"/>
        <v>-209.78610942656107</v>
      </c>
    </row>
    <row r="104" spans="1:42" x14ac:dyDescent="0.3">
      <c r="A104" t="s">
        <v>473</v>
      </c>
      <c r="B104" t="s">
        <v>528</v>
      </c>
      <c r="C104" t="s">
        <v>529</v>
      </c>
      <c r="D104" t="s">
        <v>530</v>
      </c>
      <c r="E104" t="s">
        <v>46</v>
      </c>
      <c r="F104" t="s">
        <v>133</v>
      </c>
      <c r="G104" t="s">
        <v>60</v>
      </c>
      <c r="H104" t="s">
        <v>49</v>
      </c>
      <c r="I104" t="s">
        <v>50</v>
      </c>
      <c r="J104" t="s">
        <v>51</v>
      </c>
      <c r="K104" t="s">
        <v>51</v>
      </c>
      <c r="L104" t="s">
        <v>134</v>
      </c>
      <c r="M104" t="s">
        <v>531</v>
      </c>
      <c r="N104" t="s">
        <v>54</v>
      </c>
      <c r="O104" t="s">
        <v>54</v>
      </c>
      <c r="P104" t="s">
        <v>54</v>
      </c>
      <c r="Q104" t="s">
        <v>532</v>
      </c>
      <c r="R104" s="1">
        <v>0</v>
      </c>
      <c r="S104" s="1">
        <v>10533207.779999999</v>
      </c>
      <c r="T104" s="1">
        <v>11434069.67</v>
      </c>
      <c r="U104" s="1">
        <v>0</v>
      </c>
      <c r="V104" t="s">
        <v>51</v>
      </c>
      <c r="W104">
        <v>389991.67</v>
      </c>
      <c r="X104">
        <v>0</v>
      </c>
      <c r="Y104">
        <v>0</v>
      </c>
      <c r="Z104">
        <v>-327241.99</v>
      </c>
      <c r="AA104">
        <v>224771075.02000001</v>
      </c>
      <c r="AB104">
        <v>224771075.02000001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388343079.02999997</v>
      </c>
      <c r="AK104">
        <v>388343079.02999997</v>
      </c>
      <c r="AL104">
        <v>347607531.64999998</v>
      </c>
      <c r="AM104">
        <v>347607531.64999998</v>
      </c>
      <c r="AN104">
        <v>40735547.380000003</v>
      </c>
      <c r="AO104">
        <v>40735547.380000003</v>
      </c>
      <c r="AP104">
        <f t="shared" si="1"/>
        <v>-0.14558901316411918</v>
      </c>
    </row>
    <row r="105" spans="1:42" x14ac:dyDescent="0.3">
      <c r="A105" t="s">
        <v>473</v>
      </c>
      <c r="B105" t="s">
        <v>533</v>
      </c>
      <c r="C105" t="s">
        <v>534</v>
      </c>
      <c r="D105" t="s">
        <v>535</v>
      </c>
      <c r="E105" t="s">
        <v>46</v>
      </c>
      <c r="F105" t="s">
        <v>409</v>
      </c>
      <c r="G105" t="s">
        <v>60</v>
      </c>
      <c r="H105" t="s">
        <v>49</v>
      </c>
      <c r="I105" t="s">
        <v>50</v>
      </c>
      <c r="J105" t="s">
        <v>51</v>
      </c>
      <c r="K105" t="s">
        <v>54</v>
      </c>
      <c r="L105" t="s">
        <v>134</v>
      </c>
      <c r="M105" t="s">
        <v>536</v>
      </c>
      <c r="N105" t="s">
        <v>54</v>
      </c>
      <c r="O105" t="s">
        <v>54</v>
      </c>
      <c r="P105" t="s">
        <v>54</v>
      </c>
      <c r="Q105" t="s">
        <v>504</v>
      </c>
      <c r="R105" s="1">
        <v>5454734.6399999997</v>
      </c>
      <c r="S105" s="1">
        <v>698121.06</v>
      </c>
      <c r="T105" s="1">
        <v>791019.2</v>
      </c>
      <c r="U105" s="1">
        <v>0</v>
      </c>
      <c r="V105" t="s">
        <v>51</v>
      </c>
      <c r="W105">
        <v>107797.56</v>
      </c>
      <c r="X105">
        <v>0</v>
      </c>
      <c r="Y105">
        <v>0</v>
      </c>
      <c r="Z105">
        <v>2116812.39</v>
      </c>
      <c r="AA105">
        <v>51670315.479999997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35156000</v>
      </c>
      <c r="AK105">
        <v>35156000</v>
      </c>
      <c r="AL105">
        <v>35156000</v>
      </c>
      <c r="AM105">
        <v>35156000</v>
      </c>
      <c r="AN105">
        <v>0</v>
      </c>
      <c r="AO105">
        <v>0</v>
      </c>
      <c r="AP105">
        <f t="shared" si="1"/>
        <v>4.0967669160436104</v>
      </c>
    </row>
    <row r="106" spans="1:42" x14ac:dyDescent="0.3">
      <c r="A106" t="s">
        <v>473</v>
      </c>
      <c r="B106" t="s">
        <v>537</v>
      </c>
      <c r="C106" t="s">
        <v>538</v>
      </c>
      <c r="D106" t="s">
        <v>539</v>
      </c>
      <c r="E106" t="s">
        <v>70</v>
      </c>
      <c r="F106" t="s">
        <v>47</v>
      </c>
      <c r="G106" t="s">
        <v>48</v>
      </c>
      <c r="H106" t="s">
        <v>76</v>
      </c>
      <c r="I106" t="s">
        <v>50</v>
      </c>
      <c r="J106" t="s">
        <v>51</v>
      </c>
      <c r="K106" t="s">
        <v>51</v>
      </c>
      <c r="L106" s="11" t="s">
        <v>134</v>
      </c>
      <c r="M106" t="s">
        <v>540</v>
      </c>
      <c r="N106" t="s">
        <v>51</v>
      </c>
      <c r="O106" t="s">
        <v>54</v>
      </c>
      <c r="P106" t="s">
        <v>51</v>
      </c>
      <c r="Q106" t="s">
        <v>541</v>
      </c>
      <c r="R106" s="1">
        <v>3443022.26</v>
      </c>
      <c r="S106" s="1">
        <v>2669788.5699999998</v>
      </c>
      <c r="T106" s="1">
        <v>19461684.27</v>
      </c>
      <c r="U106" s="1">
        <v>0</v>
      </c>
      <c r="V106" t="s">
        <v>51</v>
      </c>
      <c r="W106">
        <v>328428.32</v>
      </c>
      <c r="X106">
        <v>0</v>
      </c>
      <c r="Y106">
        <v>0</v>
      </c>
      <c r="Z106">
        <v>62664207.670000002</v>
      </c>
      <c r="AA106">
        <v>133119686.19</v>
      </c>
      <c r="AB106">
        <v>0</v>
      </c>
      <c r="AC106">
        <v>0</v>
      </c>
      <c r="AD106">
        <v>3673590.97</v>
      </c>
      <c r="AE106" s="14">
        <v>2609145.86</v>
      </c>
      <c r="AF106">
        <v>0</v>
      </c>
      <c r="AG106" s="14">
        <v>0</v>
      </c>
      <c r="AH106">
        <v>50000000</v>
      </c>
      <c r="AI106">
        <v>50000000</v>
      </c>
      <c r="AJ106">
        <v>100000000</v>
      </c>
      <c r="AK106">
        <v>100000000</v>
      </c>
      <c r="AL106">
        <v>25782441.329999998</v>
      </c>
      <c r="AM106">
        <v>33033564.84</v>
      </c>
      <c r="AN106">
        <v>32978837.289999999</v>
      </c>
      <c r="AO106">
        <v>49945272.450000003</v>
      </c>
      <c r="AP106">
        <f t="shared" si="1"/>
        <v>47.073584278556808</v>
      </c>
    </row>
    <row r="107" spans="1:42" x14ac:dyDescent="0.3">
      <c r="A107" t="s">
        <v>473</v>
      </c>
      <c r="B107" t="s">
        <v>542</v>
      </c>
      <c r="C107" t="s">
        <v>543</v>
      </c>
      <c r="D107" t="s">
        <v>544</v>
      </c>
      <c r="E107" t="s">
        <v>46</v>
      </c>
      <c r="F107" t="s">
        <v>107</v>
      </c>
      <c r="G107" t="s">
        <v>60</v>
      </c>
      <c r="H107" t="s">
        <v>49</v>
      </c>
      <c r="I107" t="s">
        <v>373</v>
      </c>
      <c r="J107" t="s">
        <v>51</v>
      </c>
      <c r="K107" t="s">
        <v>51</v>
      </c>
      <c r="L107" t="s">
        <v>134</v>
      </c>
      <c r="M107" t="s">
        <v>545</v>
      </c>
      <c r="N107" t="s">
        <v>54</v>
      </c>
      <c r="O107" t="s">
        <v>54</v>
      </c>
      <c r="P107" t="s">
        <v>54</v>
      </c>
      <c r="Q107" t="s">
        <v>546</v>
      </c>
      <c r="R107" s="1">
        <v>3305043552</v>
      </c>
      <c r="S107" s="1">
        <v>1414948617.8900001</v>
      </c>
      <c r="T107" s="1">
        <v>2683449696.8600001</v>
      </c>
      <c r="U107" s="1">
        <v>782274567.00999999</v>
      </c>
      <c r="V107" t="s">
        <v>54</v>
      </c>
      <c r="W107">
        <v>1197751.1299999999</v>
      </c>
      <c r="X107">
        <v>19993.62</v>
      </c>
      <c r="Y107">
        <v>0</v>
      </c>
      <c r="Z107">
        <v>621593855.36000001</v>
      </c>
      <c r="AA107">
        <v>4596364117</v>
      </c>
      <c r="AB107">
        <v>0</v>
      </c>
      <c r="AC107">
        <v>92785355.310000002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1691128170.3399999</v>
      </c>
      <c r="AK107">
        <v>1691128170.3399999</v>
      </c>
      <c r="AL107">
        <v>2515546367.7600002</v>
      </c>
      <c r="AM107">
        <v>2515546367.7600002</v>
      </c>
      <c r="AN107">
        <v>0</v>
      </c>
      <c r="AO107">
        <v>0</v>
      </c>
      <c r="AP107">
        <f t="shared" si="1"/>
        <v>13.523599078258142</v>
      </c>
    </row>
    <row r="108" spans="1:42" x14ac:dyDescent="0.3">
      <c r="A108" t="s">
        <v>547</v>
      </c>
      <c r="B108" t="s">
        <v>548</v>
      </c>
      <c r="C108" t="s">
        <v>549</v>
      </c>
      <c r="D108" t="s">
        <v>550</v>
      </c>
      <c r="E108" t="s">
        <v>46</v>
      </c>
      <c r="F108" t="s">
        <v>107</v>
      </c>
      <c r="G108" t="s">
        <v>60</v>
      </c>
      <c r="H108" t="s">
        <v>76</v>
      </c>
      <c r="I108" t="s">
        <v>50</v>
      </c>
      <c r="J108" t="s">
        <v>51</v>
      </c>
      <c r="K108" t="s">
        <v>51</v>
      </c>
      <c r="L108" t="s">
        <v>134</v>
      </c>
      <c r="M108" t="s">
        <v>551</v>
      </c>
      <c r="N108" t="s">
        <v>54</v>
      </c>
      <c r="O108" t="s">
        <v>54</v>
      </c>
      <c r="P108" t="s">
        <v>54</v>
      </c>
      <c r="Q108" t="s">
        <v>552</v>
      </c>
      <c r="R108" s="1">
        <v>628962559.91999996</v>
      </c>
      <c r="S108" s="1">
        <v>502653429.12</v>
      </c>
      <c r="T108" s="1">
        <v>1396873358.99</v>
      </c>
      <c r="U108" s="1">
        <v>44331819.740000002</v>
      </c>
      <c r="V108" t="s">
        <v>51</v>
      </c>
      <c r="W108">
        <v>38654.370000000003</v>
      </c>
      <c r="X108">
        <v>0</v>
      </c>
      <c r="Y108">
        <v>0</v>
      </c>
      <c r="Z108">
        <v>-422274077.95999998</v>
      </c>
      <c r="AA108">
        <v>4588844439.5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137950485.71000001</v>
      </c>
      <c r="AI108">
        <v>143586647.40000001</v>
      </c>
      <c r="AJ108">
        <v>2249482402</v>
      </c>
      <c r="AK108">
        <v>2545601412.8899999</v>
      </c>
      <c r="AL108">
        <v>2249482402</v>
      </c>
      <c r="AM108">
        <v>2545601412.8899999</v>
      </c>
      <c r="AN108">
        <v>296119010.23000002</v>
      </c>
      <c r="AO108">
        <v>143586647.40000001</v>
      </c>
      <c r="AP108">
        <f t="shared" si="1"/>
        <v>-9.2021876864061003</v>
      </c>
    </row>
    <row r="109" spans="1:42" x14ac:dyDescent="0.3">
      <c r="A109" t="s">
        <v>547</v>
      </c>
      <c r="B109" t="s">
        <v>553</v>
      </c>
      <c r="C109" t="s">
        <v>554</v>
      </c>
      <c r="D109" t="s">
        <v>555</v>
      </c>
      <c r="E109" t="s">
        <v>46</v>
      </c>
      <c r="F109" t="s">
        <v>314</v>
      </c>
      <c r="G109" t="s">
        <v>48</v>
      </c>
      <c r="H109" t="s">
        <v>76</v>
      </c>
      <c r="I109" t="s">
        <v>50</v>
      </c>
      <c r="J109" t="s">
        <v>51</v>
      </c>
      <c r="K109" t="s">
        <v>51</v>
      </c>
      <c r="L109" t="s">
        <v>134</v>
      </c>
      <c r="M109" t="s">
        <v>556</v>
      </c>
      <c r="N109" t="s">
        <v>54</v>
      </c>
      <c r="O109" t="s">
        <v>54</v>
      </c>
      <c r="P109" t="s">
        <v>54</v>
      </c>
      <c r="Q109" t="s">
        <v>557</v>
      </c>
      <c r="R109" s="1">
        <v>426934396.68000001</v>
      </c>
      <c r="S109" s="1">
        <v>118005030.55</v>
      </c>
      <c r="T109" s="1">
        <v>303985185</v>
      </c>
      <c r="U109" s="1">
        <v>136340021.81</v>
      </c>
      <c r="V109" t="s">
        <v>54</v>
      </c>
      <c r="W109">
        <v>936063.44</v>
      </c>
      <c r="X109">
        <v>205789.96</v>
      </c>
      <c r="Y109">
        <v>195012.25</v>
      </c>
      <c r="Z109">
        <v>85242915.689999998</v>
      </c>
      <c r="AA109">
        <v>960599571.83000004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375668391</v>
      </c>
      <c r="AK109">
        <v>375668391</v>
      </c>
      <c r="AL109">
        <v>370668392</v>
      </c>
      <c r="AM109">
        <v>370668392</v>
      </c>
      <c r="AN109">
        <v>5000000</v>
      </c>
      <c r="AO109">
        <v>5000000</v>
      </c>
      <c r="AP109">
        <f t="shared" si="1"/>
        <v>8.8739281371536638</v>
      </c>
    </row>
    <row r="110" spans="1:42" x14ac:dyDescent="0.3">
      <c r="A110" t="s">
        <v>547</v>
      </c>
      <c r="B110" t="s">
        <v>558</v>
      </c>
      <c r="C110" t="s">
        <v>559</v>
      </c>
      <c r="D110" t="s">
        <v>560</v>
      </c>
      <c r="E110" t="s">
        <v>46</v>
      </c>
      <c r="F110" t="s">
        <v>121</v>
      </c>
      <c r="G110" t="s">
        <v>48</v>
      </c>
      <c r="H110" t="s">
        <v>76</v>
      </c>
      <c r="I110" t="s">
        <v>50</v>
      </c>
      <c r="J110" t="s">
        <v>51</v>
      </c>
      <c r="K110" t="s">
        <v>51</v>
      </c>
      <c r="L110" t="s">
        <v>134</v>
      </c>
      <c r="M110" t="s">
        <v>561</v>
      </c>
      <c r="N110" t="s">
        <v>54</v>
      </c>
      <c r="O110" t="s">
        <v>54</v>
      </c>
      <c r="P110" t="s">
        <v>54</v>
      </c>
      <c r="Q110" t="s">
        <v>562</v>
      </c>
      <c r="R110" s="1">
        <v>2203307241.9000001</v>
      </c>
      <c r="S110" s="1">
        <v>930032581.67999995</v>
      </c>
      <c r="T110" s="1">
        <v>2297526690.8400002</v>
      </c>
      <c r="U110" s="1">
        <v>1982224.1</v>
      </c>
      <c r="V110" t="s">
        <v>51</v>
      </c>
      <c r="W110">
        <v>357403.74</v>
      </c>
      <c r="X110">
        <v>0</v>
      </c>
      <c r="Y110">
        <v>0</v>
      </c>
      <c r="Z110">
        <v>-89943597.790000007</v>
      </c>
      <c r="AA110">
        <v>682843299.20000005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1000000</v>
      </c>
      <c r="AK110">
        <v>1000000</v>
      </c>
      <c r="AL110">
        <v>1000000</v>
      </c>
      <c r="AM110">
        <v>1000000</v>
      </c>
      <c r="AN110">
        <v>0</v>
      </c>
      <c r="AO110">
        <v>0</v>
      </c>
      <c r="AP110">
        <f t="shared" si="1"/>
        <v>-13.171923616351714</v>
      </c>
    </row>
    <row r="111" spans="1:42" x14ac:dyDescent="0.3">
      <c r="A111" t="s">
        <v>547</v>
      </c>
      <c r="B111" t="s">
        <v>563</v>
      </c>
      <c r="C111" t="s">
        <v>564</v>
      </c>
      <c r="D111" t="s">
        <v>565</v>
      </c>
      <c r="E111" t="s">
        <v>46</v>
      </c>
      <c r="F111" t="s">
        <v>139</v>
      </c>
      <c r="G111" t="s">
        <v>60</v>
      </c>
      <c r="H111" t="s">
        <v>49</v>
      </c>
      <c r="I111" t="s">
        <v>50</v>
      </c>
      <c r="J111" t="s">
        <v>51</v>
      </c>
      <c r="K111" t="s">
        <v>51</v>
      </c>
      <c r="L111" t="s">
        <v>134</v>
      </c>
      <c r="M111" t="s">
        <v>566</v>
      </c>
      <c r="N111" t="s">
        <v>54</v>
      </c>
      <c r="O111" t="s">
        <v>54</v>
      </c>
      <c r="P111" t="s">
        <v>51</v>
      </c>
      <c r="Q111" t="s">
        <v>567</v>
      </c>
      <c r="R111" s="1">
        <v>98778097.939999998</v>
      </c>
      <c r="S111" s="1">
        <v>6263172.9800000004</v>
      </c>
      <c r="T111" s="1">
        <v>65276059.329999998</v>
      </c>
      <c r="U111" s="1">
        <v>53078051.32</v>
      </c>
      <c r="V111" t="s">
        <v>54</v>
      </c>
      <c r="W111">
        <v>304971.12</v>
      </c>
      <c r="X111">
        <v>105724.21</v>
      </c>
      <c r="Y111">
        <v>9764.5</v>
      </c>
      <c r="Z111">
        <v>24465519.670000002</v>
      </c>
      <c r="AA111">
        <v>7920000</v>
      </c>
      <c r="AB111">
        <v>0</v>
      </c>
      <c r="AC111">
        <v>1349754.6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593999</v>
      </c>
      <c r="AK111">
        <v>593999</v>
      </c>
      <c r="AL111">
        <v>2020000</v>
      </c>
      <c r="AM111">
        <v>2020000</v>
      </c>
      <c r="AN111">
        <v>0</v>
      </c>
      <c r="AO111">
        <v>0</v>
      </c>
      <c r="AP111">
        <f t="shared" si="1"/>
        <v>308.90807664141414</v>
      </c>
    </row>
    <row r="112" spans="1:42" x14ac:dyDescent="0.3">
      <c r="A112" t="s">
        <v>547</v>
      </c>
      <c r="B112" t="s">
        <v>568</v>
      </c>
      <c r="C112" t="s">
        <v>569</v>
      </c>
      <c r="D112" t="s">
        <v>570</v>
      </c>
      <c r="E112" t="s">
        <v>46</v>
      </c>
      <c r="F112" t="s">
        <v>133</v>
      </c>
      <c r="G112" t="s">
        <v>60</v>
      </c>
      <c r="H112" t="s">
        <v>49</v>
      </c>
      <c r="I112" t="s">
        <v>50</v>
      </c>
      <c r="J112" t="s">
        <v>51</v>
      </c>
      <c r="K112" t="s">
        <v>51</v>
      </c>
      <c r="L112" t="s">
        <v>134</v>
      </c>
      <c r="M112" t="s">
        <v>571</v>
      </c>
      <c r="N112" t="s">
        <v>54</v>
      </c>
      <c r="O112" t="s">
        <v>54</v>
      </c>
      <c r="P112" t="s">
        <v>51</v>
      </c>
      <c r="Q112" t="s">
        <v>572</v>
      </c>
      <c r="R112" s="1">
        <v>3235353.69</v>
      </c>
      <c r="S112" s="1">
        <v>38374674.399999999</v>
      </c>
      <c r="T112" s="1">
        <v>64317590.960000001</v>
      </c>
      <c r="U112" s="1">
        <v>0</v>
      </c>
      <c r="V112" t="s">
        <v>51</v>
      </c>
      <c r="W112">
        <v>566196.54</v>
      </c>
      <c r="X112">
        <v>0</v>
      </c>
      <c r="Y112">
        <v>0</v>
      </c>
      <c r="Z112">
        <v>-59216926.920000002</v>
      </c>
      <c r="AA112">
        <v>57554594.789999999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2532640561</v>
      </c>
      <c r="AK112">
        <v>2532640561</v>
      </c>
      <c r="AL112">
        <v>67806094.379999995</v>
      </c>
      <c r="AM112">
        <v>58282518.840000004</v>
      </c>
      <c r="AN112">
        <v>58282518.840000004</v>
      </c>
      <c r="AO112">
        <v>57233360.289999999</v>
      </c>
      <c r="AP112">
        <f t="shared" si="1"/>
        <v>-102.88827006091411</v>
      </c>
    </row>
    <row r="113" spans="1:42" x14ac:dyDescent="0.3">
      <c r="A113" t="s">
        <v>573</v>
      </c>
      <c r="B113" t="s">
        <v>574</v>
      </c>
      <c r="C113" t="s">
        <v>575</v>
      </c>
      <c r="D113" t="s">
        <v>576</v>
      </c>
      <c r="E113" t="s">
        <v>46</v>
      </c>
      <c r="F113" t="s">
        <v>102</v>
      </c>
      <c r="G113" t="s">
        <v>48</v>
      </c>
      <c r="H113" t="s">
        <v>363</v>
      </c>
      <c r="I113" t="s">
        <v>50</v>
      </c>
      <c r="J113" t="s">
        <v>51</v>
      </c>
      <c r="K113" t="s">
        <v>51</v>
      </c>
      <c r="L113" t="s">
        <v>52</v>
      </c>
      <c r="M113" t="s">
        <v>577</v>
      </c>
      <c r="N113" t="s">
        <v>54</v>
      </c>
      <c r="O113" t="s">
        <v>54</v>
      </c>
      <c r="P113" t="s">
        <v>51</v>
      </c>
      <c r="Q113" t="s">
        <v>578</v>
      </c>
      <c r="R113" s="1">
        <v>43631716.640000001</v>
      </c>
      <c r="S113" s="1">
        <v>319609028.08999997</v>
      </c>
      <c r="T113" s="1">
        <v>429064951.17000002</v>
      </c>
      <c r="U113" s="1">
        <v>20355152</v>
      </c>
      <c r="V113" t="s">
        <v>51</v>
      </c>
      <c r="W113">
        <v>398892.78</v>
      </c>
      <c r="X113">
        <v>0</v>
      </c>
      <c r="Y113">
        <v>0</v>
      </c>
      <c r="Z113">
        <v>-13963005.26</v>
      </c>
      <c r="AA113">
        <v>73638884.340000004</v>
      </c>
      <c r="AB113">
        <v>0</v>
      </c>
      <c r="AC113">
        <v>0</v>
      </c>
      <c r="AD113">
        <v>219808184.53999999</v>
      </c>
      <c r="AE113">
        <v>232902830.65000001</v>
      </c>
      <c r="AF113">
        <v>0</v>
      </c>
      <c r="AG113" s="14">
        <v>0</v>
      </c>
      <c r="AH113">
        <v>0</v>
      </c>
      <c r="AI113">
        <v>0</v>
      </c>
      <c r="AJ113">
        <v>74990</v>
      </c>
      <c r="AK113">
        <v>74990</v>
      </c>
      <c r="AL113">
        <v>48597738.68</v>
      </c>
      <c r="AM113">
        <v>48597738.68</v>
      </c>
      <c r="AN113">
        <v>0</v>
      </c>
      <c r="AO113">
        <v>0</v>
      </c>
      <c r="AP113">
        <f t="shared" si="1"/>
        <v>-18.961456824265625</v>
      </c>
    </row>
    <row r="114" spans="1:42" x14ac:dyDescent="0.3">
      <c r="A114" t="s">
        <v>573</v>
      </c>
      <c r="B114" t="s">
        <v>579</v>
      </c>
      <c r="C114" t="s">
        <v>580</v>
      </c>
      <c r="D114" t="s">
        <v>581</v>
      </c>
      <c r="E114" t="s">
        <v>46</v>
      </c>
      <c r="F114" t="s">
        <v>150</v>
      </c>
      <c r="G114" t="s">
        <v>48</v>
      </c>
      <c r="H114" t="s">
        <v>363</v>
      </c>
      <c r="I114" t="s">
        <v>50</v>
      </c>
      <c r="J114" t="s">
        <v>51</v>
      </c>
      <c r="K114" t="s">
        <v>51</v>
      </c>
      <c r="L114" t="s">
        <v>52</v>
      </c>
      <c r="M114" t="s">
        <v>582</v>
      </c>
      <c r="N114" t="s">
        <v>54</v>
      </c>
      <c r="O114" t="s">
        <v>54</v>
      </c>
      <c r="P114" t="s">
        <v>51</v>
      </c>
      <c r="Q114" t="s">
        <v>583</v>
      </c>
      <c r="R114" s="1">
        <v>29199584.609999999</v>
      </c>
      <c r="S114" s="1">
        <v>16963572.140000001</v>
      </c>
      <c r="T114" s="1">
        <v>27876209.09</v>
      </c>
      <c r="U114" s="1">
        <v>0</v>
      </c>
      <c r="V114" t="s">
        <v>51</v>
      </c>
      <c r="W114">
        <v>198763.51999999999</v>
      </c>
      <c r="X114">
        <v>0</v>
      </c>
      <c r="Y114">
        <v>0</v>
      </c>
      <c r="Z114">
        <v>829328.57</v>
      </c>
      <c r="AA114">
        <v>33255645.829999998</v>
      </c>
      <c r="AB114">
        <v>0</v>
      </c>
      <c r="AC114">
        <v>0</v>
      </c>
      <c r="AD114">
        <v>18586987.039999999</v>
      </c>
      <c r="AE114">
        <v>27634969.629999999</v>
      </c>
      <c r="AF114">
        <v>0</v>
      </c>
      <c r="AG114" s="14">
        <v>0</v>
      </c>
      <c r="AH114">
        <v>0</v>
      </c>
      <c r="AI114">
        <v>0</v>
      </c>
      <c r="AJ114">
        <v>9990</v>
      </c>
      <c r="AK114">
        <v>9990</v>
      </c>
      <c r="AL114">
        <v>9124916.25</v>
      </c>
      <c r="AM114">
        <v>9124916.25</v>
      </c>
      <c r="AN114">
        <v>0</v>
      </c>
      <c r="AO114">
        <v>0</v>
      </c>
      <c r="AP114">
        <f t="shared" si="1"/>
        <v>2.493797817788463</v>
      </c>
    </row>
    <row r="115" spans="1:42" x14ac:dyDescent="0.3">
      <c r="A115" t="s">
        <v>573</v>
      </c>
      <c r="B115" t="s">
        <v>584</v>
      </c>
      <c r="C115" t="s">
        <v>585</v>
      </c>
      <c r="D115" t="s">
        <v>586</v>
      </c>
      <c r="E115" t="s">
        <v>46</v>
      </c>
      <c r="F115" t="s">
        <v>102</v>
      </c>
      <c r="G115" t="s">
        <v>48</v>
      </c>
      <c r="H115" t="s">
        <v>363</v>
      </c>
      <c r="I115" t="s">
        <v>50</v>
      </c>
      <c r="J115" t="s">
        <v>51</v>
      </c>
      <c r="K115" t="s">
        <v>51</v>
      </c>
      <c r="L115" t="s">
        <v>52</v>
      </c>
      <c r="M115" t="s">
        <v>587</v>
      </c>
      <c r="N115" t="s">
        <v>54</v>
      </c>
      <c r="O115" t="s">
        <v>54</v>
      </c>
      <c r="P115" t="s">
        <v>51</v>
      </c>
      <c r="Q115" t="s">
        <v>588</v>
      </c>
      <c r="R115" s="1">
        <v>14166551.220000001</v>
      </c>
      <c r="S115" s="1">
        <v>95798379.120000005</v>
      </c>
      <c r="T115" s="1">
        <v>135695037.88</v>
      </c>
      <c r="U115" s="1">
        <v>11875469.060000001</v>
      </c>
      <c r="V115" t="s">
        <v>51</v>
      </c>
      <c r="W115">
        <v>361782.88</v>
      </c>
      <c r="X115">
        <v>0</v>
      </c>
      <c r="Y115">
        <v>0</v>
      </c>
      <c r="Z115">
        <v>2487805.84</v>
      </c>
      <c r="AA115">
        <v>70576911.629999995</v>
      </c>
      <c r="AB115">
        <v>0</v>
      </c>
      <c r="AC115">
        <v>0</v>
      </c>
      <c r="AD115">
        <v>113599676.16</v>
      </c>
      <c r="AE115">
        <v>118790786.05</v>
      </c>
      <c r="AF115">
        <v>266643.34000000003</v>
      </c>
      <c r="AG115" s="14">
        <v>343003.25</v>
      </c>
      <c r="AH115">
        <v>0</v>
      </c>
      <c r="AI115">
        <v>0</v>
      </c>
      <c r="AJ115">
        <v>19998000</v>
      </c>
      <c r="AK115">
        <v>19998000</v>
      </c>
      <c r="AL115">
        <v>31600000</v>
      </c>
      <c r="AM115">
        <v>31600000</v>
      </c>
      <c r="AN115">
        <v>0</v>
      </c>
      <c r="AO115">
        <v>0</v>
      </c>
      <c r="AP115">
        <f t="shared" si="1"/>
        <v>3.5249570752576158</v>
      </c>
    </row>
    <row r="116" spans="1:42" x14ac:dyDescent="0.3">
      <c r="A116" t="s">
        <v>573</v>
      </c>
      <c r="B116" t="s">
        <v>589</v>
      </c>
      <c r="C116" t="s">
        <v>590</v>
      </c>
      <c r="D116" t="s">
        <v>591</v>
      </c>
      <c r="E116" t="s">
        <v>46</v>
      </c>
      <c r="F116" t="s">
        <v>71</v>
      </c>
      <c r="G116" t="s">
        <v>48</v>
      </c>
      <c r="H116" t="s">
        <v>49</v>
      </c>
      <c r="I116" t="s">
        <v>50</v>
      </c>
      <c r="J116" t="s">
        <v>51</v>
      </c>
      <c r="K116" t="s">
        <v>51</v>
      </c>
      <c r="L116" t="s">
        <v>134</v>
      </c>
      <c r="M116" t="s">
        <v>592</v>
      </c>
      <c r="N116" t="s">
        <v>54</v>
      </c>
      <c r="O116" t="s">
        <v>54</v>
      </c>
      <c r="P116" t="s">
        <v>54</v>
      </c>
      <c r="Q116" t="s">
        <v>593</v>
      </c>
      <c r="R116" s="1">
        <v>1276045256.6099999</v>
      </c>
      <c r="S116" s="1">
        <v>207437223.37</v>
      </c>
      <c r="T116" s="1">
        <v>2117606856.6600001</v>
      </c>
      <c r="U116" s="1">
        <v>21622577.300000001</v>
      </c>
      <c r="V116" t="s">
        <v>54</v>
      </c>
      <c r="W116">
        <v>600253</v>
      </c>
      <c r="X116">
        <v>25421.41</v>
      </c>
      <c r="Y116">
        <v>0</v>
      </c>
      <c r="Z116">
        <v>134545295.59999999</v>
      </c>
      <c r="AA116">
        <v>2263664144.6500001</v>
      </c>
      <c r="AB116">
        <v>0</v>
      </c>
      <c r="AC116">
        <v>69436124.189999998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74173276182</v>
      </c>
      <c r="AK116">
        <v>76668991052</v>
      </c>
      <c r="AL116">
        <v>2199586881.8299999</v>
      </c>
      <c r="AM116">
        <v>2296855999.6300001</v>
      </c>
      <c r="AN116">
        <v>0</v>
      </c>
      <c r="AO116">
        <v>0</v>
      </c>
      <c r="AP116">
        <f t="shared" si="1"/>
        <v>5.9436951333079904</v>
      </c>
    </row>
    <row r="117" spans="1:42" x14ac:dyDescent="0.3">
      <c r="A117" t="s">
        <v>573</v>
      </c>
      <c r="B117" t="s">
        <v>594</v>
      </c>
      <c r="C117" t="s">
        <v>595</v>
      </c>
      <c r="D117" t="s">
        <v>596</v>
      </c>
      <c r="E117" t="s">
        <v>46</v>
      </c>
      <c r="F117" t="s">
        <v>409</v>
      </c>
      <c r="G117" t="s">
        <v>60</v>
      </c>
      <c r="H117" t="s">
        <v>49</v>
      </c>
      <c r="I117" t="s">
        <v>373</v>
      </c>
      <c r="J117" t="s">
        <v>54</v>
      </c>
      <c r="K117" t="s">
        <v>51</v>
      </c>
      <c r="L117" t="s">
        <v>134</v>
      </c>
      <c r="M117" t="s">
        <v>597</v>
      </c>
      <c r="N117" t="s">
        <v>54</v>
      </c>
      <c r="O117" t="s">
        <v>54</v>
      </c>
      <c r="P117" t="s">
        <v>54</v>
      </c>
      <c r="Q117" t="s">
        <v>598</v>
      </c>
      <c r="R117" s="1">
        <v>39819620000</v>
      </c>
      <c r="S117" s="1">
        <v>5695982000</v>
      </c>
      <c r="T117" s="1">
        <v>30165402000</v>
      </c>
      <c r="U117" s="1">
        <v>5713680000</v>
      </c>
      <c r="V117" t="s">
        <v>54</v>
      </c>
      <c r="W117">
        <v>1760465.45</v>
      </c>
      <c r="X117">
        <v>1679119</v>
      </c>
      <c r="Y117">
        <v>0</v>
      </c>
      <c r="Z117">
        <v>7119287000</v>
      </c>
      <c r="AA117">
        <v>27383079000</v>
      </c>
      <c r="AB117">
        <v>35145544000</v>
      </c>
      <c r="AC117">
        <v>774546699.61000001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375048387</v>
      </c>
      <c r="AK117">
        <v>487562874</v>
      </c>
      <c r="AL117">
        <v>11006853000</v>
      </c>
      <c r="AM117">
        <v>14308909000</v>
      </c>
      <c r="AN117">
        <v>0</v>
      </c>
      <c r="AO117">
        <v>0</v>
      </c>
      <c r="AP117">
        <f t="shared" si="1"/>
        <v>25.998854986322026</v>
      </c>
    </row>
    <row r="118" spans="1:42" x14ac:dyDescent="0.3">
      <c r="A118" t="s">
        <v>573</v>
      </c>
      <c r="B118" t="s">
        <v>599</v>
      </c>
      <c r="C118" t="s">
        <v>600</v>
      </c>
      <c r="D118" t="s">
        <v>601</v>
      </c>
      <c r="E118" t="s">
        <v>46</v>
      </c>
      <c r="F118" t="s">
        <v>65</v>
      </c>
      <c r="G118" t="s">
        <v>48</v>
      </c>
      <c r="H118" t="s">
        <v>49</v>
      </c>
      <c r="I118" t="s">
        <v>50</v>
      </c>
      <c r="J118" t="s">
        <v>51</v>
      </c>
      <c r="K118" t="s">
        <v>51</v>
      </c>
      <c r="L118" t="s">
        <v>134</v>
      </c>
      <c r="M118" t="s">
        <v>602</v>
      </c>
      <c r="N118" t="s">
        <v>54</v>
      </c>
      <c r="O118" t="s">
        <v>54</v>
      </c>
      <c r="P118" t="s">
        <v>54</v>
      </c>
      <c r="Q118" t="s">
        <v>603</v>
      </c>
      <c r="R118" s="1">
        <v>84840815.909999996</v>
      </c>
      <c r="S118" s="1">
        <v>114565231.13</v>
      </c>
      <c r="T118" s="1">
        <v>314493546.17000002</v>
      </c>
      <c r="U118" s="1">
        <v>8674651.7100000009</v>
      </c>
      <c r="V118" t="s">
        <v>54</v>
      </c>
      <c r="W118">
        <v>952462.04</v>
      </c>
      <c r="X118">
        <v>102749.33</v>
      </c>
      <c r="Y118">
        <v>0</v>
      </c>
      <c r="Z118">
        <v>891168243.76999998</v>
      </c>
      <c r="AA118">
        <v>2080285686.8199999</v>
      </c>
      <c r="AB118">
        <v>0</v>
      </c>
      <c r="AC118">
        <v>681808320.33000004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205219</v>
      </c>
      <c r="AK118">
        <v>205219</v>
      </c>
      <c r="AL118">
        <v>574392847.02999997</v>
      </c>
      <c r="AM118">
        <v>546842388.64999998</v>
      </c>
      <c r="AN118">
        <v>0</v>
      </c>
      <c r="AO118">
        <v>0</v>
      </c>
      <c r="AP118">
        <f t="shared" si="1"/>
        <v>42.838743227247413</v>
      </c>
    </row>
    <row r="119" spans="1:42" x14ac:dyDescent="0.3">
      <c r="A119" t="s">
        <v>573</v>
      </c>
      <c r="B119" t="s">
        <v>604</v>
      </c>
      <c r="C119" t="s">
        <v>605</v>
      </c>
      <c r="D119" t="s">
        <v>606</v>
      </c>
      <c r="E119" t="s">
        <v>46</v>
      </c>
      <c r="F119" t="s">
        <v>65</v>
      </c>
      <c r="G119" t="s">
        <v>60</v>
      </c>
      <c r="H119" t="s">
        <v>49</v>
      </c>
      <c r="I119" t="s">
        <v>50</v>
      </c>
      <c r="J119" t="s">
        <v>51</v>
      </c>
      <c r="K119" t="s">
        <v>54</v>
      </c>
      <c r="L119" t="s">
        <v>134</v>
      </c>
      <c r="M119" t="s">
        <v>66</v>
      </c>
      <c r="N119" t="s">
        <v>54</v>
      </c>
      <c r="O119" t="s">
        <v>54</v>
      </c>
      <c r="P119" t="s">
        <v>54</v>
      </c>
      <c r="Q119" t="s">
        <v>607</v>
      </c>
      <c r="R119" s="1">
        <v>1688729531</v>
      </c>
      <c r="S119" s="1">
        <v>7857111.8799999999</v>
      </c>
      <c r="T119" s="1">
        <v>148753816.25999999</v>
      </c>
      <c r="U119" s="1">
        <v>0</v>
      </c>
      <c r="V119" t="s">
        <v>51</v>
      </c>
      <c r="W119">
        <v>0</v>
      </c>
      <c r="X119">
        <v>0</v>
      </c>
      <c r="Y119">
        <v>0</v>
      </c>
      <c r="Z119">
        <v>1732350393.1800001</v>
      </c>
      <c r="AA119">
        <v>618798417.38999999</v>
      </c>
      <c r="AB119">
        <v>0</v>
      </c>
      <c r="AC119">
        <v>755051997.47000003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176825</v>
      </c>
      <c r="AK119">
        <v>176825</v>
      </c>
      <c r="AL119">
        <v>5028066.57</v>
      </c>
      <c r="AM119">
        <v>5028066.57</v>
      </c>
      <c r="AN119">
        <v>0</v>
      </c>
      <c r="AO119">
        <v>0</v>
      </c>
      <c r="AP119">
        <f t="shared" si="1"/>
        <v>279.95391463455854</v>
      </c>
    </row>
    <row r="120" spans="1:42" x14ac:dyDescent="0.3">
      <c r="A120" t="s">
        <v>573</v>
      </c>
      <c r="B120" t="s">
        <v>608</v>
      </c>
      <c r="C120" t="s">
        <v>609</v>
      </c>
      <c r="D120" t="s">
        <v>610</v>
      </c>
      <c r="E120" t="s">
        <v>46</v>
      </c>
      <c r="F120" t="s">
        <v>93</v>
      </c>
      <c r="G120" t="s">
        <v>60</v>
      </c>
      <c r="H120" t="s">
        <v>49</v>
      </c>
      <c r="I120" t="s">
        <v>50</v>
      </c>
      <c r="J120" t="s">
        <v>51</v>
      </c>
      <c r="K120" t="s">
        <v>51</v>
      </c>
      <c r="L120" t="s">
        <v>134</v>
      </c>
      <c r="M120" t="s">
        <v>611</v>
      </c>
      <c r="N120" t="s">
        <v>54</v>
      </c>
      <c r="O120" t="s">
        <v>54</v>
      </c>
      <c r="P120" t="s">
        <v>51</v>
      </c>
      <c r="Q120" t="s">
        <v>612</v>
      </c>
      <c r="R120" s="1">
        <v>11724802.5</v>
      </c>
      <c r="S120" s="1">
        <v>42323554.590000004</v>
      </c>
      <c r="T120" s="1">
        <v>51909000</v>
      </c>
      <c r="U120" s="1">
        <v>0</v>
      </c>
      <c r="V120" t="s">
        <v>51</v>
      </c>
      <c r="W120">
        <v>273888.03999999998</v>
      </c>
      <c r="X120">
        <v>0</v>
      </c>
      <c r="Y120">
        <v>8073.96</v>
      </c>
      <c r="Z120">
        <v>-45750000</v>
      </c>
      <c r="AA120">
        <v>-345896366.66000003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16673866.23</v>
      </c>
      <c r="AI120">
        <v>57860465</v>
      </c>
      <c r="AJ120">
        <v>102426784</v>
      </c>
      <c r="AK120">
        <v>160287249</v>
      </c>
      <c r="AL120">
        <v>102427249.34999999</v>
      </c>
      <c r="AM120">
        <v>160287249.34999999</v>
      </c>
      <c r="AN120">
        <v>127572750.65000001</v>
      </c>
      <c r="AO120">
        <v>69712750.650000006</v>
      </c>
      <c r="AP120">
        <f t="shared" si="1"/>
        <v>13.226504933187146</v>
      </c>
    </row>
    <row r="121" spans="1:42" x14ac:dyDescent="0.3">
      <c r="A121" t="s">
        <v>573</v>
      </c>
      <c r="B121" t="s">
        <v>613</v>
      </c>
      <c r="C121" t="s">
        <v>614</v>
      </c>
      <c r="D121" t="s">
        <v>615</v>
      </c>
      <c r="E121" t="s">
        <v>46</v>
      </c>
      <c r="F121" t="s">
        <v>107</v>
      </c>
      <c r="G121" t="s">
        <v>60</v>
      </c>
      <c r="H121" t="s">
        <v>49</v>
      </c>
      <c r="I121" t="s">
        <v>50</v>
      </c>
      <c r="J121" t="s">
        <v>51</v>
      </c>
      <c r="K121" t="s">
        <v>54</v>
      </c>
      <c r="L121" t="s">
        <v>134</v>
      </c>
      <c r="M121" t="s">
        <v>616</v>
      </c>
      <c r="N121" t="s">
        <v>51</v>
      </c>
      <c r="O121" t="s">
        <v>54</v>
      </c>
      <c r="P121" t="s">
        <v>51</v>
      </c>
      <c r="Q121" t="s">
        <v>617</v>
      </c>
      <c r="R121" s="1">
        <v>91549724.530000001</v>
      </c>
      <c r="S121" s="1">
        <v>29245429.199999999</v>
      </c>
      <c r="T121" s="1">
        <v>107328046.55</v>
      </c>
      <c r="U121" s="1">
        <v>46049968.920000002</v>
      </c>
      <c r="V121" t="s">
        <v>51</v>
      </c>
      <c r="W121">
        <v>112818.8</v>
      </c>
      <c r="X121">
        <v>0</v>
      </c>
      <c r="Y121">
        <v>809.4</v>
      </c>
      <c r="Z121">
        <v>-9505323.0899999999</v>
      </c>
      <c r="AA121">
        <v>312524386.82999998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f t="shared" si="1"/>
        <v>-3.0414660393111954</v>
      </c>
    </row>
    <row r="122" spans="1:42" x14ac:dyDescent="0.3">
      <c r="A122" t="s">
        <v>573</v>
      </c>
      <c r="B122" t="s">
        <v>618</v>
      </c>
      <c r="C122" t="s">
        <v>619</v>
      </c>
      <c r="D122" t="s">
        <v>620</v>
      </c>
      <c r="E122" t="s">
        <v>46</v>
      </c>
      <c r="F122" t="s">
        <v>107</v>
      </c>
      <c r="G122" t="s">
        <v>60</v>
      </c>
      <c r="H122" t="s">
        <v>49</v>
      </c>
      <c r="I122" t="s">
        <v>373</v>
      </c>
      <c r="J122" t="s">
        <v>54</v>
      </c>
      <c r="K122" t="s">
        <v>51</v>
      </c>
      <c r="L122" t="s">
        <v>134</v>
      </c>
      <c r="M122" t="s">
        <v>621</v>
      </c>
      <c r="N122" t="s">
        <v>54</v>
      </c>
      <c r="O122" t="s">
        <v>54</v>
      </c>
      <c r="P122" t="s">
        <v>54</v>
      </c>
      <c r="Q122" t="s">
        <v>622</v>
      </c>
      <c r="R122" s="1">
        <v>7786456648.1000004</v>
      </c>
      <c r="S122" s="1">
        <v>1733868046.7</v>
      </c>
      <c r="T122" s="1">
        <v>5829172605</v>
      </c>
      <c r="U122" s="1">
        <v>1938860917.96</v>
      </c>
      <c r="V122" t="s">
        <v>54</v>
      </c>
      <c r="W122">
        <v>1425200.93</v>
      </c>
      <c r="X122">
        <v>792550.5</v>
      </c>
      <c r="Y122">
        <v>19445.62</v>
      </c>
      <c r="Z122">
        <v>1316920190.0599999</v>
      </c>
      <c r="AA122">
        <v>8048228646.2600002</v>
      </c>
      <c r="AB122">
        <v>7735301172</v>
      </c>
      <c r="AC122">
        <v>689867090.22000003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190249612</v>
      </c>
      <c r="AK122">
        <v>190249612</v>
      </c>
      <c r="AL122">
        <v>1702294063.74</v>
      </c>
      <c r="AM122">
        <v>1804432924.55</v>
      </c>
      <c r="AN122">
        <v>0</v>
      </c>
      <c r="AO122">
        <v>0</v>
      </c>
      <c r="AP122">
        <f t="shared" si="1"/>
        <v>16.36285756707435</v>
      </c>
    </row>
    <row r="123" spans="1:42" x14ac:dyDescent="0.3">
      <c r="A123" t="s">
        <v>573</v>
      </c>
      <c r="B123" t="s">
        <v>623</v>
      </c>
      <c r="C123" t="s">
        <v>624</v>
      </c>
      <c r="D123" t="s">
        <v>625</v>
      </c>
      <c r="E123" t="s">
        <v>46</v>
      </c>
      <c r="F123" t="s">
        <v>139</v>
      </c>
      <c r="G123" t="s">
        <v>60</v>
      </c>
      <c r="H123" t="s">
        <v>49</v>
      </c>
      <c r="I123" t="s">
        <v>373</v>
      </c>
      <c r="J123" t="s">
        <v>51</v>
      </c>
      <c r="K123" t="s">
        <v>54</v>
      </c>
      <c r="L123" t="s">
        <v>134</v>
      </c>
      <c r="M123" t="s">
        <v>626</v>
      </c>
      <c r="N123" t="s">
        <v>54</v>
      </c>
      <c r="O123" t="s">
        <v>54</v>
      </c>
      <c r="P123" t="s">
        <v>54</v>
      </c>
      <c r="Q123" t="s">
        <v>627</v>
      </c>
      <c r="R123" s="1">
        <v>3458686648.9499998</v>
      </c>
      <c r="S123" s="1">
        <v>93762518.140000001</v>
      </c>
      <c r="T123" s="1">
        <v>452196084.11000001</v>
      </c>
      <c r="U123" s="1">
        <v>358433565.97000003</v>
      </c>
      <c r="V123" t="s">
        <v>54</v>
      </c>
      <c r="W123">
        <v>815264.41</v>
      </c>
      <c r="X123">
        <v>551691.86</v>
      </c>
      <c r="Y123">
        <v>10871</v>
      </c>
      <c r="Z123">
        <v>497906912.35000002</v>
      </c>
      <c r="AA123">
        <v>1231157903.1800001</v>
      </c>
      <c r="AB123">
        <v>0</v>
      </c>
      <c r="AC123">
        <v>524647823.12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305621639</v>
      </c>
      <c r="AK123">
        <v>305621639</v>
      </c>
      <c r="AL123">
        <v>662567679.27999997</v>
      </c>
      <c r="AM123">
        <v>662567679.27999997</v>
      </c>
      <c r="AN123">
        <v>0</v>
      </c>
      <c r="AO123">
        <v>0</v>
      </c>
      <c r="AP123">
        <f t="shared" si="1"/>
        <v>40.442165140957073</v>
      </c>
    </row>
    <row r="124" spans="1:42" x14ac:dyDescent="0.3">
      <c r="A124" t="s">
        <v>573</v>
      </c>
      <c r="B124" t="s">
        <v>628</v>
      </c>
      <c r="C124" t="s">
        <v>629</v>
      </c>
      <c r="D124" t="s">
        <v>630</v>
      </c>
      <c r="E124" t="s">
        <v>46</v>
      </c>
      <c r="F124" t="s">
        <v>240</v>
      </c>
      <c r="G124" t="s">
        <v>48</v>
      </c>
      <c r="H124" t="s">
        <v>49</v>
      </c>
      <c r="I124" t="s">
        <v>50</v>
      </c>
      <c r="J124" t="s">
        <v>51</v>
      </c>
      <c r="K124" t="s">
        <v>51</v>
      </c>
      <c r="L124" t="s">
        <v>134</v>
      </c>
      <c r="M124" t="s">
        <v>66</v>
      </c>
      <c r="N124" t="s">
        <v>54</v>
      </c>
      <c r="O124" t="s">
        <v>54</v>
      </c>
      <c r="P124" t="s">
        <v>51</v>
      </c>
      <c r="Q124" t="s">
        <v>631</v>
      </c>
      <c r="R124" s="1">
        <v>-1569</v>
      </c>
      <c r="S124" s="1">
        <v>0</v>
      </c>
      <c r="T124" s="1">
        <v>79111</v>
      </c>
      <c r="U124" s="1">
        <v>0</v>
      </c>
      <c r="V124" t="s">
        <v>51</v>
      </c>
      <c r="W124">
        <v>0</v>
      </c>
      <c r="X124">
        <v>0</v>
      </c>
      <c r="Y124">
        <v>0</v>
      </c>
      <c r="Z124">
        <v>-80681</v>
      </c>
      <c r="AA124">
        <v>9507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66480.179999999993</v>
      </c>
      <c r="AJ124">
        <v>2365310</v>
      </c>
      <c r="AK124">
        <v>2431790</v>
      </c>
      <c r="AL124">
        <v>2365310</v>
      </c>
      <c r="AM124">
        <v>2431790.1800000002</v>
      </c>
      <c r="AN124">
        <v>0</v>
      </c>
      <c r="AO124">
        <v>0</v>
      </c>
      <c r="AP124">
        <f t="shared" si="1"/>
        <v>-848.64836436310088</v>
      </c>
    </row>
    <row r="125" spans="1:42" x14ac:dyDescent="0.3">
      <c r="A125" t="s">
        <v>573</v>
      </c>
      <c r="B125" t="s">
        <v>632</v>
      </c>
      <c r="C125" t="s">
        <v>633</v>
      </c>
      <c r="D125" t="s">
        <v>634</v>
      </c>
      <c r="E125" t="s">
        <v>46</v>
      </c>
      <c r="F125" t="s">
        <v>133</v>
      </c>
      <c r="G125" t="s">
        <v>60</v>
      </c>
      <c r="H125" t="s">
        <v>49</v>
      </c>
      <c r="I125" t="s">
        <v>50</v>
      </c>
      <c r="J125" t="s">
        <v>51</v>
      </c>
      <c r="K125" t="s">
        <v>51</v>
      </c>
      <c r="L125" t="s">
        <v>134</v>
      </c>
      <c r="M125" t="s">
        <v>635</v>
      </c>
      <c r="N125" t="s">
        <v>54</v>
      </c>
      <c r="O125" t="s">
        <v>54</v>
      </c>
      <c r="P125" t="s">
        <v>54</v>
      </c>
      <c r="Q125" t="s">
        <v>636</v>
      </c>
      <c r="R125" s="1">
        <v>243324950.13</v>
      </c>
      <c r="S125" s="1">
        <v>14628163</v>
      </c>
      <c r="T125" s="1">
        <v>652720868.80999994</v>
      </c>
      <c r="U125" s="1">
        <v>0</v>
      </c>
      <c r="V125" t="s">
        <v>51</v>
      </c>
      <c r="W125">
        <v>341318.03</v>
      </c>
      <c r="X125">
        <v>0</v>
      </c>
      <c r="Y125">
        <v>19237.32</v>
      </c>
      <c r="Z125">
        <v>37554565.049999997</v>
      </c>
      <c r="AA125">
        <v>1248280389.54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75200578.469999999</v>
      </c>
      <c r="AI125">
        <v>0</v>
      </c>
      <c r="AJ125">
        <v>574184398</v>
      </c>
      <c r="AK125">
        <v>574184398</v>
      </c>
      <c r="AL125">
        <v>1404828906.05</v>
      </c>
      <c r="AM125">
        <v>1573664210.1700001</v>
      </c>
      <c r="AN125">
        <v>115906179.75</v>
      </c>
      <c r="AO125">
        <v>0</v>
      </c>
      <c r="AP125">
        <f t="shared" si="1"/>
        <v>3.0085039679137404</v>
      </c>
    </row>
    <row r="126" spans="1:42" x14ac:dyDescent="0.3">
      <c r="A126" t="s">
        <v>573</v>
      </c>
      <c r="B126" t="s">
        <v>637</v>
      </c>
      <c r="C126" t="s">
        <v>638</v>
      </c>
      <c r="D126" t="s">
        <v>639</v>
      </c>
      <c r="E126" t="s">
        <v>46</v>
      </c>
      <c r="F126" t="s">
        <v>133</v>
      </c>
      <c r="G126" t="s">
        <v>48</v>
      </c>
      <c r="H126" t="s">
        <v>49</v>
      </c>
      <c r="I126" t="s">
        <v>50</v>
      </c>
      <c r="J126" t="s">
        <v>51</v>
      </c>
      <c r="K126" t="s">
        <v>51</v>
      </c>
      <c r="L126" t="s">
        <v>134</v>
      </c>
      <c r="M126" t="s">
        <v>640</v>
      </c>
      <c r="N126" t="s">
        <v>54</v>
      </c>
      <c r="O126" t="s">
        <v>54</v>
      </c>
      <c r="P126" t="s">
        <v>54</v>
      </c>
      <c r="Q126" t="s">
        <v>641</v>
      </c>
      <c r="R126" s="1">
        <v>1720116110.0699999</v>
      </c>
      <c r="S126" s="1">
        <v>55760382.450000003</v>
      </c>
      <c r="T126" s="1">
        <v>117810517.81999999</v>
      </c>
      <c r="U126" s="1">
        <v>5804708.6799999997</v>
      </c>
      <c r="V126" t="s">
        <v>54</v>
      </c>
      <c r="W126">
        <v>578233.28</v>
      </c>
      <c r="X126">
        <v>83503.240000000005</v>
      </c>
      <c r="Y126">
        <v>6156.24</v>
      </c>
      <c r="Z126">
        <v>87388294.439999998</v>
      </c>
      <c r="AA126">
        <v>210778487.74000001</v>
      </c>
      <c r="AB126">
        <v>0</v>
      </c>
      <c r="AC126">
        <v>66773167.840000004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9965000</v>
      </c>
      <c r="AK126">
        <v>9965000</v>
      </c>
      <c r="AL126">
        <v>91717114.019999996</v>
      </c>
      <c r="AM126">
        <v>91717114.019999996</v>
      </c>
      <c r="AN126">
        <v>0</v>
      </c>
      <c r="AO126">
        <v>0</v>
      </c>
      <c r="AP126">
        <f t="shared" si="1"/>
        <v>41.459778641070535</v>
      </c>
    </row>
    <row r="127" spans="1:42" x14ac:dyDescent="0.3">
      <c r="A127" t="s">
        <v>573</v>
      </c>
      <c r="B127" t="s">
        <v>642</v>
      </c>
      <c r="C127" t="s">
        <v>643</v>
      </c>
      <c r="D127" t="s">
        <v>644</v>
      </c>
      <c r="E127" t="s">
        <v>46</v>
      </c>
      <c r="F127" t="s">
        <v>47</v>
      </c>
      <c r="G127" t="s">
        <v>60</v>
      </c>
      <c r="H127" t="s">
        <v>49</v>
      </c>
      <c r="I127" t="s">
        <v>50</v>
      </c>
      <c r="J127" t="s">
        <v>51</v>
      </c>
      <c r="K127" t="s">
        <v>51</v>
      </c>
      <c r="L127" t="s">
        <v>134</v>
      </c>
      <c r="M127" t="s">
        <v>645</v>
      </c>
      <c r="N127" t="s">
        <v>54</v>
      </c>
      <c r="O127" t="s">
        <v>54</v>
      </c>
      <c r="P127" t="s">
        <v>54</v>
      </c>
      <c r="Q127" t="s">
        <v>646</v>
      </c>
      <c r="R127" s="1">
        <v>350204013.68000001</v>
      </c>
      <c r="S127" s="1">
        <v>221076443.03</v>
      </c>
      <c r="T127" s="1">
        <v>336430553.51999998</v>
      </c>
      <c r="U127" s="1">
        <v>14581738.32</v>
      </c>
      <c r="V127" t="s">
        <v>54</v>
      </c>
      <c r="W127">
        <v>553123.18000000005</v>
      </c>
      <c r="X127">
        <v>1722.34</v>
      </c>
      <c r="Y127">
        <v>20603.84</v>
      </c>
      <c r="Z127">
        <v>37565212.810000002</v>
      </c>
      <c r="AA127">
        <v>156642005.97999999</v>
      </c>
      <c r="AB127">
        <v>0</v>
      </c>
      <c r="AC127">
        <v>52189765.799999997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96481395</v>
      </c>
      <c r="AK127">
        <v>96481395</v>
      </c>
      <c r="AL127">
        <v>96481395</v>
      </c>
      <c r="AM127">
        <v>96481395</v>
      </c>
      <c r="AN127">
        <v>0</v>
      </c>
      <c r="AO127">
        <v>0</v>
      </c>
      <c r="AP127">
        <f t="shared" si="1"/>
        <v>23.981570316966138</v>
      </c>
    </row>
    <row r="128" spans="1:42" ht="43.2" x14ac:dyDescent="0.3">
      <c r="A128" t="s">
        <v>647</v>
      </c>
      <c r="B128" t="s">
        <v>648</v>
      </c>
      <c r="C128" t="s">
        <v>649</v>
      </c>
      <c r="D128" t="s">
        <v>650</v>
      </c>
      <c r="E128" t="s">
        <v>70</v>
      </c>
      <c r="F128" s="6" t="s">
        <v>75</v>
      </c>
      <c r="G128" t="s">
        <v>48</v>
      </c>
      <c r="H128" t="s">
        <v>76</v>
      </c>
      <c r="I128" t="s">
        <v>50</v>
      </c>
      <c r="J128" t="s">
        <v>51</v>
      </c>
      <c r="K128" t="s">
        <v>51</v>
      </c>
      <c r="L128" t="s">
        <v>52</v>
      </c>
      <c r="M128" t="s">
        <v>66</v>
      </c>
      <c r="N128" t="s">
        <v>51</v>
      </c>
      <c r="O128" t="s">
        <v>54</v>
      </c>
      <c r="P128" t="s">
        <v>51</v>
      </c>
      <c r="Q128" t="s">
        <v>55</v>
      </c>
      <c r="R128" s="1">
        <v>0</v>
      </c>
      <c r="S128" s="1">
        <v>0</v>
      </c>
      <c r="T128" s="1">
        <v>0</v>
      </c>
      <c r="U128" s="1">
        <v>0</v>
      </c>
      <c r="V128" t="s">
        <v>51</v>
      </c>
      <c r="W128">
        <v>0</v>
      </c>
      <c r="X128">
        <v>0</v>
      </c>
      <c r="Y128">
        <v>0</v>
      </c>
      <c r="Z128">
        <v>-85216056.489999995</v>
      </c>
      <c r="AA128">
        <v>-1184642144.1300001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100</v>
      </c>
      <c r="AK128">
        <v>100</v>
      </c>
      <c r="AL128">
        <v>13803453.68</v>
      </c>
      <c r="AM128">
        <v>13803453.68</v>
      </c>
      <c r="AN128">
        <v>0</v>
      </c>
      <c r="AO128">
        <v>0</v>
      </c>
      <c r="AP128">
        <f t="shared" si="1"/>
        <v>7.1934007170226559</v>
      </c>
    </row>
    <row r="129" spans="1:42" x14ac:dyDescent="0.3">
      <c r="A129" t="s">
        <v>647</v>
      </c>
      <c r="B129" t="s">
        <v>651</v>
      </c>
      <c r="C129" t="s">
        <v>652</v>
      </c>
      <c r="D129" t="s">
        <v>653</v>
      </c>
      <c r="E129" t="s">
        <v>46</v>
      </c>
      <c r="F129" t="s">
        <v>224</v>
      </c>
      <c r="G129" t="s">
        <v>48</v>
      </c>
      <c r="H129" t="s">
        <v>76</v>
      </c>
      <c r="I129" t="s">
        <v>50</v>
      </c>
      <c r="J129" t="s">
        <v>51</v>
      </c>
      <c r="K129" t="s">
        <v>51</v>
      </c>
      <c r="L129" t="s">
        <v>52</v>
      </c>
      <c r="M129" t="s">
        <v>654</v>
      </c>
      <c r="N129" t="s">
        <v>54</v>
      </c>
      <c r="O129" t="s">
        <v>54</v>
      </c>
      <c r="P129" t="s">
        <v>51</v>
      </c>
      <c r="Q129" t="s">
        <v>55</v>
      </c>
      <c r="R129" s="1">
        <v>72574.5</v>
      </c>
      <c r="S129" s="1">
        <v>201250.05</v>
      </c>
      <c r="T129" s="1">
        <v>214488.62</v>
      </c>
      <c r="U129" s="1">
        <v>0</v>
      </c>
      <c r="V129" t="s">
        <v>51</v>
      </c>
      <c r="W129">
        <v>16695.84</v>
      </c>
      <c r="X129">
        <v>0</v>
      </c>
      <c r="Y129">
        <v>0</v>
      </c>
      <c r="Z129">
        <v>-138579.04999999999</v>
      </c>
      <c r="AA129">
        <v>1002194.11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100</v>
      </c>
      <c r="AK129">
        <v>100</v>
      </c>
      <c r="AL129">
        <v>3426643.64</v>
      </c>
      <c r="AM129">
        <v>3426643.64</v>
      </c>
      <c r="AN129">
        <v>0</v>
      </c>
      <c r="AO129">
        <v>0</v>
      </c>
      <c r="AP129">
        <f t="shared" si="1"/>
        <v>-13.82756579960343</v>
      </c>
    </row>
    <row r="130" spans="1:42" x14ac:dyDescent="0.3">
      <c r="A130" t="s">
        <v>647</v>
      </c>
      <c r="B130" t="s">
        <v>655</v>
      </c>
      <c r="C130" t="s">
        <v>303</v>
      </c>
      <c r="D130" t="s">
        <v>656</v>
      </c>
      <c r="E130" t="s">
        <v>46</v>
      </c>
      <c r="F130" t="s">
        <v>75</v>
      </c>
      <c r="G130" t="s">
        <v>60</v>
      </c>
      <c r="H130" t="s">
        <v>49</v>
      </c>
      <c r="I130" t="s">
        <v>50</v>
      </c>
      <c r="J130" t="s">
        <v>51</v>
      </c>
      <c r="K130" t="s">
        <v>51</v>
      </c>
      <c r="L130" t="s">
        <v>134</v>
      </c>
      <c r="M130" t="s">
        <v>657</v>
      </c>
      <c r="N130" t="s">
        <v>54</v>
      </c>
      <c r="O130" t="s">
        <v>54</v>
      </c>
      <c r="P130" t="s">
        <v>51</v>
      </c>
      <c r="Q130" t="s">
        <v>55</v>
      </c>
      <c r="R130" s="1">
        <v>3835260.71</v>
      </c>
      <c r="S130" s="1">
        <v>2165434.9700000002</v>
      </c>
      <c r="T130" s="1">
        <v>6220790.0999999996</v>
      </c>
      <c r="U130" s="1">
        <v>4055355.13</v>
      </c>
      <c r="V130" t="s">
        <v>51</v>
      </c>
      <c r="W130">
        <v>73976.479999999996</v>
      </c>
      <c r="X130">
        <v>0</v>
      </c>
      <c r="Y130">
        <v>0</v>
      </c>
      <c r="Z130">
        <v>887475.99</v>
      </c>
      <c r="AA130">
        <v>3170620.97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593931</v>
      </c>
      <c r="AM130">
        <v>593931</v>
      </c>
      <c r="AN130">
        <v>0</v>
      </c>
      <c r="AO130">
        <v>0</v>
      </c>
      <c r="AP130">
        <f t="shared" ref="AP130:AP193" si="2">Z130*100/AA130</f>
        <v>27.990604944494514</v>
      </c>
    </row>
    <row r="131" spans="1:42" x14ac:dyDescent="0.3">
      <c r="A131" t="s">
        <v>647</v>
      </c>
      <c r="B131" t="s">
        <v>658</v>
      </c>
      <c r="C131" t="s">
        <v>659</v>
      </c>
      <c r="D131" t="s">
        <v>660</v>
      </c>
      <c r="E131" t="s">
        <v>46</v>
      </c>
      <c r="F131" t="s">
        <v>71</v>
      </c>
      <c r="G131" t="s">
        <v>48</v>
      </c>
      <c r="H131" t="s">
        <v>76</v>
      </c>
      <c r="I131" t="s">
        <v>50</v>
      </c>
      <c r="J131" t="s">
        <v>51</v>
      </c>
      <c r="K131" t="s">
        <v>51</v>
      </c>
      <c r="L131" t="s">
        <v>134</v>
      </c>
      <c r="M131" t="s">
        <v>66</v>
      </c>
      <c r="N131" t="s">
        <v>51</v>
      </c>
      <c r="O131" t="s">
        <v>51</v>
      </c>
      <c r="P131" t="s">
        <v>51</v>
      </c>
      <c r="Q131" t="s">
        <v>55</v>
      </c>
      <c r="R131" s="1">
        <v>0</v>
      </c>
      <c r="S131" s="1">
        <v>0</v>
      </c>
      <c r="T131" s="1">
        <v>0</v>
      </c>
      <c r="U131" s="1">
        <v>0</v>
      </c>
      <c r="V131" t="s">
        <v>51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e">
        <f t="shared" si="2"/>
        <v>#DIV/0!</v>
      </c>
    </row>
    <row r="132" spans="1:42" x14ac:dyDescent="0.3">
      <c r="A132" t="s">
        <v>647</v>
      </c>
      <c r="B132" t="s">
        <v>661</v>
      </c>
      <c r="C132" t="s">
        <v>662</v>
      </c>
      <c r="D132" t="s">
        <v>663</v>
      </c>
      <c r="E132" t="s">
        <v>46</v>
      </c>
      <c r="F132" t="s">
        <v>139</v>
      </c>
      <c r="G132" t="s">
        <v>60</v>
      </c>
      <c r="H132" t="s">
        <v>49</v>
      </c>
      <c r="I132" t="s">
        <v>50</v>
      </c>
      <c r="J132" t="s">
        <v>51</v>
      </c>
      <c r="K132" t="s">
        <v>51</v>
      </c>
      <c r="L132" t="s">
        <v>134</v>
      </c>
      <c r="M132" t="s">
        <v>664</v>
      </c>
      <c r="N132" t="s">
        <v>54</v>
      </c>
      <c r="O132" t="s">
        <v>54</v>
      </c>
      <c r="P132" t="s">
        <v>54</v>
      </c>
      <c r="Q132" t="s">
        <v>55</v>
      </c>
      <c r="R132" s="1">
        <v>489229991.79000002</v>
      </c>
      <c r="S132" s="1">
        <v>26407633.699999999</v>
      </c>
      <c r="T132" s="1">
        <v>69577864.739999995</v>
      </c>
      <c r="U132" s="1">
        <v>29146880.550000001</v>
      </c>
      <c r="V132" t="s">
        <v>54</v>
      </c>
      <c r="W132">
        <v>533402.72</v>
      </c>
      <c r="X132">
        <v>52668.24</v>
      </c>
      <c r="Y132">
        <v>28335.11</v>
      </c>
      <c r="Z132">
        <v>43489794.689999998</v>
      </c>
      <c r="AA132">
        <v>188683337.38</v>
      </c>
      <c r="AC132">
        <v>29365700.050000001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39953400</v>
      </c>
      <c r="AK132">
        <v>399534</v>
      </c>
      <c r="AL132">
        <v>39953400</v>
      </c>
      <c r="AM132">
        <v>0</v>
      </c>
      <c r="AN132">
        <v>0</v>
      </c>
      <c r="AO132">
        <v>0</v>
      </c>
      <c r="AP132">
        <f t="shared" si="2"/>
        <v>23.04909129438041</v>
      </c>
    </row>
    <row r="133" spans="1:42" x14ac:dyDescent="0.3">
      <c r="A133" t="s">
        <v>647</v>
      </c>
      <c r="B133" t="s">
        <v>665</v>
      </c>
      <c r="C133" t="s">
        <v>666</v>
      </c>
      <c r="D133" t="s">
        <v>667</v>
      </c>
      <c r="E133" t="s">
        <v>46</v>
      </c>
      <c r="F133" t="s">
        <v>107</v>
      </c>
      <c r="G133" t="s">
        <v>60</v>
      </c>
      <c r="H133" t="s">
        <v>49</v>
      </c>
      <c r="I133" t="s">
        <v>50</v>
      </c>
      <c r="J133" t="s">
        <v>51</v>
      </c>
      <c r="K133" t="s">
        <v>51</v>
      </c>
      <c r="L133" t="s">
        <v>134</v>
      </c>
      <c r="M133" t="s">
        <v>668</v>
      </c>
      <c r="N133" t="s">
        <v>54</v>
      </c>
      <c r="O133" t="s">
        <v>54</v>
      </c>
      <c r="P133" t="s">
        <v>54</v>
      </c>
      <c r="Q133" t="s">
        <v>669</v>
      </c>
      <c r="R133" s="1">
        <v>836133064.83000004</v>
      </c>
      <c r="S133" s="1">
        <v>219335241.81999999</v>
      </c>
      <c r="T133" s="1">
        <v>742719704.63</v>
      </c>
      <c r="U133" s="1">
        <v>236421341.36000001</v>
      </c>
      <c r="V133" t="s">
        <v>54</v>
      </c>
      <c r="W133">
        <v>508603.9</v>
      </c>
      <c r="X133">
        <v>22444.17</v>
      </c>
      <c r="Y133">
        <v>19133.009999999998</v>
      </c>
      <c r="Z133">
        <v>90586784.700000003</v>
      </c>
      <c r="AA133">
        <v>1236679607.96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75178884.189999998</v>
      </c>
      <c r="AI133">
        <v>77351959.790000007</v>
      </c>
      <c r="AJ133">
        <v>100</v>
      </c>
      <c r="AK133">
        <v>100</v>
      </c>
      <c r="AL133">
        <v>891788338.08000004</v>
      </c>
      <c r="AM133">
        <v>969140297.87</v>
      </c>
      <c r="AN133">
        <v>0</v>
      </c>
      <c r="AO133">
        <v>0</v>
      </c>
      <c r="AP133">
        <f t="shared" si="2"/>
        <v>7.3250002762987254</v>
      </c>
    </row>
    <row r="134" spans="1:42" x14ac:dyDescent="0.3">
      <c r="A134" t="s">
        <v>670</v>
      </c>
      <c r="B134" t="s">
        <v>671</v>
      </c>
      <c r="C134" t="s">
        <v>672</v>
      </c>
      <c r="D134" t="s">
        <v>673</v>
      </c>
      <c r="E134" t="s">
        <v>46</v>
      </c>
      <c r="F134" t="s">
        <v>102</v>
      </c>
      <c r="G134" t="s">
        <v>48</v>
      </c>
      <c r="H134" t="s">
        <v>76</v>
      </c>
      <c r="I134" t="s">
        <v>50</v>
      </c>
      <c r="J134" t="s">
        <v>51</v>
      </c>
      <c r="K134" t="s">
        <v>51</v>
      </c>
      <c r="L134" t="s">
        <v>52</v>
      </c>
      <c r="M134" t="s">
        <v>674</v>
      </c>
      <c r="N134" t="s">
        <v>54</v>
      </c>
      <c r="O134" t="s">
        <v>54</v>
      </c>
      <c r="P134" t="s">
        <v>51</v>
      </c>
      <c r="Q134" t="s">
        <v>675</v>
      </c>
      <c r="R134" s="1">
        <v>1586186.01</v>
      </c>
      <c r="S134" s="1">
        <v>127547925.81</v>
      </c>
      <c r="T134" s="1">
        <v>142208198.66</v>
      </c>
      <c r="U134" s="1">
        <v>3062369.86</v>
      </c>
      <c r="V134" t="s">
        <v>51</v>
      </c>
      <c r="W134">
        <v>408008.49</v>
      </c>
      <c r="X134">
        <v>0</v>
      </c>
      <c r="Y134">
        <v>151.25</v>
      </c>
      <c r="Z134">
        <v>3510344.61</v>
      </c>
      <c r="AA134">
        <v>103203565.26000001</v>
      </c>
      <c r="AB134">
        <v>0</v>
      </c>
      <c r="AC134">
        <v>0</v>
      </c>
      <c r="AD134">
        <v>185017057.93000001</v>
      </c>
      <c r="AE134">
        <v>145339209.13999999</v>
      </c>
      <c r="AF134">
        <v>144257699.21000001</v>
      </c>
      <c r="AG134" s="14">
        <v>140619688.66</v>
      </c>
      <c r="AH134">
        <v>0</v>
      </c>
      <c r="AI134">
        <v>0</v>
      </c>
      <c r="AJ134">
        <v>100</v>
      </c>
      <c r="AK134">
        <v>100</v>
      </c>
      <c r="AL134">
        <v>34889260.759999998</v>
      </c>
      <c r="AM134">
        <v>34889260.759999998</v>
      </c>
      <c r="AN134">
        <v>0</v>
      </c>
      <c r="AO134">
        <v>0</v>
      </c>
      <c r="AP134">
        <f t="shared" si="2"/>
        <v>3.4013792073523952</v>
      </c>
    </row>
    <row r="135" spans="1:42" x14ac:dyDescent="0.3">
      <c r="A135" t="s">
        <v>670</v>
      </c>
      <c r="B135" t="s">
        <v>676</v>
      </c>
      <c r="C135" t="s">
        <v>677</v>
      </c>
      <c r="D135" t="s">
        <v>678</v>
      </c>
      <c r="E135" t="s">
        <v>70</v>
      </c>
      <c r="F135" t="s">
        <v>224</v>
      </c>
      <c r="G135" t="s">
        <v>60</v>
      </c>
      <c r="H135" t="s">
        <v>76</v>
      </c>
      <c r="I135" t="s">
        <v>50</v>
      </c>
      <c r="J135" t="s">
        <v>51</v>
      </c>
      <c r="K135" t="s">
        <v>51</v>
      </c>
      <c r="L135" t="s">
        <v>52</v>
      </c>
      <c r="M135" t="s">
        <v>679</v>
      </c>
      <c r="N135" t="s">
        <v>54</v>
      </c>
      <c r="O135" t="s">
        <v>54</v>
      </c>
      <c r="P135" t="s">
        <v>51</v>
      </c>
      <c r="Q135" t="s">
        <v>675</v>
      </c>
      <c r="R135" s="1">
        <v>0</v>
      </c>
      <c r="S135" s="1">
        <v>23939272.850000001</v>
      </c>
      <c r="T135" s="1">
        <v>56903961.350000001</v>
      </c>
      <c r="U135" s="1">
        <v>1162596</v>
      </c>
      <c r="V135" t="s">
        <v>51</v>
      </c>
      <c r="W135">
        <v>94063.76</v>
      </c>
      <c r="X135">
        <v>0</v>
      </c>
      <c r="Y135">
        <v>62558.85</v>
      </c>
      <c r="Z135">
        <v>-6844361</v>
      </c>
      <c r="AA135">
        <v>33761392.759999998</v>
      </c>
      <c r="AB135">
        <v>0</v>
      </c>
      <c r="AC135">
        <v>0</v>
      </c>
      <c r="AD135">
        <v>38369237</v>
      </c>
      <c r="AE135">
        <v>77666491</v>
      </c>
      <c r="AF135">
        <v>2424223</v>
      </c>
      <c r="AG135" s="14">
        <v>3199488.37</v>
      </c>
      <c r="AH135">
        <v>298165</v>
      </c>
      <c r="AI135">
        <v>0</v>
      </c>
      <c r="AJ135">
        <v>99.99</v>
      </c>
      <c r="AK135">
        <v>99.99</v>
      </c>
      <c r="AL135">
        <v>61171276</v>
      </c>
      <c r="AM135">
        <v>0</v>
      </c>
      <c r="AN135">
        <v>0</v>
      </c>
      <c r="AO135">
        <v>0</v>
      </c>
      <c r="AP135">
        <f t="shared" si="2"/>
        <v>-20.272744814334491</v>
      </c>
    </row>
    <row r="136" spans="1:42" x14ac:dyDescent="0.3">
      <c r="A136" t="s">
        <v>670</v>
      </c>
      <c r="B136" t="s">
        <v>680</v>
      </c>
      <c r="C136" t="s">
        <v>681</v>
      </c>
      <c r="D136" t="s">
        <v>682</v>
      </c>
      <c r="E136" t="s">
        <v>46</v>
      </c>
      <c r="F136" t="s">
        <v>139</v>
      </c>
      <c r="G136" t="s">
        <v>60</v>
      </c>
      <c r="H136" t="s">
        <v>49</v>
      </c>
      <c r="I136" t="s">
        <v>50</v>
      </c>
      <c r="J136" t="s">
        <v>51</v>
      </c>
      <c r="K136" t="s">
        <v>51</v>
      </c>
      <c r="L136" t="s">
        <v>52</v>
      </c>
      <c r="M136" t="s">
        <v>683</v>
      </c>
      <c r="N136" t="s">
        <v>54</v>
      </c>
      <c r="O136" t="s">
        <v>54</v>
      </c>
      <c r="P136" t="s">
        <v>51</v>
      </c>
      <c r="Q136" t="s">
        <v>675</v>
      </c>
      <c r="R136" s="1">
        <v>33328033.870000001</v>
      </c>
      <c r="S136" s="1">
        <v>4524613.93</v>
      </c>
      <c r="T136" s="1">
        <v>120697167.48</v>
      </c>
      <c r="U136" s="1">
        <v>852340.08</v>
      </c>
      <c r="V136" t="s">
        <v>51</v>
      </c>
      <c r="W136">
        <v>328577.76</v>
      </c>
      <c r="X136">
        <v>0</v>
      </c>
      <c r="Y136">
        <v>143589.12</v>
      </c>
      <c r="Z136">
        <v>0</v>
      </c>
      <c r="AA136">
        <v>0</v>
      </c>
      <c r="AB136">
        <v>0</v>
      </c>
      <c r="AC136">
        <v>0</v>
      </c>
      <c r="AD136">
        <v>8011265.4900000002</v>
      </c>
      <c r="AE136">
        <v>113581.49</v>
      </c>
      <c r="AF136">
        <v>0</v>
      </c>
      <c r="AG136" s="14">
        <v>0</v>
      </c>
      <c r="AH136">
        <v>0</v>
      </c>
      <c r="AI136">
        <v>0</v>
      </c>
      <c r="AJ136">
        <v>99.99</v>
      </c>
      <c r="AK136">
        <v>99.99</v>
      </c>
      <c r="AL136">
        <v>8500007</v>
      </c>
      <c r="AM136">
        <v>8500007</v>
      </c>
      <c r="AN136">
        <v>0</v>
      </c>
      <c r="AO136">
        <v>0</v>
      </c>
      <c r="AP136" t="e">
        <f t="shared" si="2"/>
        <v>#DIV/0!</v>
      </c>
    </row>
    <row r="137" spans="1:42" x14ac:dyDescent="0.3">
      <c r="A137" t="s">
        <v>670</v>
      </c>
      <c r="B137" t="s">
        <v>684</v>
      </c>
      <c r="C137" t="s">
        <v>685</v>
      </c>
      <c r="D137" t="s">
        <v>686</v>
      </c>
      <c r="E137" t="s">
        <v>46</v>
      </c>
      <c r="F137" t="s">
        <v>133</v>
      </c>
      <c r="G137" t="s">
        <v>60</v>
      </c>
      <c r="H137" t="s">
        <v>49</v>
      </c>
      <c r="I137" t="s">
        <v>50</v>
      </c>
      <c r="J137" t="s">
        <v>51</v>
      </c>
      <c r="K137" t="s">
        <v>51</v>
      </c>
      <c r="L137" t="s">
        <v>52</v>
      </c>
      <c r="M137" t="s">
        <v>687</v>
      </c>
      <c r="N137" t="s">
        <v>54</v>
      </c>
      <c r="O137" t="s">
        <v>54</v>
      </c>
      <c r="P137" t="s">
        <v>51</v>
      </c>
      <c r="Q137" t="s">
        <v>688</v>
      </c>
      <c r="R137" s="1">
        <v>392423949.07999998</v>
      </c>
      <c r="S137" s="1">
        <v>1676736.39</v>
      </c>
      <c r="T137" s="1">
        <v>67511791.519999996</v>
      </c>
      <c r="U137" s="1">
        <v>53312410.109999999</v>
      </c>
      <c r="V137" t="s">
        <v>51</v>
      </c>
      <c r="W137">
        <v>464500.76</v>
      </c>
      <c r="X137">
        <v>0</v>
      </c>
      <c r="Y137">
        <v>177487.66</v>
      </c>
      <c r="Z137">
        <v>38357340.439999998</v>
      </c>
      <c r="AA137">
        <v>1238329036.54</v>
      </c>
      <c r="AB137">
        <v>1200000000</v>
      </c>
      <c r="AC137">
        <v>0</v>
      </c>
      <c r="AD137">
        <v>14992000.84</v>
      </c>
      <c r="AE137">
        <v>392423949.07999998</v>
      </c>
      <c r="AF137">
        <v>0</v>
      </c>
      <c r="AG137" s="14">
        <v>0</v>
      </c>
      <c r="AH137">
        <v>856786746.74000001</v>
      </c>
      <c r="AI137">
        <v>0</v>
      </c>
      <c r="AJ137">
        <v>99.99</v>
      </c>
      <c r="AK137">
        <v>99.99</v>
      </c>
      <c r="AL137">
        <v>150000000</v>
      </c>
      <c r="AM137">
        <v>1200000000</v>
      </c>
      <c r="AN137">
        <v>100000000</v>
      </c>
      <c r="AO137">
        <v>0</v>
      </c>
      <c r="AP137">
        <f t="shared" si="2"/>
        <v>3.0975079569460613</v>
      </c>
    </row>
    <row r="138" spans="1:42" x14ac:dyDescent="0.3">
      <c r="A138" t="s">
        <v>670</v>
      </c>
      <c r="B138" t="s">
        <v>689</v>
      </c>
      <c r="C138" t="s">
        <v>690</v>
      </c>
      <c r="D138" t="s">
        <v>691</v>
      </c>
      <c r="E138" t="s">
        <v>46</v>
      </c>
      <c r="F138" t="s">
        <v>65</v>
      </c>
      <c r="G138" t="s">
        <v>60</v>
      </c>
      <c r="H138" t="s">
        <v>49</v>
      </c>
      <c r="I138" t="s">
        <v>50</v>
      </c>
      <c r="J138" t="s">
        <v>51</v>
      </c>
      <c r="K138" t="s">
        <v>54</v>
      </c>
      <c r="L138" t="s">
        <v>52</v>
      </c>
      <c r="M138" t="s">
        <v>66</v>
      </c>
      <c r="N138" t="s">
        <v>54</v>
      </c>
      <c r="O138" t="s">
        <v>54</v>
      </c>
      <c r="P138" t="s">
        <v>51</v>
      </c>
      <c r="Q138" t="s">
        <v>675</v>
      </c>
      <c r="R138" s="1">
        <v>0</v>
      </c>
      <c r="S138" s="1">
        <v>0</v>
      </c>
      <c r="T138" s="1">
        <v>0</v>
      </c>
      <c r="U138" s="1">
        <v>0</v>
      </c>
      <c r="V138" t="s">
        <v>51</v>
      </c>
      <c r="W138">
        <v>0</v>
      </c>
      <c r="X138">
        <v>0</v>
      </c>
      <c r="Y138">
        <v>0</v>
      </c>
      <c r="Z138">
        <v>0</v>
      </c>
      <c r="AA138">
        <v>5000000</v>
      </c>
      <c r="AB138">
        <v>5000000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100</v>
      </c>
      <c r="AK138">
        <v>100</v>
      </c>
      <c r="AL138">
        <v>5000000</v>
      </c>
      <c r="AM138">
        <v>5000000</v>
      </c>
      <c r="AN138">
        <v>0</v>
      </c>
      <c r="AO138">
        <v>0</v>
      </c>
      <c r="AP138">
        <f t="shared" si="2"/>
        <v>0</v>
      </c>
    </row>
    <row r="139" spans="1:42" x14ac:dyDescent="0.3">
      <c r="A139" t="s">
        <v>670</v>
      </c>
      <c r="B139" t="s">
        <v>692</v>
      </c>
      <c r="C139" t="s">
        <v>693</v>
      </c>
      <c r="D139" t="s">
        <v>694</v>
      </c>
      <c r="E139" t="s">
        <v>46</v>
      </c>
      <c r="F139" t="s">
        <v>162</v>
      </c>
      <c r="G139" t="s">
        <v>60</v>
      </c>
      <c r="H139" t="s">
        <v>49</v>
      </c>
      <c r="I139" t="s">
        <v>50</v>
      </c>
      <c r="J139" t="s">
        <v>51</v>
      </c>
      <c r="K139" t="s">
        <v>54</v>
      </c>
      <c r="L139" t="s">
        <v>52</v>
      </c>
      <c r="M139" t="s">
        <v>66</v>
      </c>
      <c r="N139" t="s">
        <v>54</v>
      </c>
      <c r="O139" t="s">
        <v>54</v>
      </c>
      <c r="P139" t="s">
        <v>51</v>
      </c>
      <c r="Q139" t="s">
        <v>675</v>
      </c>
      <c r="R139" s="1">
        <v>0</v>
      </c>
      <c r="S139" s="1">
        <v>0</v>
      </c>
      <c r="T139" s="1">
        <v>0</v>
      </c>
      <c r="U139" s="1">
        <v>0</v>
      </c>
      <c r="V139" t="s">
        <v>51</v>
      </c>
      <c r="W139">
        <v>0</v>
      </c>
      <c r="X139">
        <v>0</v>
      </c>
      <c r="Y139">
        <v>0</v>
      </c>
      <c r="Z139">
        <v>0</v>
      </c>
      <c r="AA139">
        <v>5500000</v>
      </c>
      <c r="AB139">
        <v>5500000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100</v>
      </c>
      <c r="AK139">
        <v>100</v>
      </c>
      <c r="AL139">
        <v>5500000</v>
      </c>
      <c r="AM139">
        <v>5500000</v>
      </c>
      <c r="AN139">
        <v>0</v>
      </c>
      <c r="AO139">
        <v>0</v>
      </c>
      <c r="AP139">
        <f t="shared" si="2"/>
        <v>0</v>
      </c>
    </row>
    <row r="140" spans="1:42" x14ac:dyDescent="0.3">
      <c r="A140" t="s">
        <v>670</v>
      </c>
      <c r="B140" t="s">
        <v>695</v>
      </c>
      <c r="C140" t="s">
        <v>696</v>
      </c>
      <c r="D140" t="s">
        <v>697</v>
      </c>
      <c r="E140" t="s">
        <v>46</v>
      </c>
      <c r="F140" t="s">
        <v>47</v>
      </c>
      <c r="G140" t="s">
        <v>48</v>
      </c>
      <c r="H140" t="s">
        <v>76</v>
      </c>
      <c r="I140" t="s">
        <v>50</v>
      </c>
      <c r="J140" t="s">
        <v>51</v>
      </c>
      <c r="K140" t="s">
        <v>51</v>
      </c>
      <c r="L140" t="s">
        <v>52</v>
      </c>
      <c r="M140" t="s">
        <v>698</v>
      </c>
      <c r="N140" t="s">
        <v>54</v>
      </c>
      <c r="O140" t="s">
        <v>54</v>
      </c>
      <c r="P140" t="s">
        <v>51</v>
      </c>
      <c r="Q140" t="s">
        <v>699</v>
      </c>
      <c r="R140" s="1">
        <v>82875490.269999996</v>
      </c>
      <c r="S140" s="1">
        <v>105697124.40000001</v>
      </c>
      <c r="T140" s="1">
        <v>230792933.22999999</v>
      </c>
      <c r="U140" s="1">
        <v>55079369.640000001</v>
      </c>
      <c r="V140" t="s">
        <v>51</v>
      </c>
      <c r="W140">
        <v>516329.84</v>
      </c>
      <c r="X140">
        <v>0</v>
      </c>
      <c r="Y140">
        <v>0</v>
      </c>
      <c r="Z140">
        <v>2196138.02</v>
      </c>
      <c r="AA140">
        <v>100381544.69</v>
      </c>
      <c r="AB140">
        <v>0</v>
      </c>
      <c r="AC140">
        <v>0</v>
      </c>
      <c r="AD140">
        <v>117747282.2</v>
      </c>
      <c r="AE140">
        <v>123713622.3</v>
      </c>
      <c r="AF140">
        <v>0</v>
      </c>
      <c r="AG140" s="14">
        <v>0</v>
      </c>
      <c r="AH140">
        <v>4000000</v>
      </c>
      <c r="AI140">
        <v>0</v>
      </c>
      <c r="AJ140">
        <v>100</v>
      </c>
      <c r="AK140">
        <v>100</v>
      </c>
      <c r="AL140">
        <v>90600149.030000001</v>
      </c>
      <c r="AM140">
        <v>90600149.030000001</v>
      </c>
      <c r="AN140">
        <v>9399850.9700000007</v>
      </c>
      <c r="AO140">
        <v>9399850.9700000007</v>
      </c>
      <c r="AP140">
        <f t="shared" si="2"/>
        <v>2.1877906210570388</v>
      </c>
    </row>
    <row r="141" spans="1:42" x14ac:dyDescent="0.3">
      <c r="A141" t="s">
        <v>670</v>
      </c>
      <c r="B141" t="s">
        <v>700</v>
      </c>
      <c r="C141" t="s">
        <v>701</v>
      </c>
      <c r="D141" t="s">
        <v>702</v>
      </c>
      <c r="E141" t="s">
        <v>70</v>
      </c>
      <c r="F141" t="s">
        <v>107</v>
      </c>
      <c r="G141" t="s">
        <v>60</v>
      </c>
      <c r="H141" t="s">
        <v>363</v>
      </c>
      <c r="I141" t="s">
        <v>373</v>
      </c>
      <c r="J141" t="s">
        <v>51</v>
      </c>
      <c r="K141" t="s">
        <v>51</v>
      </c>
      <c r="L141" t="s">
        <v>52</v>
      </c>
      <c r="M141" t="s">
        <v>703</v>
      </c>
      <c r="N141" t="s">
        <v>54</v>
      </c>
      <c r="O141" t="s">
        <v>54</v>
      </c>
      <c r="P141" t="s">
        <v>51</v>
      </c>
      <c r="Q141" t="s">
        <v>675</v>
      </c>
      <c r="R141" s="1">
        <v>0</v>
      </c>
      <c r="S141" s="1">
        <v>1761866.61</v>
      </c>
      <c r="T141" s="1">
        <v>22091692.329999998</v>
      </c>
      <c r="U141" s="1">
        <v>0</v>
      </c>
      <c r="V141" t="s">
        <v>51</v>
      </c>
      <c r="W141">
        <v>339751.8</v>
      </c>
      <c r="X141">
        <v>0</v>
      </c>
      <c r="Y141">
        <v>148387.72</v>
      </c>
      <c r="Z141">
        <v>-13857395.01</v>
      </c>
      <c r="AA141">
        <v>7260371.8799999999</v>
      </c>
      <c r="AB141">
        <v>0</v>
      </c>
      <c r="AC141">
        <v>0</v>
      </c>
      <c r="AD141">
        <v>23683899.27</v>
      </c>
      <c r="AE141">
        <v>21542319.469999999</v>
      </c>
      <c r="AF141">
        <v>0</v>
      </c>
      <c r="AG141" s="14">
        <v>0</v>
      </c>
      <c r="AH141">
        <v>0</v>
      </c>
      <c r="AI141">
        <v>0</v>
      </c>
      <c r="AJ141">
        <v>82.6</v>
      </c>
      <c r="AK141">
        <v>82.6</v>
      </c>
      <c r="AL141">
        <v>0</v>
      </c>
      <c r="AM141">
        <v>0</v>
      </c>
      <c r="AN141">
        <v>0</v>
      </c>
      <c r="AO141">
        <v>0</v>
      </c>
      <c r="AP141">
        <f t="shared" si="2"/>
        <v>-190.8634328796943</v>
      </c>
    </row>
    <row r="142" spans="1:42" x14ac:dyDescent="0.3">
      <c r="A142" t="s">
        <v>670</v>
      </c>
      <c r="B142" t="s">
        <v>704</v>
      </c>
      <c r="C142" t="s">
        <v>705</v>
      </c>
      <c r="D142" t="s">
        <v>706</v>
      </c>
      <c r="E142" t="s">
        <v>46</v>
      </c>
      <c r="F142" t="s">
        <v>314</v>
      </c>
      <c r="G142" t="s">
        <v>60</v>
      </c>
      <c r="H142" t="s">
        <v>49</v>
      </c>
      <c r="I142" t="s">
        <v>50</v>
      </c>
      <c r="J142" t="s">
        <v>51</v>
      </c>
      <c r="K142" t="s">
        <v>54</v>
      </c>
      <c r="L142" t="s">
        <v>52</v>
      </c>
      <c r="M142" t="s">
        <v>66</v>
      </c>
      <c r="N142" t="s">
        <v>54</v>
      </c>
      <c r="O142" t="s">
        <v>54</v>
      </c>
      <c r="P142" t="s">
        <v>51</v>
      </c>
      <c r="Q142" t="s">
        <v>675</v>
      </c>
      <c r="R142" s="1">
        <v>0</v>
      </c>
      <c r="S142" s="1">
        <v>0</v>
      </c>
      <c r="T142" s="1">
        <v>0</v>
      </c>
      <c r="U142" s="1">
        <v>0</v>
      </c>
      <c r="V142" t="s">
        <v>51</v>
      </c>
      <c r="W142">
        <v>0</v>
      </c>
      <c r="X142">
        <v>0</v>
      </c>
      <c r="Y142">
        <v>0</v>
      </c>
      <c r="Z142">
        <v>0</v>
      </c>
      <c r="AA142">
        <v>1000000</v>
      </c>
      <c r="AB142">
        <v>1000000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100</v>
      </c>
      <c r="AK142">
        <v>100</v>
      </c>
      <c r="AL142">
        <v>1000000</v>
      </c>
      <c r="AM142">
        <v>1000000</v>
      </c>
      <c r="AN142">
        <v>0</v>
      </c>
      <c r="AO142">
        <v>0</v>
      </c>
      <c r="AP142">
        <f t="shared" si="2"/>
        <v>0</v>
      </c>
    </row>
    <row r="143" spans="1:42" x14ac:dyDescent="0.3">
      <c r="A143" t="s">
        <v>670</v>
      </c>
      <c r="B143" t="s">
        <v>707</v>
      </c>
      <c r="C143" t="s">
        <v>708</v>
      </c>
      <c r="D143" t="s">
        <v>709</v>
      </c>
      <c r="E143" t="s">
        <v>46</v>
      </c>
      <c r="F143" t="s">
        <v>71</v>
      </c>
      <c r="G143" t="s">
        <v>60</v>
      </c>
      <c r="H143" t="s">
        <v>49</v>
      </c>
      <c r="I143" t="s">
        <v>50</v>
      </c>
      <c r="J143" t="s">
        <v>51</v>
      </c>
      <c r="K143" t="s">
        <v>51</v>
      </c>
      <c r="L143" t="s">
        <v>134</v>
      </c>
      <c r="M143" t="s">
        <v>710</v>
      </c>
      <c r="N143" t="s">
        <v>54</v>
      </c>
      <c r="O143" t="s">
        <v>54</v>
      </c>
      <c r="P143" t="s">
        <v>51</v>
      </c>
      <c r="Q143" t="s">
        <v>675</v>
      </c>
      <c r="R143" s="1">
        <v>25598000</v>
      </c>
      <c r="S143" s="1">
        <v>1201752</v>
      </c>
      <c r="T143" s="1">
        <v>2666982</v>
      </c>
      <c r="U143" s="1">
        <v>4068</v>
      </c>
      <c r="V143" t="s">
        <v>51</v>
      </c>
      <c r="W143">
        <v>265490</v>
      </c>
      <c r="X143">
        <v>0</v>
      </c>
      <c r="Y143">
        <v>0</v>
      </c>
      <c r="Z143">
        <v>4919619</v>
      </c>
      <c r="AA143">
        <v>219285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78580936.790000007</v>
      </c>
      <c r="AI143">
        <v>0</v>
      </c>
      <c r="AJ143">
        <v>99.99</v>
      </c>
      <c r="AK143">
        <v>99.99</v>
      </c>
      <c r="AL143">
        <v>210141484.66999999</v>
      </c>
      <c r="AM143">
        <v>210141484.66999999</v>
      </c>
      <c r="AN143">
        <v>0</v>
      </c>
      <c r="AO143">
        <v>0</v>
      </c>
      <c r="AP143">
        <f t="shared" si="2"/>
        <v>2243.4817702989262</v>
      </c>
    </row>
    <row r="144" spans="1:42" x14ac:dyDescent="0.3">
      <c r="A144" t="s">
        <v>670</v>
      </c>
      <c r="B144" t="s">
        <v>711</v>
      </c>
      <c r="C144" t="s">
        <v>712</v>
      </c>
      <c r="D144" t="s">
        <v>713</v>
      </c>
      <c r="E144" t="s">
        <v>46</v>
      </c>
      <c r="F144" t="s">
        <v>59</v>
      </c>
      <c r="G144" t="s">
        <v>60</v>
      </c>
      <c r="H144" t="s">
        <v>49</v>
      </c>
      <c r="I144" t="s">
        <v>50</v>
      </c>
      <c r="J144" t="s">
        <v>51</v>
      </c>
      <c r="K144" t="s">
        <v>54</v>
      </c>
      <c r="L144" t="s">
        <v>134</v>
      </c>
      <c r="M144" t="s">
        <v>714</v>
      </c>
      <c r="N144" t="s">
        <v>54</v>
      </c>
      <c r="O144" t="s">
        <v>54</v>
      </c>
      <c r="P144" t="s">
        <v>51</v>
      </c>
      <c r="Q144" t="s">
        <v>675</v>
      </c>
      <c r="R144" s="1">
        <v>672323000</v>
      </c>
      <c r="S144" s="1">
        <v>72706000</v>
      </c>
      <c r="T144" s="1">
        <v>1521761000</v>
      </c>
      <c r="U144" s="1">
        <v>1196770000</v>
      </c>
      <c r="V144" t="s">
        <v>54</v>
      </c>
      <c r="W144">
        <v>0</v>
      </c>
      <c r="X144">
        <v>0</v>
      </c>
      <c r="Y144">
        <v>0</v>
      </c>
      <c r="Z144">
        <v>344203000</v>
      </c>
      <c r="AA144">
        <v>2715197000</v>
      </c>
      <c r="AB144">
        <v>0</v>
      </c>
      <c r="AC144">
        <v>0</v>
      </c>
      <c r="AD144">
        <v>0</v>
      </c>
      <c r="AE144">
        <v>0</v>
      </c>
      <c r="AF144">
        <v>1008727139.36</v>
      </c>
      <c r="AG144">
        <v>1008727140</v>
      </c>
      <c r="AH144">
        <v>690000000</v>
      </c>
      <c r="AI144">
        <v>510000000</v>
      </c>
      <c r="AJ144">
        <v>100</v>
      </c>
      <c r="AK144">
        <v>100</v>
      </c>
      <c r="AL144">
        <v>1521810533.01</v>
      </c>
      <c r="AM144">
        <v>2031810533.01</v>
      </c>
      <c r="AN144">
        <v>0</v>
      </c>
      <c r="AO144">
        <v>350000000</v>
      </c>
      <c r="AP144">
        <f t="shared" si="2"/>
        <v>12.67690705315305</v>
      </c>
    </row>
    <row r="145" spans="1:42" x14ac:dyDescent="0.3">
      <c r="A145" t="s">
        <v>715</v>
      </c>
      <c r="B145" t="s">
        <v>716</v>
      </c>
      <c r="C145" t="s">
        <v>303</v>
      </c>
      <c r="D145" t="s">
        <v>717</v>
      </c>
      <c r="E145" t="s">
        <v>46</v>
      </c>
      <c r="F145" t="s">
        <v>75</v>
      </c>
      <c r="G145" t="s">
        <v>60</v>
      </c>
      <c r="H145" t="s">
        <v>49</v>
      </c>
      <c r="I145" t="s">
        <v>50</v>
      </c>
      <c r="J145" t="s">
        <v>51</v>
      </c>
      <c r="K145" t="s">
        <v>54</v>
      </c>
      <c r="L145" t="s">
        <v>52</v>
      </c>
      <c r="M145" t="s">
        <v>718</v>
      </c>
      <c r="N145" t="s">
        <v>54</v>
      </c>
      <c r="O145" t="s">
        <v>54</v>
      </c>
      <c r="P145" t="s">
        <v>54</v>
      </c>
      <c r="Q145" t="s">
        <v>55</v>
      </c>
      <c r="R145" s="1">
        <v>2654629.66</v>
      </c>
      <c r="S145" s="1">
        <v>7705774.29</v>
      </c>
      <c r="T145" s="1">
        <v>29188721.280000001</v>
      </c>
      <c r="U145" s="1">
        <v>0</v>
      </c>
      <c r="V145" t="s">
        <v>51</v>
      </c>
      <c r="W145">
        <v>7705774.29</v>
      </c>
      <c r="X145">
        <v>0</v>
      </c>
      <c r="Y145">
        <v>14476.88</v>
      </c>
      <c r="Z145">
        <v>-1214479.29</v>
      </c>
      <c r="AA145">
        <v>-17175189.010000002</v>
      </c>
      <c r="AB145">
        <v>0</v>
      </c>
      <c r="AC145">
        <v>0</v>
      </c>
      <c r="AD145">
        <v>20533029.77</v>
      </c>
      <c r="AE145">
        <v>19765292.32</v>
      </c>
      <c r="AF145">
        <v>1116638.8400000001</v>
      </c>
      <c r="AG145" s="14">
        <v>866222.58</v>
      </c>
      <c r="AH145">
        <v>0</v>
      </c>
      <c r="AI145">
        <v>0</v>
      </c>
      <c r="AJ145">
        <v>99.99</v>
      </c>
      <c r="AK145">
        <v>99.99</v>
      </c>
      <c r="AL145">
        <v>3833847.05</v>
      </c>
      <c r="AM145">
        <v>3833847.05</v>
      </c>
      <c r="AN145">
        <v>0</v>
      </c>
      <c r="AO145">
        <v>0</v>
      </c>
      <c r="AP145">
        <f t="shared" si="2"/>
        <v>7.071126200083663</v>
      </c>
    </row>
    <row r="146" spans="1:42" x14ac:dyDescent="0.3">
      <c r="A146" t="s">
        <v>715</v>
      </c>
      <c r="B146" t="s">
        <v>719</v>
      </c>
      <c r="C146" t="s">
        <v>720</v>
      </c>
      <c r="D146" t="s">
        <v>721</v>
      </c>
      <c r="E146" t="s">
        <v>46</v>
      </c>
      <c r="F146" t="s">
        <v>65</v>
      </c>
      <c r="G146" t="s">
        <v>60</v>
      </c>
      <c r="H146" t="s">
        <v>49</v>
      </c>
      <c r="I146" t="s">
        <v>50</v>
      </c>
      <c r="J146" t="s">
        <v>51</v>
      </c>
      <c r="K146" t="s">
        <v>51</v>
      </c>
      <c r="L146" t="s">
        <v>52</v>
      </c>
      <c r="M146" t="s">
        <v>722</v>
      </c>
      <c r="N146" t="s">
        <v>54</v>
      </c>
      <c r="O146" t="s">
        <v>54</v>
      </c>
      <c r="P146" t="s">
        <v>51</v>
      </c>
      <c r="Q146" t="s">
        <v>723</v>
      </c>
      <c r="R146" s="1">
        <v>13029676.289999999</v>
      </c>
      <c r="S146" s="1">
        <v>7987558.1600000001</v>
      </c>
      <c r="T146" s="1">
        <v>15497114.01</v>
      </c>
      <c r="U146" s="1">
        <v>87291.85</v>
      </c>
      <c r="V146" t="s">
        <v>51</v>
      </c>
      <c r="W146">
        <v>343295.27</v>
      </c>
      <c r="X146">
        <v>0</v>
      </c>
      <c r="Y146">
        <v>0</v>
      </c>
      <c r="Z146">
        <v>7750703.9299999997</v>
      </c>
      <c r="AA146">
        <v>69090105.769999996</v>
      </c>
      <c r="AB146">
        <v>0</v>
      </c>
      <c r="AC146">
        <v>0</v>
      </c>
      <c r="AD146">
        <v>5296978</v>
      </c>
      <c r="AE146">
        <v>5210027.58</v>
      </c>
      <c r="AF146">
        <v>0</v>
      </c>
      <c r="AG146" s="14">
        <v>0</v>
      </c>
      <c r="AH146">
        <v>0</v>
      </c>
      <c r="AI146">
        <v>0</v>
      </c>
      <c r="AJ146">
        <v>99.53</v>
      </c>
      <c r="AK146">
        <v>99.53</v>
      </c>
      <c r="AL146">
        <v>22565720.649999999</v>
      </c>
      <c r="AM146">
        <v>22565720.649999999</v>
      </c>
      <c r="AN146">
        <v>0</v>
      </c>
      <c r="AO146">
        <v>0</v>
      </c>
      <c r="AP146">
        <f t="shared" si="2"/>
        <v>11.218254544003718</v>
      </c>
    </row>
    <row r="147" spans="1:42" x14ac:dyDescent="0.3">
      <c r="A147" t="s">
        <v>715</v>
      </c>
      <c r="B147" t="s">
        <v>724</v>
      </c>
      <c r="C147" t="s">
        <v>91</v>
      </c>
      <c r="D147" t="s">
        <v>725</v>
      </c>
      <c r="E147" t="s">
        <v>46</v>
      </c>
      <c r="F147" t="s">
        <v>93</v>
      </c>
      <c r="G147" t="s">
        <v>60</v>
      </c>
      <c r="H147" t="s">
        <v>49</v>
      </c>
      <c r="I147" t="s">
        <v>50</v>
      </c>
      <c r="J147" t="s">
        <v>51</v>
      </c>
      <c r="K147" t="s">
        <v>51</v>
      </c>
      <c r="L147" t="s">
        <v>52</v>
      </c>
      <c r="M147" t="s">
        <v>726</v>
      </c>
      <c r="N147" t="s">
        <v>54</v>
      </c>
      <c r="O147" t="s">
        <v>54</v>
      </c>
      <c r="P147" t="s">
        <v>51</v>
      </c>
      <c r="Q147" t="s">
        <v>727</v>
      </c>
      <c r="R147" s="1">
        <v>789455.77</v>
      </c>
      <c r="S147" s="1">
        <v>39016042.960000001</v>
      </c>
      <c r="T147" s="1">
        <v>112104480.81</v>
      </c>
      <c r="U147" s="1">
        <v>0</v>
      </c>
      <c r="V147" t="s">
        <v>51</v>
      </c>
      <c r="W147">
        <v>365222.73</v>
      </c>
      <c r="X147">
        <v>0</v>
      </c>
      <c r="Y147">
        <v>14657.4</v>
      </c>
      <c r="Z147">
        <v>64618631.939999998</v>
      </c>
      <c r="AA147">
        <v>103353343.09</v>
      </c>
      <c r="AB147">
        <v>0</v>
      </c>
      <c r="AC147">
        <v>0</v>
      </c>
      <c r="AD147">
        <v>87776138.430000007</v>
      </c>
      <c r="AE147">
        <v>96036530.829999998</v>
      </c>
      <c r="AF147">
        <v>2158325.04</v>
      </c>
      <c r="AG147" s="14">
        <v>112747295.40000001</v>
      </c>
      <c r="AH147">
        <v>0</v>
      </c>
      <c r="AI147">
        <v>0</v>
      </c>
      <c r="AJ147">
        <v>99</v>
      </c>
      <c r="AK147">
        <v>99</v>
      </c>
      <c r="AL147">
        <v>89804780.659999996</v>
      </c>
      <c r="AM147">
        <v>89804780.659999996</v>
      </c>
      <c r="AN147">
        <v>0</v>
      </c>
      <c r="AO147">
        <v>0</v>
      </c>
      <c r="AP147">
        <f t="shared" si="2"/>
        <v>62.522052996128195</v>
      </c>
    </row>
    <row r="148" spans="1:42" x14ac:dyDescent="0.3">
      <c r="A148" t="s">
        <v>715</v>
      </c>
      <c r="B148" t="s">
        <v>728</v>
      </c>
      <c r="C148" t="s">
        <v>729</v>
      </c>
      <c r="D148" t="s">
        <v>730</v>
      </c>
      <c r="E148" t="s">
        <v>46</v>
      </c>
      <c r="F148" t="s">
        <v>314</v>
      </c>
      <c r="G148" t="s">
        <v>48</v>
      </c>
      <c r="H148" t="s">
        <v>76</v>
      </c>
      <c r="I148" t="s">
        <v>50</v>
      </c>
      <c r="J148" t="s">
        <v>51</v>
      </c>
      <c r="K148" t="s">
        <v>51</v>
      </c>
      <c r="L148" t="s">
        <v>52</v>
      </c>
      <c r="M148" t="s">
        <v>466</v>
      </c>
      <c r="N148" t="s">
        <v>54</v>
      </c>
      <c r="O148" t="s">
        <v>54</v>
      </c>
      <c r="P148" t="s">
        <v>51</v>
      </c>
      <c r="Q148" t="s">
        <v>55</v>
      </c>
      <c r="R148" s="1">
        <v>11585896.560000001</v>
      </c>
      <c r="S148" s="1">
        <v>3621453.2</v>
      </c>
      <c r="T148" s="1">
        <v>11181259.779999999</v>
      </c>
      <c r="U148" s="1">
        <v>0</v>
      </c>
      <c r="V148" t="s">
        <v>51</v>
      </c>
      <c r="W148">
        <v>3256160.72</v>
      </c>
      <c r="X148">
        <v>0</v>
      </c>
      <c r="Y148">
        <v>365292.48</v>
      </c>
      <c r="Z148">
        <v>270414783.73000002</v>
      </c>
      <c r="AA148">
        <v>216525127.71000001</v>
      </c>
      <c r="AB148">
        <v>0</v>
      </c>
      <c r="AC148">
        <v>0</v>
      </c>
      <c r="AD148">
        <v>34885831.310000002</v>
      </c>
      <c r="AE148">
        <v>22162938.52</v>
      </c>
      <c r="AF148">
        <v>0</v>
      </c>
      <c r="AG148" s="14">
        <v>0</v>
      </c>
      <c r="AH148">
        <v>0</v>
      </c>
      <c r="AI148">
        <v>0</v>
      </c>
      <c r="AJ148">
        <v>100</v>
      </c>
      <c r="AK148">
        <v>100</v>
      </c>
      <c r="AL148">
        <v>2599890.0299999998</v>
      </c>
      <c r="AM148">
        <v>2599890.0299999998</v>
      </c>
      <c r="AN148">
        <v>0</v>
      </c>
      <c r="AO148">
        <v>0</v>
      </c>
      <c r="AP148">
        <f t="shared" si="2"/>
        <v>124.88840745180225</v>
      </c>
    </row>
    <row r="149" spans="1:42" x14ac:dyDescent="0.3">
      <c r="A149" t="s">
        <v>715</v>
      </c>
      <c r="B149" t="s">
        <v>731</v>
      </c>
      <c r="C149" t="s">
        <v>100</v>
      </c>
      <c r="D149" t="s">
        <v>732</v>
      </c>
      <c r="E149" t="s">
        <v>46</v>
      </c>
      <c r="F149" t="s">
        <v>102</v>
      </c>
      <c r="G149" t="s">
        <v>48</v>
      </c>
      <c r="H149" t="s">
        <v>76</v>
      </c>
      <c r="I149" t="s">
        <v>50</v>
      </c>
      <c r="J149" t="s">
        <v>51</v>
      </c>
      <c r="K149" t="s">
        <v>51</v>
      </c>
      <c r="L149" t="s">
        <v>52</v>
      </c>
      <c r="M149" t="s">
        <v>733</v>
      </c>
      <c r="N149" t="s">
        <v>54</v>
      </c>
      <c r="O149" t="s">
        <v>54</v>
      </c>
      <c r="P149" t="s">
        <v>51</v>
      </c>
      <c r="Q149" t="s">
        <v>734</v>
      </c>
      <c r="R149" s="1">
        <v>901202.54</v>
      </c>
      <c r="S149" s="1">
        <v>133427539.84</v>
      </c>
      <c r="T149" s="1">
        <v>153684371.37</v>
      </c>
      <c r="U149" s="1">
        <v>0</v>
      </c>
      <c r="V149" t="s">
        <v>51</v>
      </c>
      <c r="W149">
        <v>229270.92</v>
      </c>
      <c r="X149">
        <v>0</v>
      </c>
      <c r="Y149">
        <v>1642277.35</v>
      </c>
      <c r="Z149">
        <v>7234508.1799999997</v>
      </c>
      <c r="AA149">
        <v>1145683.94</v>
      </c>
      <c r="AB149">
        <v>0</v>
      </c>
      <c r="AC149">
        <v>0</v>
      </c>
      <c r="AD149">
        <v>162793879.80000001</v>
      </c>
      <c r="AE149">
        <v>161010046.71000001</v>
      </c>
      <c r="AF149">
        <v>46016107.060000002</v>
      </c>
      <c r="AG149" s="14">
        <v>7480102.2300000004</v>
      </c>
      <c r="AH149">
        <v>0</v>
      </c>
      <c r="AI149">
        <v>0</v>
      </c>
      <c r="AJ149">
        <v>100</v>
      </c>
      <c r="AK149">
        <v>100</v>
      </c>
      <c r="AL149">
        <v>0</v>
      </c>
      <c r="AM149">
        <v>4000000</v>
      </c>
      <c r="AN149">
        <v>0</v>
      </c>
      <c r="AO149">
        <v>0</v>
      </c>
      <c r="AP149">
        <f t="shared" si="2"/>
        <v>631.45758855622955</v>
      </c>
    </row>
    <row r="150" spans="1:42" x14ac:dyDescent="0.3">
      <c r="A150" t="s">
        <v>715</v>
      </c>
      <c r="B150" t="s">
        <v>735</v>
      </c>
      <c r="C150" t="s">
        <v>736</v>
      </c>
      <c r="D150" t="s">
        <v>737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51</v>
      </c>
      <c r="K150" t="s">
        <v>51</v>
      </c>
      <c r="L150" t="s">
        <v>52</v>
      </c>
      <c r="M150" t="s">
        <v>199</v>
      </c>
      <c r="N150" t="s">
        <v>54</v>
      </c>
      <c r="O150" t="s">
        <v>54</v>
      </c>
      <c r="P150" t="s">
        <v>51</v>
      </c>
      <c r="Q150" t="s">
        <v>55</v>
      </c>
      <c r="R150" s="1">
        <v>52470657.530000001</v>
      </c>
      <c r="S150" s="1">
        <v>74099417.950000003</v>
      </c>
      <c r="T150" s="1">
        <v>157505597.19</v>
      </c>
      <c r="U150" s="1">
        <v>34231846.189999998</v>
      </c>
      <c r="V150" t="s">
        <v>51</v>
      </c>
      <c r="W150">
        <v>532452.14</v>
      </c>
      <c r="X150">
        <v>0</v>
      </c>
      <c r="Y150">
        <v>0</v>
      </c>
      <c r="Z150">
        <v>-3840412.37</v>
      </c>
      <c r="AA150">
        <v>93654453.849999994</v>
      </c>
      <c r="AB150">
        <v>0</v>
      </c>
      <c r="AC150">
        <v>0</v>
      </c>
      <c r="AD150">
        <v>92078748.609999999</v>
      </c>
      <c r="AE150">
        <v>100183598.5</v>
      </c>
      <c r="AF150">
        <v>0</v>
      </c>
      <c r="AG150" s="14">
        <v>50000</v>
      </c>
      <c r="AH150">
        <v>0</v>
      </c>
      <c r="AI150">
        <v>29081412.989999998</v>
      </c>
      <c r="AJ150">
        <v>50</v>
      </c>
      <c r="AK150">
        <v>0.5</v>
      </c>
      <c r="AL150">
        <v>29081412.989999998</v>
      </c>
      <c r="AM150">
        <v>0</v>
      </c>
      <c r="AN150">
        <v>0</v>
      </c>
      <c r="AO150">
        <v>0</v>
      </c>
      <c r="AP150">
        <f t="shared" si="2"/>
        <v>-4.1006190438640848</v>
      </c>
    </row>
    <row r="151" spans="1:42" x14ac:dyDescent="0.3">
      <c r="A151" t="s">
        <v>715</v>
      </c>
      <c r="B151" t="s">
        <v>738</v>
      </c>
      <c r="C151" t="s">
        <v>739</v>
      </c>
      <c r="D151" t="s">
        <v>740</v>
      </c>
      <c r="E151" t="s">
        <v>46</v>
      </c>
      <c r="F151" t="s">
        <v>71</v>
      </c>
      <c r="G151" t="s">
        <v>60</v>
      </c>
      <c r="H151" t="s">
        <v>49</v>
      </c>
      <c r="I151" t="s">
        <v>373</v>
      </c>
      <c r="J151" t="s">
        <v>54</v>
      </c>
      <c r="K151" t="s">
        <v>51</v>
      </c>
      <c r="L151" t="s">
        <v>134</v>
      </c>
      <c r="M151" t="s">
        <v>741</v>
      </c>
      <c r="N151" t="s">
        <v>54</v>
      </c>
      <c r="O151" t="s">
        <v>54</v>
      </c>
      <c r="P151" t="s">
        <v>54</v>
      </c>
      <c r="Q151" t="s">
        <v>742</v>
      </c>
      <c r="R151" s="1">
        <v>2344017159.2800002</v>
      </c>
      <c r="S151" s="1">
        <v>444038096.83999997</v>
      </c>
      <c r="T151" s="1">
        <v>1567290913.28</v>
      </c>
      <c r="U151" s="1">
        <v>137280294.09999999</v>
      </c>
      <c r="V151" t="s">
        <v>54</v>
      </c>
      <c r="W151">
        <v>603867.88</v>
      </c>
      <c r="X151">
        <v>31139.919999999998</v>
      </c>
      <c r="Y151">
        <v>1492.15</v>
      </c>
      <c r="Z151">
        <v>368068562.88999999</v>
      </c>
      <c r="AA151">
        <v>2106279880.3099999</v>
      </c>
      <c r="AB151">
        <v>1084962547.3499999</v>
      </c>
      <c r="AC151">
        <v>172797599.81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99.98</v>
      </c>
      <c r="AK151">
        <v>99.98</v>
      </c>
      <c r="AL151">
        <v>1472778725.04</v>
      </c>
      <c r="AM151">
        <v>1472778726.04</v>
      </c>
      <c r="AN151">
        <v>0</v>
      </c>
      <c r="AO151">
        <v>0</v>
      </c>
      <c r="AP151">
        <f t="shared" si="2"/>
        <v>17.474817393965139</v>
      </c>
    </row>
    <row r="152" spans="1:42" x14ac:dyDescent="0.3">
      <c r="A152" t="s">
        <v>715</v>
      </c>
      <c r="B152" t="s">
        <v>743</v>
      </c>
      <c r="C152" t="s">
        <v>744</v>
      </c>
      <c r="D152" t="s">
        <v>745</v>
      </c>
      <c r="E152" t="s">
        <v>46</v>
      </c>
      <c r="F152" t="s">
        <v>65</v>
      </c>
      <c r="G152" t="s">
        <v>60</v>
      </c>
      <c r="H152" t="s">
        <v>49</v>
      </c>
      <c r="I152" t="s">
        <v>50</v>
      </c>
      <c r="J152" t="s">
        <v>51</v>
      </c>
      <c r="K152" t="s">
        <v>54</v>
      </c>
      <c r="L152" t="s">
        <v>134</v>
      </c>
      <c r="M152" t="s">
        <v>66</v>
      </c>
      <c r="N152" t="s">
        <v>54</v>
      </c>
      <c r="O152" t="s">
        <v>54</v>
      </c>
      <c r="P152" t="s">
        <v>51</v>
      </c>
      <c r="Q152" t="s">
        <v>723</v>
      </c>
      <c r="R152" s="1">
        <v>0</v>
      </c>
      <c r="S152" s="1">
        <v>0</v>
      </c>
      <c r="T152" s="1">
        <v>87843.44</v>
      </c>
      <c r="U152" s="1">
        <v>0</v>
      </c>
      <c r="V152" t="s">
        <v>51</v>
      </c>
      <c r="W152">
        <v>0</v>
      </c>
      <c r="X152">
        <v>0</v>
      </c>
      <c r="Y152">
        <v>0</v>
      </c>
      <c r="Z152">
        <v>52628.13</v>
      </c>
      <c r="AA152">
        <v>24842900.489999998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99.53</v>
      </c>
      <c r="AK152">
        <v>99.53</v>
      </c>
      <c r="AL152">
        <v>28487875</v>
      </c>
      <c r="AM152">
        <v>28487875</v>
      </c>
      <c r="AN152">
        <v>15512125</v>
      </c>
      <c r="AO152">
        <v>15512125</v>
      </c>
      <c r="AP152">
        <f t="shared" si="2"/>
        <v>0.21184374192210115</v>
      </c>
    </row>
    <row r="153" spans="1:42" x14ac:dyDescent="0.3">
      <c r="A153" t="s">
        <v>715</v>
      </c>
      <c r="B153" t="s">
        <v>746</v>
      </c>
      <c r="C153" t="s">
        <v>747</v>
      </c>
      <c r="D153" t="s">
        <v>748</v>
      </c>
      <c r="E153" t="s">
        <v>46</v>
      </c>
      <c r="F153" t="s">
        <v>107</v>
      </c>
      <c r="G153" t="s">
        <v>60</v>
      </c>
      <c r="H153" t="s">
        <v>49</v>
      </c>
      <c r="I153" t="s">
        <v>50</v>
      </c>
      <c r="J153" t="s">
        <v>51</v>
      </c>
      <c r="K153" t="s">
        <v>51</v>
      </c>
      <c r="L153" t="s">
        <v>134</v>
      </c>
      <c r="M153" t="s">
        <v>749</v>
      </c>
      <c r="N153" t="s">
        <v>54</v>
      </c>
      <c r="O153" t="s">
        <v>54</v>
      </c>
      <c r="P153" t="s">
        <v>54</v>
      </c>
      <c r="Q153" t="s">
        <v>750</v>
      </c>
      <c r="R153" s="1">
        <v>780169317.39999998</v>
      </c>
      <c r="S153" s="1">
        <v>279616275.04000002</v>
      </c>
      <c r="T153" s="1">
        <v>1251995061.27</v>
      </c>
      <c r="U153" s="1">
        <v>0</v>
      </c>
      <c r="V153" t="s">
        <v>51</v>
      </c>
      <c r="W153">
        <v>286193.03000000003</v>
      </c>
      <c r="X153">
        <v>0</v>
      </c>
      <c r="Y153">
        <v>198766.15</v>
      </c>
      <c r="Z153">
        <v>-304884941.61000001</v>
      </c>
      <c r="AA153">
        <v>1414791666.26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155894306.72</v>
      </c>
      <c r="AI153">
        <v>178010391.40000001</v>
      </c>
      <c r="AJ153">
        <v>99.99</v>
      </c>
      <c r="AK153">
        <v>99.99</v>
      </c>
      <c r="AL153">
        <v>3977088223.27</v>
      </c>
      <c r="AM153">
        <v>4127088223.27</v>
      </c>
      <c r="AN153">
        <v>175094889.78999999</v>
      </c>
      <c r="AO153">
        <v>22911776.73</v>
      </c>
      <c r="AP153">
        <f t="shared" si="2"/>
        <v>-21.549811811937158</v>
      </c>
    </row>
    <row r="154" spans="1:42" x14ac:dyDescent="0.3">
      <c r="A154" t="s">
        <v>715</v>
      </c>
      <c r="B154" t="s">
        <v>751</v>
      </c>
      <c r="C154" t="s">
        <v>752</v>
      </c>
      <c r="D154" t="s">
        <v>753</v>
      </c>
      <c r="E154" t="s">
        <v>46</v>
      </c>
      <c r="F154" t="s">
        <v>139</v>
      </c>
      <c r="G154" t="s">
        <v>60</v>
      </c>
      <c r="H154" t="s">
        <v>76</v>
      </c>
      <c r="I154" t="s">
        <v>50</v>
      </c>
      <c r="J154" t="s">
        <v>51</v>
      </c>
      <c r="K154" t="s">
        <v>51</v>
      </c>
      <c r="L154" t="s">
        <v>134</v>
      </c>
      <c r="M154" t="s">
        <v>754</v>
      </c>
      <c r="N154" t="s">
        <v>54</v>
      </c>
      <c r="O154" t="s">
        <v>54</v>
      </c>
      <c r="P154" t="s">
        <v>51</v>
      </c>
      <c r="Q154" t="s">
        <v>755</v>
      </c>
      <c r="R154" s="1">
        <v>70036.800000000003</v>
      </c>
      <c r="S154" s="1">
        <v>7998229.7699999996</v>
      </c>
      <c r="T154" s="1">
        <v>14254878.75</v>
      </c>
      <c r="U154" s="1">
        <v>5454382.9900000002</v>
      </c>
      <c r="V154" t="s">
        <v>51</v>
      </c>
      <c r="W154">
        <v>338259.34</v>
      </c>
      <c r="X154">
        <v>0</v>
      </c>
      <c r="Y154">
        <v>0</v>
      </c>
      <c r="Z154">
        <v>36486626.579999998</v>
      </c>
      <c r="AA154">
        <v>36663898.399999999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25.5</v>
      </c>
      <c r="AK154">
        <v>25.5</v>
      </c>
      <c r="AL154">
        <v>0</v>
      </c>
      <c r="AM154">
        <v>9672812.7400000002</v>
      </c>
      <c r="AN154">
        <v>2428519.46</v>
      </c>
      <c r="AO154">
        <v>0</v>
      </c>
      <c r="AP154">
        <f t="shared" si="2"/>
        <v>99.516494896243771</v>
      </c>
    </row>
    <row r="155" spans="1:42" x14ac:dyDescent="0.3">
      <c r="A155" t="s">
        <v>756</v>
      </c>
      <c r="B155" t="s">
        <v>757</v>
      </c>
      <c r="C155" t="s">
        <v>758</v>
      </c>
      <c r="D155" t="s">
        <v>759</v>
      </c>
      <c r="E155" t="s">
        <v>70</v>
      </c>
      <c r="F155" t="s">
        <v>224</v>
      </c>
      <c r="G155" t="s">
        <v>60</v>
      </c>
      <c r="H155" t="s">
        <v>76</v>
      </c>
      <c r="I155" t="s">
        <v>50</v>
      </c>
      <c r="J155" t="s">
        <v>51</v>
      </c>
      <c r="K155" t="s">
        <v>51</v>
      </c>
      <c r="L155" t="s">
        <v>52</v>
      </c>
      <c r="M155" t="s">
        <v>66</v>
      </c>
      <c r="N155" t="s">
        <v>51</v>
      </c>
      <c r="O155" t="s">
        <v>54</v>
      </c>
      <c r="P155" t="s">
        <v>51</v>
      </c>
      <c r="Q155" t="s">
        <v>55</v>
      </c>
      <c r="R155" s="1">
        <v>0</v>
      </c>
      <c r="S155" s="1">
        <v>0</v>
      </c>
      <c r="T155" s="1">
        <v>0</v>
      </c>
      <c r="U155" s="1">
        <v>0</v>
      </c>
      <c r="V155" t="s">
        <v>51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73709</v>
      </c>
      <c r="AK155">
        <v>73709</v>
      </c>
      <c r="AL155">
        <v>73709</v>
      </c>
      <c r="AM155">
        <v>73709</v>
      </c>
      <c r="AN155">
        <v>0</v>
      </c>
      <c r="AO155">
        <v>0</v>
      </c>
      <c r="AP155" t="e">
        <f t="shared" si="2"/>
        <v>#DIV/0!</v>
      </c>
    </row>
    <row r="156" spans="1:42" x14ac:dyDescent="0.3">
      <c r="A156" t="s">
        <v>756</v>
      </c>
      <c r="B156" t="s">
        <v>760</v>
      </c>
      <c r="C156" t="s">
        <v>761</v>
      </c>
      <c r="D156" t="s">
        <v>762</v>
      </c>
      <c r="E156" t="s">
        <v>46</v>
      </c>
      <c r="F156" t="s">
        <v>93</v>
      </c>
      <c r="G156" t="s">
        <v>60</v>
      </c>
      <c r="H156" t="s">
        <v>49</v>
      </c>
      <c r="I156" t="s">
        <v>50</v>
      </c>
      <c r="J156" t="s">
        <v>51</v>
      </c>
      <c r="K156" t="s">
        <v>51</v>
      </c>
      <c r="L156" t="s">
        <v>52</v>
      </c>
      <c r="M156" t="s">
        <v>763</v>
      </c>
      <c r="N156" t="s">
        <v>54</v>
      </c>
      <c r="O156" t="s">
        <v>54</v>
      </c>
      <c r="P156" t="s">
        <v>51</v>
      </c>
      <c r="Q156" t="s">
        <v>55</v>
      </c>
      <c r="R156" s="1">
        <v>56902399.310000002</v>
      </c>
      <c r="S156" s="1">
        <v>17305120.890000001</v>
      </c>
      <c r="T156" s="1">
        <v>67995550.230000004</v>
      </c>
      <c r="U156" s="1">
        <v>31260219.859999999</v>
      </c>
      <c r="V156" t="s">
        <v>51</v>
      </c>
      <c r="W156">
        <v>406026.23</v>
      </c>
      <c r="X156">
        <v>0</v>
      </c>
      <c r="Y156">
        <v>0</v>
      </c>
      <c r="Z156">
        <v>0</v>
      </c>
      <c r="AA156">
        <v>0</v>
      </c>
      <c r="AB156">
        <v>1000000000</v>
      </c>
      <c r="AC156">
        <v>0</v>
      </c>
      <c r="AD156">
        <v>53199465.780000001</v>
      </c>
      <c r="AE156">
        <v>56120836.140000001</v>
      </c>
      <c r="AF156">
        <v>0</v>
      </c>
      <c r="AG156" s="14">
        <v>0</v>
      </c>
      <c r="AH156">
        <v>22343838.699999999</v>
      </c>
      <c r="AI156">
        <v>5211746.28</v>
      </c>
      <c r="AJ156">
        <v>260738619</v>
      </c>
      <c r="AK156">
        <v>265950366</v>
      </c>
      <c r="AL156">
        <v>22343838.699999999</v>
      </c>
      <c r="AM156">
        <v>5251478</v>
      </c>
      <c r="AN156">
        <v>5211746.28</v>
      </c>
      <c r="AO156">
        <v>10059079</v>
      </c>
      <c r="AP156" t="e">
        <f t="shared" si="2"/>
        <v>#DIV/0!</v>
      </c>
    </row>
    <row r="157" spans="1:42" x14ac:dyDescent="0.3">
      <c r="A157" t="s">
        <v>756</v>
      </c>
      <c r="B157" t="s">
        <v>764</v>
      </c>
      <c r="C157" t="s">
        <v>765</v>
      </c>
      <c r="D157" t="s">
        <v>766</v>
      </c>
      <c r="E157" t="s">
        <v>46</v>
      </c>
      <c r="F157" t="s">
        <v>65</v>
      </c>
      <c r="G157" t="s">
        <v>60</v>
      </c>
      <c r="H157" t="s">
        <v>49</v>
      </c>
      <c r="I157" t="s">
        <v>50</v>
      </c>
      <c r="J157" t="s">
        <v>51</v>
      </c>
      <c r="K157" t="s">
        <v>51</v>
      </c>
      <c r="L157" t="s">
        <v>52</v>
      </c>
      <c r="M157" t="s">
        <v>767</v>
      </c>
      <c r="N157" t="s">
        <v>54</v>
      </c>
      <c r="O157" t="s">
        <v>54</v>
      </c>
      <c r="P157" t="s">
        <v>51</v>
      </c>
      <c r="Q157" t="s">
        <v>55</v>
      </c>
      <c r="R157" s="1">
        <v>23209609.969999999</v>
      </c>
      <c r="S157" s="1">
        <v>7086166.1500000004</v>
      </c>
      <c r="T157" s="1">
        <v>21884387.300000001</v>
      </c>
      <c r="U157" s="1">
        <v>775949.86</v>
      </c>
      <c r="V157" t="s">
        <v>51</v>
      </c>
      <c r="W157">
        <v>269996.95</v>
      </c>
      <c r="X157">
        <v>0</v>
      </c>
      <c r="Y157">
        <v>0</v>
      </c>
      <c r="Z157">
        <v>1316395.0900000001</v>
      </c>
      <c r="AA157">
        <v>39287802.549999997</v>
      </c>
      <c r="AB157">
        <v>0</v>
      </c>
      <c r="AC157">
        <v>0</v>
      </c>
      <c r="AD157">
        <v>8729178.5</v>
      </c>
      <c r="AE157">
        <v>17714731.489999998</v>
      </c>
      <c r="AF157">
        <v>8729178.5</v>
      </c>
      <c r="AG157" s="14">
        <v>17714731.489999998</v>
      </c>
      <c r="AH157">
        <v>0</v>
      </c>
      <c r="AI157">
        <v>0</v>
      </c>
      <c r="AJ157">
        <v>1634536</v>
      </c>
      <c r="AK157">
        <v>1634536</v>
      </c>
      <c r="AL157">
        <v>2000000</v>
      </c>
      <c r="AM157">
        <v>2000000</v>
      </c>
      <c r="AN157">
        <v>0</v>
      </c>
      <c r="AO157">
        <v>0</v>
      </c>
      <c r="AP157">
        <f t="shared" si="2"/>
        <v>3.3506457591377816</v>
      </c>
    </row>
    <row r="158" spans="1:42" x14ac:dyDescent="0.3">
      <c r="A158" t="s">
        <v>756</v>
      </c>
      <c r="B158" t="s">
        <v>768</v>
      </c>
      <c r="C158" t="s">
        <v>100</v>
      </c>
      <c r="D158" t="s">
        <v>769</v>
      </c>
      <c r="E158" t="s">
        <v>70</v>
      </c>
      <c r="F158" t="s">
        <v>102</v>
      </c>
      <c r="G158" t="s">
        <v>48</v>
      </c>
      <c r="H158" t="s">
        <v>76</v>
      </c>
      <c r="I158" t="s">
        <v>50</v>
      </c>
      <c r="J158" t="s">
        <v>51</v>
      </c>
      <c r="K158" t="s">
        <v>51</v>
      </c>
      <c r="L158" t="s">
        <v>52</v>
      </c>
      <c r="M158" t="s">
        <v>66</v>
      </c>
      <c r="N158" t="s">
        <v>51</v>
      </c>
      <c r="O158" t="s">
        <v>54</v>
      </c>
      <c r="P158" t="s">
        <v>51</v>
      </c>
      <c r="Q158" t="s">
        <v>55</v>
      </c>
      <c r="R158" s="1">
        <v>0</v>
      </c>
      <c r="S158" s="1">
        <v>0</v>
      </c>
      <c r="T158" s="1">
        <v>45450.64</v>
      </c>
      <c r="U158" s="1">
        <v>0</v>
      </c>
      <c r="V158" t="s">
        <v>51</v>
      </c>
      <c r="W158">
        <v>0</v>
      </c>
      <c r="X158">
        <v>0</v>
      </c>
      <c r="Y158">
        <v>0</v>
      </c>
      <c r="Z158">
        <v>-19402.22</v>
      </c>
      <c r="AA158">
        <v>1228.06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3111.66</v>
      </c>
      <c r="AM158">
        <v>3111.66</v>
      </c>
      <c r="AN158">
        <v>0</v>
      </c>
      <c r="AO158">
        <v>0</v>
      </c>
      <c r="AP158">
        <f t="shared" si="2"/>
        <v>-1579.9081478103676</v>
      </c>
    </row>
    <row r="159" spans="1:42" x14ac:dyDescent="0.3">
      <c r="A159" t="s">
        <v>756</v>
      </c>
      <c r="B159" t="s">
        <v>770</v>
      </c>
      <c r="C159" t="s">
        <v>771</v>
      </c>
      <c r="D159" t="s">
        <v>772</v>
      </c>
      <c r="E159" t="s">
        <v>70</v>
      </c>
      <c r="F159" t="s">
        <v>102</v>
      </c>
      <c r="G159" t="s">
        <v>48</v>
      </c>
      <c r="H159" t="s">
        <v>76</v>
      </c>
      <c r="I159" t="s">
        <v>50</v>
      </c>
      <c r="J159" t="s">
        <v>51</v>
      </c>
      <c r="K159" t="s">
        <v>51</v>
      </c>
      <c r="L159" t="s">
        <v>52</v>
      </c>
      <c r="M159" t="s">
        <v>66</v>
      </c>
      <c r="N159" t="s">
        <v>54</v>
      </c>
      <c r="O159" t="s">
        <v>54</v>
      </c>
      <c r="P159" t="s">
        <v>51</v>
      </c>
      <c r="Q159" t="s">
        <v>55</v>
      </c>
      <c r="R159" s="1">
        <v>0</v>
      </c>
      <c r="S159" s="1">
        <v>0</v>
      </c>
      <c r="T159" s="1">
        <v>1582278</v>
      </c>
      <c r="U159" s="1">
        <v>0</v>
      </c>
      <c r="V159" t="s">
        <v>51</v>
      </c>
      <c r="W159">
        <v>0</v>
      </c>
      <c r="X159">
        <v>0</v>
      </c>
      <c r="Y159">
        <v>0</v>
      </c>
      <c r="Z159">
        <v>-316471</v>
      </c>
      <c r="AA159">
        <v>4184852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1182563</v>
      </c>
      <c r="AK159">
        <v>1182563</v>
      </c>
      <c r="AL159">
        <v>1182563</v>
      </c>
      <c r="AM159">
        <v>1182563</v>
      </c>
      <c r="AN159">
        <v>791511</v>
      </c>
      <c r="AO159">
        <v>791511</v>
      </c>
      <c r="AP159">
        <f t="shared" si="2"/>
        <v>-7.5622984994451414</v>
      </c>
    </row>
    <row r="160" spans="1:42" x14ac:dyDescent="0.3">
      <c r="A160" t="s">
        <v>756</v>
      </c>
      <c r="B160" t="s">
        <v>773</v>
      </c>
      <c r="C160" t="s">
        <v>672</v>
      </c>
      <c r="D160" t="s">
        <v>774</v>
      </c>
      <c r="E160" t="s">
        <v>46</v>
      </c>
      <c r="F160" t="s">
        <v>102</v>
      </c>
      <c r="G160" t="s">
        <v>48</v>
      </c>
      <c r="H160" t="s">
        <v>76</v>
      </c>
      <c r="I160" t="s">
        <v>50</v>
      </c>
      <c r="J160" t="s">
        <v>51</v>
      </c>
      <c r="K160" t="s">
        <v>51</v>
      </c>
      <c r="L160" t="s">
        <v>52</v>
      </c>
      <c r="M160" t="s">
        <v>775</v>
      </c>
      <c r="N160" t="s">
        <v>54</v>
      </c>
      <c r="O160" t="s">
        <v>54</v>
      </c>
      <c r="P160" t="s">
        <v>51</v>
      </c>
      <c r="Q160" t="s">
        <v>776</v>
      </c>
      <c r="R160" s="1">
        <v>667113.42000000004</v>
      </c>
      <c r="S160" s="1">
        <v>104379480.59999999</v>
      </c>
      <c r="T160" s="1">
        <v>143742750.31999999</v>
      </c>
      <c r="U160" s="1">
        <v>1178579.28</v>
      </c>
      <c r="V160" t="s">
        <v>51</v>
      </c>
      <c r="W160">
        <v>323872.7</v>
      </c>
      <c r="X160">
        <v>0</v>
      </c>
      <c r="Y160">
        <v>0</v>
      </c>
      <c r="Z160">
        <v>219175.3</v>
      </c>
      <c r="AA160">
        <v>4007991.65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978753.02</v>
      </c>
      <c r="AM160">
        <v>978753.02</v>
      </c>
      <c r="AN160">
        <v>0</v>
      </c>
      <c r="AO160">
        <v>0</v>
      </c>
      <c r="AP160">
        <f t="shared" si="2"/>
        <v>5.4684570014011884</v>
      </c>
    </row>
    <row r="161" spans="1:42" x14ac:dyDescent="0.3">
      <c r="A161" t="s">
        <v>756</v>
      </c>
      <c r="B161" t="s">
        <v>777</v>
      </c>
      <c r="C161" t="s">
        <v>778</v>
      </c>
      <c r="D161" t="s">
        <v>779</v>
      </c>
      <c r="E161" t="s">
        <v>70</v>
      </c>
      <c r="F161" t="s">
        <v>75</v>
      </c>
      <c r="G161" t="s">
        <v>48</v>
      </c>
      <c r="H161" t="s">
        <v>76</v>
      </c>
      <c r="I161" t="s">
        <v>50</v>
      </c>
      <c r="J161" t="s">
        <v>51</v>
      </c>
      <c r="K161" t="s">
        <v>54</v>
      </c>
      <c r="L161" t="s">
        <v>52</v>
      </c>
      <c r="M161" t="s">
        <v>780</v>
      </c>
      <c r="N161" t="s">
        <v>51</v>
      </c>
      <c r="O161" t="s">
        <v>54</v>
      </c>
      <c r="P161" t="s">
        <v>51</v>
      </c>
      <c r="Q161" t="s">
        <v>55</v>
      </c>
      <c r="R161" s="1">
        <v>16757101.93</v>
      </c>
      <c r="S161" s="1">
        <v>16756014.24</v>
      </c>
      <c r="T161" s="1">
        <v>20172280.77</v>
      </c>
      <c r="U161" s="1">
        <v>0</v>
      </c>
      <c r="V161" t="s">
        <v>51</v>
      </c>
      <c r="W161">
        <v>16756014.24</v>
      </c>
      <c r="X161">
        <v>0</v>
      </c>
      <c r="Y161">
        <v>0</v>
      </c>
      <c r="Z161">
        <v>-3358877.08</v>
      </c>
      <c r="AA161">
        <v>4338673.4800000004</v>
      </c>
      <c r="AB161">
        <v>0</v>
      </c>
      <c r="AC161">
        <v>0</v>
      </c>
      <c r="AD161">
        <v>15969322.1</v>
      </c>
      <c r="AE161">
        <v>16757101.9</v>
      </c>
      <c r="AF161">
        <v>592500</v>
      </c>
      <c r="AG161" s="14">
        <v>3068468.39</v>
      </c>
      <c r="AH161">
        <v>0</v>
      </c>
      <c r="AI161">
        <v>0</v>
      </c>
      <c r="AJ161">
        <v>0</v>
      </c>
      <c r="AK161">
        <v>0</v>
      </c>
      <c r="AL161">
        <v>15880227.18</v>
      </c>
      <c r="AM161">
        <v>15880227.18</v>
      </c>
      <c r="AN161">
        <v>0</v>
      </c>
      <c r="AO161">
        <v>0</v>
      </c>
      <c r="AP161">
        <f t="shared" si="2"/>
        <v>-77.417143638105713</v>
      </c>
    </row>
    <row r="162" spans="1:42" x14ac:dyDescent="0.3">
      <c r="A162" t="s">
        <v>756</v>
      </c>
      <c r="B162" t="s">
        <v>781</v>
      </c>
      <c r="C162" t="s">
        <v>782</v>
      </c>
      <c r="D162" t="s">
        <v>783</v>
      </c>
      <c r="E162" t="s">
        <v>46</v>
      </c>
      <c r="F162" t="s">
        <v>121</v>
      </c>
      <c r="G162" t="s">
        <v>60</v>
      </c>
      <c r="H162" t="s">
        <v>49</v>
      </c>
      <c r="I162" t="s">
        <v>50</v>
      </c>
      <c r="J162" t="s">
        <v>51</v>
      </c>
      <c r="K162" t="s">
        <v>51</v>
      </c>
      <c r="L162" t="s">
        <v>52</v>
      </c>
      <c r="M162" t="s">
        <v>61</v>
      </c>
      <c r="N162" t="s">
        <v>54</v>
      </c>
      <c r="O162" t="s">
        <v>54</v>
      </c>
      <c r="P162" t="s">
        <v>51</v>
      </c>
      <c r="Q162" t="s">
        <v>55</v>
      </c>
      <c r="R162" s="1">
        <v>3199336.87</v>
      </c>
      <c r="S162" s="1">
        <v>2178445</v>
      </c>
      <c r="T162" s="1">
        <v>3213195.32</v>
      </c>
      <c r="U162" s="1">
        <v>0</v>
      </c>
      <c r="V162" t="s">
        <v>51</v>
      </c>
      <c r="W162">
        <v>99157.36</v>
      </c>
      <c r="X162">
        <v>0</v>
      </c>
      <c r="Y162">
        <v>8610</v>
      </c>
      <c r="Z162">
        <v>-338992.67</v>
      </c>
      <c r="AA162">
        <v>1091926.05</v>
      </c>
      <c r="AB162">
        <v>0</v>
      </c>
      <c r="AC162">
        <v>0</v>
      </c>
      <c r="AD162">
        <v>1380268.26</v>
      </c>
      <c r="AE162">
        <v>2198996.42</v>
      </c>
      <c r="AF162">
        <v>0</v>
      </c>
      <c r="AG162" s="14">
        <v>0</v>
      </c>
      <c r="AH162">
        <v>0</v>
      </c>
      <c r="AI162">
        <v>0</v>
      </c>
      <c r="AJ162">
        <v>201</v>
      </c>
      <c r="AK162">
        <v>201</v>
      </c>
      <c r="AL162">
        <v>576922</v>
      </c>
      <c r="AM162">
        <v>300000</v>
      </c>
      <c r="AN162">
        <v>183172</v>
      </c>
      <c r="AO162">
        <v>0</v>
      </c>
      <c r="AP162">
        <f t="shared" si="2"/>
        <v>-31.045387185331826</v>
      </c>
    </row>
    <row r="163" spans="1:42" x14ac:dyDescent="0.3">
      <c r="A163" t="s">
        <v>756</v>
      </c>
      <c r="B163" t="s">
        <v>784</v>
      </c>
      <c r="C163" t="s">
        <v>785</v>
      </c>
      <c r="D163" t="s">
        <v>786</v>
      </c>
      <c r="E163" t="s">
        <v>46</v>
      </c>
      <c r="F163" t="s">
        <v>162</v>
      </c>
      <c r="G163" t="s">
        <v>60</v>
      </c>
      <c r="H163" t="s">
        <v>49</v>
      </c>
      <c r="I163" t="s">
        <v>50</v>
      </c>
      <c r="J163" t="s">
        <v>51</v>
      </c>
      <c r="K163" t="s">
        <v>51</v>
      </c>
      <c r="L163" t="s">
        <v>52</v>
      </c>
      <c r="M163" t="s">
        <v>787</v>
      </c>
      <c r="N163" t="s">
        <v>54</v>
      </c>
      <c r="O163" t="s">
        <v>54</v>
      </c>
      <c r="P163" t="s">
        <v>51</v>
      </c>
      <c r="Q163" t="s">
        <v>788</v>
      </c>
      <c r="R163" s="1">
        <v>8279173.5999999996</v>
      </c>
      <c r="S163" s="1">
        <v>2485136.65</v>
      </c>
      <c r="T163" s="1">
        <v>8953419.7100000009</v>
      </c>
      <c r="U163" s="1">
        <v>0</v>
      </c>
      <c r="V163" t="s">
        <v>51</v>
      </c>
      <c r="W163">
        <v>188355.94</v>
      </c>
      <c r="X163">
        <v>0</v>
      </c>
      <c r="Y163">
        <v>0</v>
      </c>
      <c r="Z163">
        <v>-674246.11</v>
      </c>
      <c r="AA163">
        <v>1636687.92</v>
      </c>
      <c r="AB163">
        <v>0</v>
      </c>
      <c r="AC163">
        <v>0</v>
      </c>
      <c r="AD163">
        <v>6418997.8499999996</v>
      </c>
      <c r="AE163">
        <v>8234861.4800000004</v>
      </c>
      <c r="AF163">
        <v>0</v>
      </c>
      <c r="AG163" s="14">
        <v>0</v>
      </c>
      <c r="AH163">
        <v>0</v>
      </c>
      <c r="AI163">
        <v>0</v>
      </c>
      <c r="AJ163">
        <v>6424993.0300000003</v>
      </c>
      <c r="AK163">
        <v>6424993.0300000003</v>
      </c>
      <c r="AL163">
        <v>6451519.0300000003</v>
      </c>
      <c r="AM163">
        <v>6451519.0300000003</v>
      </c>
      <c r="AN163">
        <v>0</v>
      </c>
      <c r="AO163">
        <v>0</v>
      </c>
      <c r="AP163">
        <f t="shared" si="2"/>
        <v>-41.195765042366787</v>
      </c>
    </row>
    <row r="164" spans="1:42" x14ac:dyDescent="0.3">
      <c r="A164" t="s">
        <v>756</v>
      </c>
      <c r="B164" t="s">
        <v>789</v>
      </c>
      <c r="C164" t="s">
        <v>790</v>
      </c>
      <c r="D164" t="s">
        <v>791</v>
      </c>
      <c r="E164" t="s">
        <v>46</v>
      </c>
      <c r="F164" t="s">
        <v>162</v>
      </c>
      <c r="G164" t="s">
        <v>60</v>
      </c>
      <c r="H164" t="s">
        <v>49</v>
      </c>
      <c r="I164" t="s">
        <v>50</v>
      </c>
      <c r="J164" t="s">
        <v>51</v>
      </c>
      <c r="K164" t="s">
        <v>54</v>
      </c>
      <c r="L164" t="s">
        <v>52</v>
      </c>
      <c r="M164" t="s">
        <v>117</v>
      </c>
      <c r="N164" t="s">
        <v>54</v>
      </c>
      <c r="O164" t="s">
        <v>54</v>
      </c>
      <c r="P164" t="s">
        <v>51</v>
      </c>
      <c r="Q164" t="s">
        <v>788</v>
      </c>
      <c r="R164" s="1">
        <v>133671.17000000001</v>
      </c>
      <c r="S164" s="1">
        <v>64395.21</v>
      </c>
      <c r="T164" s="1">
        <v>37081204.140000001</v>
      </c>
      <c r="U164" s="1">
        <v>0</v>
      </c>
      <c r="V164" t="s">
        <v>51</v>
      </c>
      <c r="W164">
        <v>21766.11</v>
      </c>
      <c r="X164">
        <v>0</v>
      </c>
      <c r="Y164">
        <v>0</v>
      </c>
      <c r="Z164">
        <v>-36950434.450000003</v>
      </c>
      <c r="AA164">
        <v>-28930827.359999999</v>
      </c>
      <c r="AB164">
        <v>0</v>
      </c>
      <c r="AC164">
        <v>0</v>
      </c>
      <c r="AD164">
        <v>137235.98000000001</v>
      </c>
      <c r="AE164">
        <v>131072.57999999999</v>
      </c>
      <c r="AF164">
        <v>0</v>
      </c>
      <c r="AG164" s="14">
        <v>0</v>
      </c>
      <c r="AH164">
        <v>0</v>
      </c>
      <c r="AI164">
        <v>0</v>
      </c>
      <c r="AJ164">
        <v>15790626.210000001</v>
      </c>
      <c r="AK164">
        <v>15790626.210000001</v>
      </c>
      <c r="AL164">
        <v>15790626.210000001</v>
      </c>
      <c r="AM164">
        <v>15790626.210000001</v>
      </c>
      <c r="AN164">
        <v>701977.56</v>
      </c>
      <c r="AO164">
        <v>701977.56</v>
      </c>
      <c r="AP164">
        <f t="shared" si="2"/>
        <v>127.7199369040098</v>
      </c>
    </row>
    <row r="165" spans="1:42" x14ac:dyDescent="0.3">
      <c r="A165" t="s">
        <v>756</v>
      </c>
      <c r="B165" t="s">
        <v>792</v>
      </c>
      <c r="C165" t="s">
        <v>793</v>
      </c>
      <c r="D165" t="s">
        <v>794</v>
      </c>
      <c r="E165" t="s">
        <v>46</v>
      </c>
      <c r="F165" t="s">
        <v>107</v>
      </c>
      <c r="G165" t="s">
        <v>60</v>
      </c>
      <c r="H165" t="s">
        <v>49</v>
      </c>
      <c r="I165" t="s">
        <v>50</v>
      </c>
      <c r="J165" t="s">
        <v>51</v>
      </c>
      <c r="K165" t="s">
        <v>51</v>
      </c>
      <c r="L165" t="s">
        <v>134</v>
      </c>
      <c r="M165" t="s">
        <v>795</v>
      </c>
      <c r="N165" t="s">
        <v>54</v>
      </c>
      <c r="O165" t="s">
        <v>54</v>
      </c>
      <c r="P165" t="s">
        <v>54</v>
      </c>
      <c r="Q165" t="s">
        <v>796</v>
      </c>
      <c r="R165" s="1">
        <v>1515059261.3099999</v>
      </c>
      <c r="S165" s="1">
        <v>516953836.91000003</v>
      </c>
      <c r="T165" s="1">
        <v>1594520337.5799999</v>
      </c>
      <c r="U165" s="1">
        <v>248497647.08000001</v>
      </c>
      <c r="V165" t="s">
        <v>51</v>
      </c>
      <c r="W165">
        <v>868978.84</v>
      </c>
      <c r="X165">
        <v>0</v>
      </c>
      <c r="Y165">
        <v>27242.25</v>
      </c>
      <c r="Z165">
        <v>231020423.91</v>
      </c>
      <c r="AA165">
        <v>5919927533.3400002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35337622.740000002</v>
      </c>
      <c r="AI165">
        <v>124326481.62</v>
      </c>
      <c r="AJ165">
        <v>1874223248257</v>
      </c>
      <c r="AK165">
        <v>1916036690527</v>
      </c>
      <c r="AL165">
        <v>1016081717.73</v>
      </c>
      <c r="AM165">
        <v>1140408199.3499999</v>
      </c>
      <c r="AN165">
        <v>124326481.62</v>
      </c>
      <c r="AO165">
        <v>101950388.91</v>
      </c>
      <c r="AP165">
        <f t="shared" si="2"/>
        <v>3.9024197949879156</v>
      </c>
    </row>
    <row r="166" spans="1:42" x14ac:dyDescent="0.3">
      <c r="A166" t="s">
        <v>756</v>
      </c>
      <c r="B166" t="s">
        <v>797</v>
      </c>
      <c r="C166" t="s">
        <v>798</v>
      </c>
      <c r="D166" t="s">
        <v>799</v>
      </c>
      <c r="E166" t="s">
        <v>46</v>
      </c>
      <c r="F166" t="s">
        <v>47</v>
      </c>
      <c r="G166" t="s">
        <v>60</v>
      </c>
      <c r="H166" t="s">
        <v>363</v>
      </c>
      <c r="I166" t="s">
        <v>50</v>
      </c>
      <c r="J166" t="s">
        <v>51</v>
      </c>
      <c r="K166" t="s">
        <v>51</v>
      </c>
      <c r="L166" t="s">
        <v>134</v>
      </c>
      <c r="M166" t="s">
        <v>800</v>
      </c>
      <c r="N166" t="s">
        <v>54</v>
      </c>
      <c r="O166" t="s">
        <v>54</v>
      </c>
      <c r="P166" t="s">
        <v>51</v>
      </c>
      <c r="Q166" t="s">
        <v>55</v>
      </c>
      <c r="R166" s="1">
        <v>60671674.009999998</v>
      </c>
      <c r="S166" s="1">
        <v>38896221.340000004</v>
      </c>
      <c r="T166" s="1">
        <v>63114103.960000001</v>
      </c>
      <c r="U166" s="1">
        <v>0</v>
      </c>
      <c r="V166" t="s">
        <v>51</v>
      </c>
      <c r="W166">
        <v>421382.73</v>
      </c>
      <c r="X166">
        <v>0</v>
      </c>
      <c r="Y166">
        <v>0.09</v>
      </c>
      <c r="Z166">
        <v>-2702694.82</v>
      </c>
      <c r="AA166">
        <v>2961125.38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67817227</v>
      </c>
      <c r="AK166">
        <v>67817227</v>
      </c>
      <c r="AL166">
        <v>71899068.730000004</v>
      </c>
      <c r="AM166">
        <v>71899068.730000004</v>
      </c>
      <c r="AN166">
        <v>0</v>
      </c>
      <c r="AO166">
        <v>0</v>
      </c>
      <c r="AP166">
        <f t="shared" si="2"/>
        <v>-91.272555976673985</v>
      </c>
    </row>
    <row r="167" spans="1:42" x14ac:dyDescent="0.3">
      <c r="A167" t="s">
        <v>756</v>
      </c>
      <c r="B167" t="s">
        <v>801</v>
      </c>
      <c r="C167" t="s">
        <v>802</v>
      </c>
      <c r="D167" t="s">
        <v>803</v>
      </c>
      <c r="E167" t="s">
        <v>46</v>
      </c>
      <c r="F167" t="s">
        <v>314</v>
      </c>
      <c r="G167" t="s">
        <v>60</v>
      </c>
      <c r="H167" t="s">
        <v>49</v>
      </c>
      <c r="I167" t="s">
        <v>50</v>
      </c>
      <c r="J167" t="s">
        <v>51</v>
      </c>
      <c r="K167" t="s">
        <v>51</v>
      </c>
      <c r="L167" t="s">
        <v>134</v>
      </c>
      <c r="M167" t="s">
        <v>804</v>
      </c>
      <c r="N167" t="s">
        <v>54</v>
      </c>
      <c r="O167" t="s">
        <v>54</v>
      </c>
      <c r="P167" t="s">
        <v>54</v>
      </c>
      <c r="Q167" t="s">
        <v>55</v>
      </c>
      <c r="R167" s="1">
        <v>30853155.5</v>
      </c>
      <c r="S167" s="1">
        <v>8553631.9000000004</v>
      </c>
      <c r="T167" s="1">
        <v>59798178.630000003</v>
      </c>
      <c r="U167" s="1">
        <v>38632838.350000001</v>
      </c>
      <c r="V167" t="s">
        <v>51</v>
      </c>
      <c r="W167">
        <v>462272.31</v>
      </c>
      <c r="X167">
        <v>0</v>
      </c>
      <c r="Y167">
        <v>83354.87</v>
      </c>
      <c r="Z167">
        <v>1120953</v>
      </c>
      <c r="AA167">
        <v>151483230</v>
      </c>
      <c r="AB167">
        <v>151483230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72927041.75</v>
      </c>
      <c r="AI167">
        <v>28000000</v>
      </c>
      <c r="AJ167">
        <v>118447855</v>
      </c>
      <c r="AK167">
        <v>146447885</v>
      </c>
      <c r="AL167">
        <v>118447855</v>
      </c>
      <c r="AM167">
        <v>146447885</v>
      </c>
      <c r="AN167">
        <v>0</v>
      </c>
      <c r="AO167">
        <v>0</v>
      </c>
      <c r="AP167">
        <f t="shared" si="2"/>
        <v>0.73998488149480313</v>
      </c>
    </row>
    <row r="168" spans="1:42" x14ac:dyDescent="0.3">
      <c r="A168" t="s">
        <v>756</v>
      </c>
      <c r="B168" t="s">
        <v>805</v>
      </c>
      <c r="C168" t="s">
        <v>806</v>
      </c>
      <c r="D168" t="s">
        <v>807</v>
      </c>
      <c r="E168" t="s">
        <v>46</v>
      </c>
      <c r="F168" t="s">
        <v>150</v>
      </c>
      <c r="G168" t="s">
        <v>48</v>
      </c>
      <c r="H168" t="s">
        <v>49</v>
      </c>
      <c r="I168" t="s">
        <v>50</v>
      </c>
      <c r="J168" t="s">
        <v>51</v>
      </c>
      <c r="K168" t="s">
        <v>51</v>
      </c>
      <c r="L168" t="s">
        <v>134</v>
      </c>
      <c r="M168" t="s">
        <v>808</v>
      </c>
      <c r="N168" t="s">
        <v>54</v>
      </c>
      <c r="O168" t="s">
        <v>54</v>
      </c>
      <c r="P168" t="s">
        <v>51</v>
      </c>
      <c r="Q168" t="s">
        <v>55</v>
      </c>
      <c r="R168" s="1">
        <v>23422037.07</v>
      </c>
      <c r="S168" s="1">
        <v>17455306.48</v>
      </c>
      <c r="T168" s="1">
        <v>26315446.27</v>
      </c>
      <c r="U168" s="1">
        <v>289171.89</v>
      </c>
      <c r="V168" t="s">
        <v>51</v>
      </c>
      <c r="W168">
        <v>212332</v>
      </c>
      <c r="X168">
        <v>0</v>
      </c>
      <c r="Y168">
        <v>0</v>
      </c>
      <c r="Z168">
        <v>-2893409.2</v>
      </c>
      <c r="AA168">
        <v>16717204.18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4000000</v>
      </c>
      <c r="AI168">
        <v>2750000</v>
      </c>
      <c r="AJ168">
        <v>18446242</v>
      </c>
      <c r="AK168">
        <v>12164783</v>
      </c>
      <c r="AL168">
        <v>18446242.609999999</v>
      </c>
      <c r="AM168">
        <v>12164783.17</v>
      </c>
      <c r="AN168">
        <v>0</v>
      </c>
      <c r="AO168">
        <v>0</v>
      </c>
      <c r="AP168">
        <f t="shared" si="2"/>
        <v>-17.307973084767337</v>
      </c>
    </row>
    <row r="169" spans="1:42" x14ac:dyDescent="0.3">
      <c r="A169" t="s">
        <v>756</v>
      </c>
      <c r="B169" t="s">
        <v>809</v>
      </c>
      <c r="C169" t="s">
        <v>810</v>
      </c>
      <c r="D169" t="s">
        <v>811</v>
      </c>
      <c r="E169" t="s">
        <v>46</v>
      </c>
      <c r="F169" t="s">
        <v>139</v>
      </c>
      <c r="G169" t="s">
        <v>60</v>
      </c>
      <c r="H169" t="s">
        <v>49</v>
      </c>
      <c r="I169" t="s">
        <v>50</v>
      </c>
      <c r="J169" t="s">
        <v>51</v>
      </c>
      <c r="K169" t="s">
        <v>51</v>
      </c>
      <c r="L169" t="s">
        <v>134</v>
      </c>
      <c r="M169" t="s">
        <v>812</v>
      </c>
      <c r="N169" t="s">
        <v>54</v>
      </c>
      <c r="O169" t="s">
        <v>54</v>
      </c>
      <c r="P169" t="s">
        <v>54</v>
      </c>
      <c r="Q169" t="s">
        <v>813</v>
      </c>
      <c r="R169" s="1">
        <v>164124000</v>
      </c>
      <c r="S169" s="1">
        <v>16947000</v>
      </c>
      <c r="T169" s="1">
        <v>170402000</v>
      </c>
      <c r="U169" s="1">
        <v>11986000</v>
      </c>
      <c r="V169" t="s">
        <v>54</v>
      </c>
      <c r="W169">
        <v>347795.82</v>
      </c>
      <c r="X169">
        <v>11644.82</v>
      </c>
      <c r="Y169">
        <v>16934.650000000001</v>
      </c>
      <c r="Z169">
        <v>6823000</v>
      </c>
      <c r="AA169">
        <v>84966000</v>
      </c>
      <c r="AB169">
        <v>0</v>
      </c>
      <c r="AC169">
        <v>899620.83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1030355</v>
      </c>
      <c r="AK169">
        <v>1058871</v>
      </c>
      <c r="AL169">
        <v>36184000</v>
      </c>
      <c r="AM169">
        <v>37185000</v>
      </c>
      <c r="AN169">
        <v>0</v>
      </c>
      <c r="AO169">
        <v>0</v>
      </c>
      <c r="AP169">
        <f t="shared" si="2"/>
        <v>8.030270931902173</v>
      </c>
    </row>
    <row r="170" spans="1:42" x14ac:dyDescent="0.3">
      <c r="A170" t="s">
        <v>814</v>
      </c>
      <c r="B170" t="s">
        <v>815</v>
      </c>
      <c r="C170" t="s">
        <v>816</v>
      </c>
      <c r="D170" t="s">
        <v>817</v>
      </c>
      <c r="E170" t="s">
        <v>46</v>
      </c>
      <c r="F170" t="s">
        <v>93</v>
      </c>
      <c r="G170" t="s">
        <v>60</v>
      </c>
      <c r="H170" t="s">
        <v>49</v>
      </c>
      <c r="I170" t="s">
        <v>50</v>
      </c>
      <c r="J170" t="s">
        <v>51</v>
      </c>
      <c r="K170" t="s">
        <v>51</v>
      </c>
      <c r="L170" t="s">
        <v>52</v>
      </c>
      <c r="M170" t="s">
        <v>818</v>
      </c>
      <c r="N170" t="s">
        <v>54</v>
      </c>
      <c r="O170" t="s">
        <v>54</v>
      </c>
      <c r="P170" t="s">
        <v>51</v>
      </c>
      <c r="Q170" t="s">
        <v>819</v>
      </c>
      <c r="R170" s="1">
        <v>339109</v>
      </c>
      <c r="S170" s="1">
        <v>15981096.140000001</v>
      </c>
      <c r="T170" s="1">
        <v>356794846.68000001</v>
      </c>
      <c r="U170" s="1">
        <v>314593792.77999997</v>
      </c>
      <c r="V170" t="s">
        <v>51</v>
      </c>
      <c r="W170">
        <v>166570</v>
      </c>
      <c r="X170">
        <v>0</v>
      </c>
      <c r="Y170">
        <v>0</v>
      </c>
      <c r="Z170">
        <v>-5331840</v>
      </c>
      <c r="AA170">
        <v>21995095</v>
      </c>
      <c r="AB170">
        <v>0</v>
      </c>
      <c r="AC170">
        <v>0</v>
      </c>
      <c r="AD170">
        <v>82932230.969999999</v>
      </c>
      <c r="AE170">
        <v>343030068.44999999</v>
      </c>
      <c r="AF170">
        <v>43836538.479999997</v>
      </c>
      <c r="AG170" s="14">
        <v>57549051.25</v>
      </c>
      <c r="AH170">
        <v>0</v>
      </c>
      <c r="AI170">
        <v>0</v>
      </c>
      <c r="AJ170">
        <v>469028</v>
      </c>
      <c r="AK170">
        <v>469028</v>
      </c>
      <c r="AL170">
        <v>472970</v>
      </c>
      <c r="AM170">
        <v>472970</v>
      </c>
      <c r="AN170">
        <v>0</v>
      </c>
      <c r="AO170">
        <v>0</v>
      </c>
      <c r="AP170">
        <f t="shared" si="2"/>
        <v>-24.241041013916966</v>
      </c>
    </row>
    <row r="171" spans="1:42" x14ac:dyDescent="0.3">
      <c r="A171" t="s">
        <v>814</v>
      </c>
      <c r="B171" t="s">
        <v>820</v>
      </c>
      <c r="C171" t="s">
        <v>821</v>
      </c>
      <c r="D171" t="s">
        <v>822</v>
      </c>
      <c r="E171" t="s">
        <v>46</v>
      </c>
      <c r="F171" t="s">
        <v>240</v>
      </c>
      <c r="G171" t="s">
        <v>48</v>
      </c>
      <c r="H171" t="s">
        <v>363</v>
      </c>
      <c r="I171" t="s">
        <v>50</v>
      </c>
      <c r="J171" t="s">
        <v>51</v>
      </c>
      <c r="K171" t="s">
        <v>51</v>
      </c>
      <c r="L171" t="s">
        <v>52</v>
      </c>
      <c r="M171" t="s">
        <v>823</v>
      </c>
      <c r="N171" t="s">
        <v>54</v>
      </c>
      <c r="O171" t="s">
        <v>54</v>
      </c>
      <c r="P171" t="s">
        <v>51</v>
      </c>
      <c r="Q171" t="s">
        <v>824</v>
      </c>
      <c r="R171" s="1">
        <v>3713806.31</v>
      </c>
      <c r="S171" s="1">
        <v>188440964.63</v>
      </c>
      <c r="T171" s="1">
        <v>504829671.56</v>
      </c>
      <c r="U171" s="1">
        <v>1431460</v>
      </c>
      <c r="V171" t="s">
        <v>51</v>
      </c>
      <c r="W171">
        <v>333785.58</v>
      </c>
      <c r="X171">
        <v>0</v>
      </c>
      <c r="Y171">
        <v>22777.18</v>
      </c>
      <c r="Z171">
        <v>7223990</v>
      </c>
      <c r="AA171">
        <v>-187784489.59</v>
      </c>
      <c r="AB171">
        <v>0</v>
      </c>
      <c r="AC171">
        <v>0</v>
      </c>
      <c r="AD171">
        <v>456342055.38</v>
      </c>
      <c r="AE171">
        <v>501792914.06</v>
      </c>
      <c r="AF171">
        <v>264031251.59999999</v>
      </c>
      <c r="AG171" s="14">
        <v>242782097.41999999</v>
      </c>
      <c r="AH171">
        <v>0</v>
      </c>
      <c r="AI171">
        <v>0</v>
      </c>
      <c r="AJ171">
        <v>575700</v>
      </c>
      <c r="AK171">
        <v>575700</v>
      </c>
      <c r="AL171">
        <v>575700</v>
      </c>
      <c r="AM171">
        <v>575700</v>
      </c>
      <c r="AN171">
        <v>424300</v>
      </c>
      <c r="AO171">
        <v>424300</v>
      </c>
      <c r="AP171">
        <f t="shared" si="2"/>
        <v>-3.8469577630040304</v>
      </c>
    </row>
    <row r="172" spans="1:42" x14ac:dyDescent="0.3">
      <c r="A172" t="s">
        <v>814</v>
      </c>
      <c r="B172" t="s">
        <v>825</v>
      </c>
      <c r="C172" t="s">
        <v>826</v>
      </c>
      <c r="D172" t="s">
        <v>827</v>
      </c>
      <c r="E172" t="s">
        <v>46</v>
      </c>
      <c r="F172" t="s">
        <v>162</v>
      </c>
      <c r="G172" t="s">
        <v>60</v>
      </c>
      <c r="H172" t="s">
        <v>49</v>
      </c>
      <c r="I172" t="s">
        <v>373</v>
      </c>
      <c r="J172" t="s">
        <v>51</v>
      </c>
      <c r="K172" t="s">
        <v>51</v>
      </c>
      <c r="L172" t="s">
        <v>52</v>
      </c>
      <c r="M172" t="s">
        <v>828</v>
      </c>
      <c r="N172" t="s">
        <v>54</v>
      </c>
      <c r="O172" t="s">
        <v>54</v>
      </c>
      <c r="P172" t="s">
        <v>51</v>
      </c>
      <c r="Q172" t="s">
        <v>829</v>
      </c>
      <c r="R172" s="1">
        <v>5721177.9699999997</v>
      </c>
      <c r="S172" s="1">
        <v>29394243.600000001</v>
      </c>
      <c r="T172" s="1">
        <v>133790121.90000001</v>
      </c>
      <c r="U172" s="1">
        <v>488645.52</v>
      </c>
      <c r="V172" t="s">
        <v>51</v>
      </c>
      <c r="W172">
        <v>202561.42</v>
      </c>
      <c r="X172">
        <v>0</v>
      </c>
      <c r="Y172">
        <v>0</v>
      </c>
      <c r="Z172">
        <v>-3448939.13</v>
      </c>
      <c r="AA172">
        <v>234492076.09</v>
      </c>
      <c r="AB172">
        <v>0</v>
      </c>
      <c r="AC172">
        <v>0</v>
      </c>
      <c r="AD172">
        <v>89764930.540000007</v>
      </c>
      <c r="AE172">
        <v>126352872.31999999</v>
      </c>
      <c r="AF172">
        <v>329664257.63999999</v>
      </c>
      <c r="AG172" s="14">
        <v>133790121.90000001</v>
      </c>
      <c r="AH172">
        <v>0</v>
      </c>
      <c r="AI172">
        <v>0</v>
      </c>
      <c r="AJ172">
        <v>47609915475</v>
      </c>
      <c r="AK172">
        <v>47609915475</v>
      </c>
      <c r="AL172">
        <v>72065680.989999995</v>
      </c>
      <c r="AM172">
        <v>72065680.989999995</v>
      </c>
      <c r="AN172">
        <v>0</v>
      </c>
      <c r="AO172">
        <v>0</v>
      </c>
      <c r="AP172">
        <f t="shared" si="2"/>
        <v>-1.4708126549556704</v>
      </c>
    </row>
    <row r="173" spans="1:42" x14ac:dyDescent="0.3">
      <c r="A173" t="s">
        <v>814</v>
      </c>
      <c r="B173" t="s">
        <v>830</v>
      </c>
      <c r="C173" t="s">
        <v>806</v>
      </c>
      <c r="D173" t="s">
        <v>831</v>
      </c>
      <c r="E173" t="s">
        <v>46</v>
      </c>
      <c r="F173" t="s">
        <v>150</v>
      </c>
      <c r="G173" t="s">
        <v>48</v>
      </c>
      <c r="H173" t="s">
        <v>49</v>
      </c>
      <c r="I173" t="s">
        <v>50</v>
      </c>
      <c r="J173" t="s">
        <v>51</v>
      </c>
      <c r="K173" t="s">
        <v>51</v>
      </c>
      <c r="L173" t="s">
        <v>52</v>
      </c>
      <c r="M173" t="s">
        <v>53</v>
      </c>
      <c r="N173" t="s">
        <v>54</v>
      </c>
      <c r="O173" t="s">
        <v>54</v>
      </c>
      <c r="P173" t="s">
        <v>51</v>
      </c>
      <c r="Q173" t="s">
        <v>832</v>
      </c>
      <c r="R173" s="1">
        <v>1476265</v>
      </c>
      <c r="S173" s="1">
        <v>5431068.1500000004</v>
      </c>
      <c r="T173" s="1">
        <v>9458571</v>
      </c>
      <c r="U173" s="1">
        <v>22875</v>
      </c>
      <c r="V173" t="s">
        <v>51</v>
      </c>
      <c r="W173">
        <v>169000</v>
      </c>
      <c r="X173">
        <v>0</v>
      </c>
      <c r="Y173">
        <v>0</v>
      </c>
      <c r="Z173">
        <v>-1109731</v>
      </c>
      <c r="AA173">
        <v>4181649</v>
      </c>
      <c r="AB173">
        <v>0</v>
      </c>
      <c r="AC173">
        <v>0</v>
      </c>
      <c r="AD173">
        <v>6013999</v>
      </c>
      <c r="AE173">
        <v>6241593</v>
      </c>
      <c r="AF173">
        <v>6034464</v>
      </c>
      <c r="AG173" s="14">
        <v>6797716.0499999998</v>
      </c>
      <c r="AH173">
        <v>0</v>
      </c>
      <c r="AI173">
        <v>0</v>
      </c>
      <c r="AJ173">
        <v>3488600</v>
      </c>
      <c r="AK173">
        <v>3488600</v>
      </c>
      <c r="AL173">
        <v>3488600</v>
      </c>
      <c r="AM173">
        <v>3488600</v>
      </c>
      <c r="AN173">
        <v>0</v>
      </c>
      <c r="AO173">
        <v>0</v>
      </c>
      <c r="AP173">
        <f t="shared" si="2"/>
        <v>-26.538119292173974</v>
      </c>
    </row>
    <row r="174" spans="1:42" x14ac:dyDescent="0.3">
      <c r="A174" t="s">
        <v>814</v>
      </c>
      <c r="B174" t="s">
        <v>833</v>
      </c>
      <c r="C174" t="s">
        <v>834</v>
      </c>
      <c r="D174" t="s">
        <v>835</v>
      </c>
      <c r="E174" t="s">
        <v>46</v>
      </c>
      <c r="F174" t="s">
        <v>240</v>
      </c>
      <c r="G174" t="s">
        <v>48</v>
      </c>
      <c r="H174" t="s">
        <v>76</v>
      </c>
      <c r="I174" t="s">
        <v>50</v>
      </c>
      <c r="J174" t="s">
        <v>51</v>
      </c>
      <c r="K174" t="s">
        <v>51</v>
      </c>
      <c r="L174" t="s">
        <v>52</v>
      </c>
      <c r="M174" t="s">
        <v>836</v>
      </c>
      <c r="N174" t="s">
        <v>54</v>
      </c>
      <c r="O174" t="s">
        <v>54</v>
      </c>
      <c r="P174" t="s">
        <v>51</v>
      </c>
      <c r="Q174" t="s">
        <v>837</v>
      </c>
      <c r="R174" s="1">
        <v>2406453</v>
      </c>
      <c r="S174" s="1">
        <v>5244286.2699999996</v>
      </c>
      <c r="T174" s="1">
        <v>7597705</v>
      </c>
      <c r="U174" s="1">
        <v>193165</v>
      </c>
      <c r="V174" t="s">
        <v>51</v>
      </c>
      <c r="W174">
        <v>169000</v>
      </c>
      <c r="X174">
        <v>0</v>
      </c>
      <c r="Y174">
        <v>0</v>
      </c>
      <c r="Z174">
        <v>-2187495</v>
      </c>
      <c r="AA174">
        <v>6475642</v>
      </c>
      <c r="AB174">
        <v>0</v>
      </c>
      <c r="AC174">
        <v>0</v>
      </c>
      <c r="AD174">
        <v>3545444</v>
      </c>
      <c r="AE174">
        <v>2813215</v>
      </c>
      <c r="AF174">
        <v>3581594.78</v>
      </c>
      <c r="AG174" s="14">
        <v>2860155.75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1000000</v>
      </c>
      <c r="AO174">
        <v>1000000</v>
      </c>
      <c r="AP174">
        <f t="shared" si="2"/>
        <v>-33.780357221724117</v>
      </c>
    </row>
    <row r="175" spans="1:42" x14ac:dyDescent="0.3">
      <c r="A175" t="s">
        <v>814</v>
      </c>
      <c r="B175" t="s">
        <v>838</v>
      </c>
      <c r="C175" t="s">
        <v>839</v>
      </c>
      <c r="D175" t="s">
        <v>840</v>
      </c>
      <c r="E175" t="s">
        <v>46</v>
      </c>
      <c r="F175" t="s">
        <v>102</v>
      </c>
      <c r="G175" t="s">
        <v>48</v>
      </c>
      <c r="H175" t="s">
        <v>76</v>
      </c>
      <c r="I175" t="s">
        <v>50</v>
      </c>
      <c r="J175" t="s">
        <v>51</v>
      </c>
      <c r="K175" t="s">
        <v>51</v>
      </c>
      <c r="L175" t="s">
        <v>52</v>
      </c>
      <c r="M175" t="s">
        <v>841</v>
      </c>
      <c r="N175" t="s">
        <v>54</v>
      </c>
      <c r="O175" t="s">
        <v>54</v>
      </c>
      <c r="P175" t="s">
        <v>51</v>
      </c>
      <c r="Q175" t="s">
        <v>842</v>
      </c>
      <c r="R175" s="1">
        <v>851004</v>
      </c>
      <c r="S175" s="1">
        <v>94681085.900000006</v>
      </c>
      <c r="T175" s="1">
        <v>160358658.84</v>
      </c>
      <c r="U175" s="1">
        <v>15335848.039999999</v>
      </c>
      <c r="V175" t="s">
        <v>51</v>
      </c>
      <c r="W175">
        <v>196274.94</v>
      </c>
      <c r="X175">
        <v>0</v>
      </c>
      <c r="Y175">
        <v>0</v>
      </c>
      <c r="Z175">
        <v>11684063</v>
      </c>
      <c r="AA175">
        <v>41529972</v>
      </c>
      <c r="AB175">
        <v>0</v>
      </c>
      <c r="AC175">
        <v>0</v>
      </c>
      <c r="AD175">
        <v>103554690</v>
      </c>
      <c r="AE175">
        <v>156160752.43000001</v>
      </c>
      <c r="AF175">
        <v>105004217.42</v>
      </c>
      <c r="AG175" s="14">
        <v>151538197.97999999</v>
      </c>
      <c r="AH175">
        <v>0</v>
      </c>
      <c r="AI175">
        <v>0</v>
      </c>
      <c r="AJ175">
        <v>0</v>
      </c>
      <c r="AK175">
        <v>0</v>
      </c>
      <c r="AL175">
        <v>25601618</v>
      </c>
      <c r="AM175">
        <v>25601618</v>
      </c>
      <c r="AN175">
        <v>0</v>
      </c>
      <c r="AO175">
        <v>0</v>
      </c>
      <c r="AP175">
        <f t="shared" si="2"/>
        <v>28.134049789390659</v>
      </c>
    </row>
    <row r="176" spans="1:42" x14ac:dyDescent="0.3">
      <c r="A176" t="s">
        <v>814</v>
      </c>
      <c r="B176" t="s">
        <v>843</v>
      </c>
      <c r="C176" t="s">
        <v>844</v>
      </c>
      <c r="D176" t="s">
        <v>845</v>
      </c>
      <c r="E176" t="s">
        <v>46</v>
      </c>
      <c r="F176" t="s">
        <v>133</v>
      </c>
      <c r="G176" t="s">
        <v>60</v>
      </c>
      <c r="H176" t="s">
        <v>49</v>
      </c>
      <c r="I176" t="s">
        <v>50</v>
      </c>
      <c r="J176" t="s">
        <v>51</v>
      </c>
      <c r="K176" t="s">
        <v>51</v>
      </c>
      <c r="L176" t="s">
        <v>52</v>
      </c>
      <c r="M176" t="s">
        <v>846</v>
      </c>
      <c r="N176" t="s">
        <v>54</v>
      </c>
      <c r="O176" t="s">
        <v>54</v>
      </c>
      <c r="P176" t="s">
        <v>51</v>
      </c>
      <c r="Q176" t="s">
        <v>847</v>
      </c>
      <c r="R176" s="1">
        <v>2591756.31</v>
      </c>
      <c r="S176" s="1">
        <v>90348534.459999993</v>
      </c>
      <c r="T176" s="1">
        <v>112253521.17</v>
      </c>
      <c r="U176" s="1">
        <v>82453.649999999994</v>
      </c>
      <c r="V176" t="s">
        <v>51</v>
      </c>
      <c r="W176">
        <v>266619.12</v>
      </c>
      <c r="X176">
        <v>0</v>
      </c>
      <c r="Y176">
        <v>9675</v>
      </c>
      <c r="Z176">
        <v>4730722.8099999996</v>
      </c>
      <c r="AA176">
        <v>-173306115.06</v>
      </c>
      <c r="AB176">
        <v>0</v>
      </c>
      <c r="AC176">
        <v>0</v>
      </c>
      <c r="AD176">
        <v>116576907.02</v>
      </c>
      <c r="AE176">
        <v>103486318.27</v>
      </c>
      <c r="AF176">
        <v>119184635.69</v>
      </c>
      <c r="AG176" s="14">
        <v>109449983.56</v>
      </c>
      <c r="AH176">
        <v>3411145.63</v>
      </c>
      <c r="AI176">
        <v>2418337.31</v>
      </c>
      <c r="AJ176">
        <v>435714</v>
      </c>
      <c r="AK176">
        <v>439125</v>
      </c>
      <c r="AL176">
        <v>443027279.10000002</v>
      </c>
      <c r="AM176">
        <v>446438424.73000002</v>
      </c>
      <c r="AN176">
        <v>3411145.63</v>
      </c>
      <c r="AO176">
        <v>2418337.31</v>
      </c>
      <c r="AP176">
        <f t="shared" si="2"/>
        <v>-2.7296917990240472</v>
      </c>
    </row>
    <row r="177" spans="1:42" x14ac:dyDescent="0.3">
      <c r="A177" t="s">
        <v>814</v>
      </c>
      <c r="B177" t="s">
        <v>848</v>
      </c>
      <c r="C177" t="s">
        <v>849</v>
      </c>
      <c r="D177" t="s">
        <v>850</v>
      </c>
      <c r="E177" t="s">
        <v>46</v>
      </c>
      <c r="F177" t="s">
        <v>65</v>
      </c>
      <c r="G177" t="s">
        <v>60</v>
      </c>
      <c r="H177" t="s">
        <v>49</v>
      </c>
      <c r="I177" t="s">
        <v>50</v>
      </c>
      <c r="J177" t="s">
        <v>51</v>
      </c>
      <c r="K177" t="s">
        <v>51</v>
      </c>
      <c r="L177" t="s">
        <v>134</v>
      </c>
      <c r="M177" t="s">
        <v>851</v>
      </c>
      <c r="N177" t="s">
        <v>54</v>
      </c>
      <c r="O177" t="s">
        <v>54</v>
      </c>
      <c r="P177" t="s">
        <v>54</v>
      </c>
      <c r="Q177" t="s">
        <v>852</v>
      </c>
      <c r="R177" s="1">
        <v>109214152</v>
      </c>
      <c r="S177" s="1">
        <v>41068500</v>
      </c>
      <c r="T177" s="1">
        <v>48754745</v>
      </c>
      <c r="U177" s="1">
        <v>0</v>
      </c>
      <c r="V177" t="s">
        <v>54</v>
      </c>
      <c r="W177">
        <v>272808.90000000002</v>
      </c>
      <c r="X177">
        <v>19631.12</v>
      </c>
      <c r="Y177">
        <v>22342.66</v>
      </c>
      <c r="Z177">
        <v>23222481</v>
      </c>
      <c r="AA177">
        <v>184111853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480500421384</v>
      </c>
      <c r="AK177">
        <v>480500421384</v>
      </c>
      <c r="AL177">
        <v>35862477</v>
      </c>
      <c r="AM177">
        <v>35862477</v>
      </c>
      <c r="AN177">
        <v>0</v>
      </c>
      <c r="AO177">
        <v>0</v>
      </c>
      <c r="AP177">
        <f t="shared" si="2"/>
        <v>12.613246035821495</v>
      </c>
    </row>
    <row r="178" spans="1:42" x14ac:dyDescent="0.3">
      <c r="A178" t="s">
        <v>814</v>
      </c>
      <c r="B178" t="s">
        <v>853</v>
      </c>
      <c r="C178" t="s">
        <v>854</v>
      </c>
      <c r="D178" t="s">
        <v>855</v>
      </c>
      <c r="E178" t="s">
        <v>46</v>
      </c>
      <c r="F178" t="s">
        <v>71</v>
      </c>
      <c r="G178" t="s">
        <v>60</v>
      </c>
      <c r="H178" t="s">
        <v>49</v>
      </c>
      <c r="I178" t="s">
        <v>50</v>
      </c>
      <c r="J178" t="s">
        <v>51</v>
      </c>
      <c r="K178" t="s">
        <v>51</v>
      </c>
      <c r="L178" t="s">
        <v>134</v>
      </c>
      <c r="M178" t="s">
        <v>856</v>
      </c>
      <c r="N178" t="s">
        <v>54</v>
      </c>
      <c r="O178" t="s">
        <v>54</v>
      </c>
      <c r="P178" t="s">
        <v>51</v>
      </c>
      <c r="Q178" t="s">
        <v>857</v>
      </c>
      <c r="R178" s="1">
        <v>11854520.98</v>
      </c>
      <c r="S178" s="1">
        <v>8139000</v>
      </c>
      <c r="T178" s="1">
        <v>14349947.699999999</v>
      </c>
      <c r="U178" s="1">
        <v>0</v>
      </c>
      <c r="V178" t="s">
        <v>51</v>
      </c>
      <c r="W178">
        <v>255099.33</v>
      </c>
      <c r="X178">
        <v>0</v>
      </c>
      <c r="Y178">
        <v>0</v>
      </c>
      <c r="Z178">
        <v>-2495426.7200000002</v>
      </c>
      <c r="AA178">
        <v>65970297.579999998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19400000</v>
      </c>
      <c r="AI178">
        <v>0</v>
      </c>
      <c r="AJ178">
        <v>96251015</v>
      </c>
      <c r="AK178">
        <v>96251015</v>
      </c>
      <c r="AL178">
        <v>97300000</v>
      </c>
      <c r="AM178">
        <v>97300000</v>
      </c>
      <c r="AN178">
        <v>0</v>
      </c>
      <c r="AO178">
        <v>0</v>
      </c>
      <c r="AP178">
        <f t="shared" si="2"/>
        <v>-3.7826519078133289</v>
      </c>
    </row>
    <row r="179" spans="1:42" x14ac:dyDescent="0.3">
      <c r="A179" t="s">
        <v>814</v>
      </c>
      <c r="B179" t="s">
        <v>858</v>
      </c>
      <c r="C179" t="s">
        <v>859</v>
      </c>
      <c r="D179" t="s">
        <v>860</v>
      </c>
      <c r="E179" t="s">
        <v>46</v>
      </c>
      <c r="F179" t="s">
        <v>150</v>
      </c>
      <c r="G179" t="s">
        <v>60</v>
      </c>
      <c r="H179" t="s">
        <v>49</v>
      </c>
      <c r="I179" t="s">
        <v>50</v>
      </c>
      <c r="J179" t="s">
        <v>51</v>
      </c>
      <c r="K179" t="s">
        <v>51</v>
      </c>
      <c r="L179" t="s">
        <v>134</v>
      </c>
      <c r="M179" t="s">
        <v>861</v>
      </c>
      <c r="N179" t="s">
        <v>54</v>
      </c>
      <c r="O179" t="s">
        <v>54</v>
      </c>
      <c r="P179" t="s">
        <v>51</v>
      </c>
      <c r="Q179" t="s">
        <v>862</v>
      </c>
      <c r="R179" s="1">
        <v>62715869</v>
      </c>
      <c r="S179" s="1">
        <v>15391808</v>
      </c>
      <c r="T179" s="1">
        <v>27942106</v>
      </c>
      <c r="U179" s="1">
        <v>2131635.27</v>
      </c>
      <c r="V179" t="s">
        <v>51</v>
      </c>
      <c r="W179">
        <v>247018.42</v>
      </c>
      <c r="X179">
        <v>0</v>
      </c>
      <c r="Y179">
        <v>27300.44</v>
      </c>
      <c r="Z179">
        <v>177996</v>
      </c>
      <c r="AA179">
        <v>41810448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131250</v>
      </c>
      <c r="AK179">
        <v>131250</v>
      </c>
      <c r="AL179">
        <v>66570000</v>
      </c>
      <c r="AM179">
        <v>66570000</v>
      </c>
      <c r="AN179">
        <v>0</v>
      </c>
      <c r="AO179">
        <v>0</v>
      </c>
      <c r="AP179">
        <f t="shared" si="2"/>
        <v>0.42572134123030686</v>
      </c>
    </row>
    <row r="180" spans="1:42" x14ac:dyDescent="0.3">
      <c r="A180" t="s">
        <v>814</v>
      </c>
      <c r="B180" t="s">
        <v>863</v>
      </c>
      <c r="C180" t="s">
        <v>864</v>
      </c>
      <c r="D180" t="s">
        <v>865</v>
      </c>
      <c r="E180" t="s">
        <v>46</v>
      </c>
      <c r="F180" t="s">
        <v>107</v>
      </c>
      <c r="G180" t="s">
        <v>60</v>
      </c>
      <c r="H180" t="s">
        <v>49</v>
      </c>
      <c r="I180" t="s">
        <v>50</v>
      </c>
      <c r="J180" t="s">
        <v>51</v>
      </c>
      <c r="K180" t="s">
        <v>51</v>
      </c>
      <c r="L180" t="s">
        <v>134</v>
      </c>
      <c r="M180" t="s">
        <v>866</v>
      </c>
      <c r="N180" t="s">
        <v>54</v>
      </c>
      <c r="O180" t="s">
        <v>54</v>
      </c>
      <c r="P180" t="s">
        <v>54</v>
      </c>
      <c r="Q180" t="s">
        <v>867</v>
      </c>
      <c r="R180" s="1">
        <v>2886188098.75</v>
      </c>
      <c r="S180" s="1">
        <v>756401344.70000005</v>
      </c>
      <c r="T180" s="1">
        <v>2744019053.3099999</v>
      </c>
      <c r="U180" s="1">
        <v>433792011.24000001</v>
      </c>
      <c r="V180" t="s">
        <v>51</v>
      </c>
      <c r="W180">
        <v>583436.80000000005</v>
      </c>
      <c r="X180">
        <v>0</v>
      </c>
      <c r="Y180">
        <v>13159.52</v>
      </c>
      <c r="Z180">
        <v>142169045.44</v>
      </c>
      <c r="AA180">
        <v>8115054105.5100002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231707574.56</v>
      </c>
      <c r="AI180">
        <v>92466285.930000007</v>
      </c>
      <c r="AJ180">
        <v>202971399</v>
      </c>
      <c r="AK180">
        <v>210666100</v>
      </c>
      <c r="AL180">
        <v>7468746041.0900002</v>
      </c>
      <c r="AM180">
        <v>7757721748.6099997</v>
      </c>
      <c r="AN180">
        <v>231707574.56</v>
      </c>
      <c r="AO180">
        <v>92466285.930000007</v>
      </c>
      <c r="AP180">
        <f t="shared" si="2"/>
        <v>1.7519174067301577</v>
      </c>
    </row>
    <row r="181" spans="1:42" x14ac:dyDescent="0.3">
      <c r="A181" t="s">
        <v>814</v>
      </c>
      <c r="B181" t="s">
        <v>868</v>
      </c>
      <c r="C181" t="s">
        <v>869</v>
      </c>
      <c r="D181" t="s">
        <v>870</v>
      </c>
      <c r="E181" t="s">
        <v>46</v>
      </c>
      <c r="F181" t="s">
        <v>139</v>
      </c>
      <c r="G181" t="s">
        <v>60</v>
      </c>
      <c r="H181" t="s">
        <v>49</v>
      </c>
      <c r="I181" t="s">
        <v>50</v>
      </c>
      <c r="J181" t="s">
        <v>51</v>
      </c>
      <c r="K181" t="s">
        <v>51</v>
      </c>
      <c r="L181" t="s">
        <v>134</v>
      </c>
      <c r="M181" t="s">
        <v>687</v>
      </c>
      <c r="N181" t="s">
        <v>54</v>
      </c>
      <c r="O181" t="s">
        <v>54</v>
      </c>
      <c r="P181" t="s">
        <v>54</v>
      </c>
      <c r="Q181" t="s">
        <v>871</v>
      </c>
      <c r="R181" s="1">
        <v>1718865221</v>
      </c>
      <c r="S181" s="1">
        <v>52295787</v>
      </c>
      <c r="T181" s="1">
        <v>615375082.33000004</v>
      </c>
      <c r="U181" s="1">
        <v>149066549</v>
      </c>
      <c r="V181" t="s">
        <v>54</v>
      </c>
      <c r="W181">
        <v>427515.38</v>
      </c>
      <c r="X181">
        <v>31199.94</v>
      </c>
      <c r="Y181">
        <v>12084.59</v>
      </c>
      <c r="Z181">
        <v>114303783</v>
      </c>
      <c r="AA181">
        <v>565048790</v>
      </c>
      <c r="AB181">
        <v>0</v>
      </c>
      <c r="AC181">
        <v>10208569.539999999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30622406</v>
      </c>
      <c r="AK181">
        <v>31621297</v>
      </c>
      <c r="AL181">
        <v>41306804.899999999</v>
      </c>
      <c r="AM181">
        <v>42654208.039999999</v>
      </c>
      <c r="AN181">
        <v>0</v>
      </c>
      <c r="AO181">
        <v>0</v>
      </c>
      <c r="AP181">
        <f t="shared" si="2"/>
        <v>20.229011197422437</v>
      </c>
    </row>
    <row r="182" spans="1:42" x14ac:dyDescent="0.3">
      <c r="A182" t="s">
        <v>814</v>
      </c>
      <c r="B182" t="s">
        <v>872</v>
      </c>
      <c r="C182" t="s">
        <v>873</v>
      </c>
      <c r="D182" t="s">
        <v>874</v>
      </c>
      <c r="E182" t="s">
        <v>46</v>
      </c>
      <c r="F182" t="s">
        <v>121</v>
      </c>
      <c r="G182" t="s">
        <v>60</v>
      </c>
      <c r="H182" t="s">
        <v>49</v>
      </c>
      <c r="I182" t="s">
        <v>50</v>
      </c>
      <c r="J182" t="s">
        <v>51</v>
      </c>
      <c r="K182" t="s">
        <v>51</v>
      </c>
      <c r="L182" t="s">
        <v>134</v>
      </c>
      <c r="M182" t="s">
        <v>875</v>
      </c>
      <c r="N182" t="s">
        <v>54</v>
      </c>
      <c r="O182" t="s">
        <v>54</v>
      </c>
      <c r="P182" t="s">
        <v>54</v>
      </c>
      <c r="Q182" t="s">
        <v>876</v>
      </c>
      <c r="R182" s="1">
        <v>687016112.39999998</v>
      </c>
      <c r="S182" s="1">
        <v>64166129.409999996</v>
      </c>
      <c r="T182" s="1">
        <v>86010170.780000001</v>
      </c>
      <c r="U182" s="1">
        <v>9436045</v>
      </c>
      <c r="V182" t="s">
        <v>54</v>
      </c>
      <c r="W182">
        <v>365088.53</v>
      </c>
      <c r="X182">
        <v>1695.38</v>
      </c>
      <c r="Y182">
        <v>9689.2000000000007</v>
      </c>
      <c r="Z182">
        <v>22672831.969999999</v>
      </c>
      <c r="AA182">
        <v>295208486.38</v>
      </c>
      <c r="AB182">
        <v>0</v>
      </c>
      <c r="AC182">
        <v>19130943.140000001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91425333</v>
      </c>
      <c r="AK182">
        <v>91425333</v>
      </c>
      <c r="AL182">
        <v>87989242</v>
      </c>
      <c r="AM182">
        <v>87989242</v>
      </c>
      <c r="AN182">
        <v>0</v>
      </c>
      <c r="AO182">
        <v>0</v>
      </c>
      <c r="AP182">
        <f t="shared" si="2"/>
        <v>7.6802778429665279</v>
      </c>
    </row>
    <row r="183" spans="1:42" x14ac:dyDescent="0.3">
      <c r="A183" t="s">
        <v>814</v>
      </c>
      <c r="B183" t="s">
        <v>877</v>
      </c>
      <c r="C183" t="s">
        <v>878</v>
      </c>
      <c r="D183" t="s">
        <v>879</v>
      </c>
      <c r="E183" t="s">
        <v>46</v>
      </c>
      <c r="F183" t="s">
        <v>314</v>
      </c>
      <c r="G183" t="s">
        <v>60</v>
      </c>
      <c r="H183" t="s">
        <v>49</v>
      </c>
      <c r="I183" t="s">
        <v>50</v>
      </c>
      <c r="J183" t="s">
        <v>51</v>
      </c>
      <c r="K183" t="s">
        <v>51</v>
      </c>
      <c r="L183" t="s">
        <v>134</v>
      </c>
      <c r="M183" t="s">
        <v>880</v>
      </c>
      <c r="N183" t="s">
        <v>54</v>
      </c>
      <c r="O183" t="s">
        <v>54</v>
      </c>
      <c r="P183" t="s">
        <v>51</v>
      </c>
      <c r="Q183" t="s">
        <v>881</v>
      </c>
      <c r="R183" s="1">
        <v>42859983.509999998</v>
      </c>
      <c r="S183" s="1">
        <v>25765607.300000001</v>
      </c>
      <c r="T183" s="1">
        <v>35031013.350000001</v>
      </c>
      <c r="U183" s="1">
        <v>1558754</v>
      </c>
      <c r="V183" t="s">
        <v>51</v>
      </c>
      <c r="W183">
        <v>316704.46999999997</v>
      </c>
      <c r="X183">
        <v>0</v>
      </c>
      <c r="Y183">
        <v>328262.57</v>
      </c>
      <c r="Z183">
        <v>6260952.9500000002</v>
      </c>
      <c r="AA183">
        <v>18753532.370000001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205862945.88999999</v>
      </c>
      <c r="AK183">
        <v>217082945.88999999</v>
      </c>
      <c r="AL183">
        <v>205862945.88999999</v>
      </c>
      <c r="AM183">
        <v>217082945.88999999</v>
      </c>
      <c r="AN183">
        <v>11220000</v>
      </c>
      <c r="AO183">
        <v>0</v>
      </c>
      <c r="AP183">
        <f t="shared" si="2"/>
        <v>33.385459477573612</v>
      </c>
    </row>
    <row r="184" spans="1:42" x14ac:dyDescent="0.3">
      <c r="A184" t="s">
        <v>814</v>
      </c>
      <c r="B184" t="s">
        <v>882</v>
      </c>
      <c r="C184" t="s">
        <v>883</v>
      </c>
      <c r="D184" t="s">
        <v>884</v>
      </c>
      <c r="E184" t="s">
        <v>46</v>
      </c>
      <c r="F184" t="s">
        <v>314</v>
      </c>
      <c r="G184" t="s">
        <v>48</v>
      </c>
      <c r="H184" t="s">
        <v>76</v>
      </c>
      <c r="I184" t="s">
        <v>50</v>
      </c>
      <c r="J184" t="s">
        <v>51</v>
      </c>
      <c r="K184" t="s">
        <v>51</v>
      </c>
      <c r="L184" t="s">
        <v>134</v>
      </c>
      <c r="M184" t="s">
        <v>885</v>
      </c>
      <c r="N184" t="s">
        <v>54</v>
      </c>
      <c r="O184" t="s">
        <v>54</v>
      </c>
      <c r="P184" t="s">
        <v>54</v>
      </c>
      <c r="Q184" t="s">
        <v>886</v>
      </c>
      <c r="R184" s="1">
        <v>396624308.07999998</v>
      </c>
      <c r="S184" s="1">
        <v>93320372.400000006</v>
      </c>
      <c r="T184" s="1">
        <v>345642212.48000002</v>
      </c>
      <c r="U184" s="1">
        <v>114037754.78</v>
      </c>
      <c r="V184" t="s">
        <v>54</v>
      </c>
      <c r="W184">
        <v>422680.08</v>
      </c>
      <c r="X184">
        <v>3408.75</v>
      </c>
      <c r="Y184">
        <v>20020</v>
      </c>
      <c r="Z184">
        <v>92770948.239999995</v>
      </c>
      <c r="AA184">
        <v>3918756099.9499998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934607.44</v>
      </c>
      <c r="AI184">
        <v>313144.86</v>
      </c>
      <c r="AJ184">
        <v>0</v>
      </c>
      <c r="AK184">
        <v>0</v>
      </c>
      <c r="AL184">
        <v>1965486107.8800001</v>
      </c>
      <c r="AM184">
        <v>1965799252.74</v>
      </c>
      <c r="AN184">
        <v>0</v>
      </c>
      <c r="AO184">
        <v>0</v>
      </c>
      <c r="AP184">
        <f t="shared" si="2"/>
        <v>2.3673570355956493</v>
      </c>
    </row>
    <row r="185" spans="1:42" x14ac:dyDescent="0.3">
      <c r="A185" t="s">
        <v>887</v>
      </c>
      <c r="B185" t="s">
        <v>888</v>
      </c>
      <c r="C185" t="s">
        <v>889</v>
      </c>
      <c r="D185" t="s">
        <v>890</v>
      </c>
      <c r="E185" t="s">
        <v>46</v>
      </c>
      <c r="F185" t="s">
        <v>240</v>
      </c>
      <c r="G185" t="s">
        <v>60</v>
      </c>
      <c r="H185" t="s">
        <v>49</v>
      </c>
      <c r="I185" t="s">
        <v>50</v>
      </c>
      <c r="J185" t="s">
        <v>51</v>
      </c>
      <c r="K185" t="s">
        <v>51</v>
      </c>
      <c r="L185" t="s">
        <v>52</v>
      </c>
      <c r="M185" t="s">
        <v>891</v>
      </c>
      <c r="N185" t="s">
        <v>54</v>
      </c>
      <c r="O185" t="s">
        <v>54</v>
      </c>
      <c r="P185" t="s">
        <v>51</v>
      </c>
      <c r="Q185" t="s">
        <v>55</v>
      </c>
      <c r="R185" s="1">
        <v>73719380.109999999</v>
      </c>
      <c r="S185" s="1">
        <v>10263328.23</v>
      </c>
      <c r="T185" s="1">
        <v>48377952.700000003</v>
      </c>
      <c r="U185" s="1">
        <v>38114624.469999999</v>
      </c>
      <c r="V185" t="s">
        <v>51</v>
      </c>
      <c r="W185">
        <v>363070.29</v>
      </c>
      <c r="X185">
        <v>0</v>
      </c>
      <c r="Y185">
        <v>0</v>
      </c>
      <c r="Z185">
        <v>33892613.100000001</v>
      </c>
      <c r="AA185">
        <v>37930094.090000004</v>
      </c>
      <c r="AB185">
        <v>0</v>
      </c>
      <c r="AC185">
        <v>0</v>
      </c>
      <c r="AD185">
        <v>4028882.02</v>
      </c>
      <c r="AE185">
        <v>7298112.0199999996</v>
      </c>
      <c r="AF185">
        <v>0</v>
      </c>
      <c r="AG185" s="14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f t="shared" si="2"/>
        <v>89.355468034379442</v>
      </c>
    </row>
    <row r="186" spans="1:42" x14ac:dyDescent="0.3">
      <c r="A186" t="s">
        <v>887</v>
      </c>
      <c r="B186" t="s">
        <v>892</v>
      </c>
      <c r="C186" t="s">
        <v>893</v>
      </c>
      <c r="D186" t="s">
        <v>894</v>
      </c>
      <c r="E186" t="s">
        <v>46</v>
      </c>
      <c r="F186" t="s">
        <v>133</v>
      </c>
      <c r="G186" t="s">
        <v>60</v>
      </c>
      <c r="H186" t="s">
        <v>49</v>
      </c>
      <c r="I186" t="s">
        <v>50</v>
      </c>
      <c r="J186" t="s">
        <v>51</v>
      </c>
      <c r="K186" t="s">
        <v>51</v>
      </c>
      <c r="L186" t="s">
        <v>52</v>
      </c>
      <c r="M186" t="s">
        <v>895</v>
      </c>
      <c r="N186" t="s">
        <v>54</v>
      </c>
      <c r="O186" t="s">
        <v>54</v>
      </c>
      <c r="P186" t="s">
        <v>51</v>
      </c>
      <c r="Q186" t="s">
        <v>896</v>
      </c>
      <c r="R186" s="1">
        <v>124544568.09999999</v>
      </c>
      <c r="S186" s="1">
        <v>86907487.269999996</v>
      </c>
      <c r="T186" s="1">
        <v>120312238.5</v>
      </c>
      <c r="U186" s="1">
        <v>0</v>
      </c>
      <c r="V186" t="s">
        <v>51</v>
      </c>
      <c r="W186">
        <v>569824.80000000005</v>
      </c>
      <c r="X186">
        <v>0</v>
      </c>
      <c r="Y186">
        <v>7727.28</v>
      </c>
      <c r="Z186">
        <v>4445291.67</v>
      </c>
      <c r="AA186">
        <v>70207886.430000007</v>
      </c>
      <c r="AB186">
        <v>0</v>
      </c>
      <c r="AC186">
        <v>0</v>
      </c>
      <c r="AD186">
        <v>119403742.09999999</v>
      </c>
      <c r="AE186">
        <v>124544568.09999999</v>
      </c>
      <c r="AF186">
        <v>24498908.870000001</v>
      </c>
      <c r="AG186" s="14">
        <v>19646296.73</v>
      </c>
      <c r="AH186">
        <v>0</v>
      </c>
      <c r="AI186">
        <v>0</v>
      </c>
      <c r="AJ186">
        <v>99.64</v>
      </c>
      <c r="AK186">
        <v>99.64</v>
      </c>
      <c r="AL186">
        <v>125885754.90000001</v>
      </c>
      <c r="AM186">
        <v>125885754.90000001</v>
      </c>
      <c r="AN186">
        <v>132327076.7</v>
      </c>
      <c r="AO186">
        <v>131229267.59999999</v>
      </c>
      <c r="AP186">
        <f t="shared" si="2"/>
        <v>6.3316130082225577</v>
      </c>
    </row>
    <row r="187" spans="1:42" x14ac:dyDescent="0.3">
      <c r="A187" t="s">
        <v>887</v>
      </c>
      <c r="B187" t="s">
        <v>897</v>
      </c>
      <c r="C187" t="s">
        <v>898</v>
      </c>
      <c r="D187" t="s">
        <v>899</v>
      </c>
      <c r="E187" t="s">
        <v>46</v>
      </c>
      <c r="F187" t="s">
        <v>139</v>
      </c>
      <c r="G187" t="s">
        <v>60</v>
      </c>
      <c r="H187" t="s">
        <v>49</v>
      </c>
      <c r="I187" t="s">
        <v>50</v>
      </c>
      <c r="J187" t="s">
        <v>51</v>
      </c>
      <c r="K187" t="s">
        <v>51</v>
      </c>
      <c r="L187" t="s">
        <v>52</v>
      </c>
      <c r="M187" t="s">
        <v>703</v>
      </c>
      <c r="N187" t="s">
        <v>54</v>
      </c>
      <c r="O187" t="s">
        <v>54</v>
      </c>
      <c r="P187" t="s">
        <v>51</v>
      </c>
      <c r="Q187" t="s">
        <v>900</v>
      </c>
      <c r="R187" s="1">
        <v>0</v>
      </c>
      <c r="S187" s="1">
        <v>544264.5</v>
      </c>
      <c r="T187" s="1">
        <v>1138355.6000000001</v>
      </c>
      <c r="U187" s="1">
        <v>55536.5</v>
      </c>
      <c r="V187" t="s">
        <v>51</v>
      </c>
      <c r="W187">
        <v>168098.77</v>
      </c>
      <c r="X187">
        <v>0</v>
      </c>
      <c r="Y187">
        <v>67114.98</v>
      </c>
      <c r="Z187">
        <v>-1129569.72</v>
      </c>
      <c r="AA187">
        <v>298494.32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629920</v>
      </c>
      <c r="AI187">
        <v>487680</v>
      </c>
      <c r="AJ187">
        <v>1181595</v>
      </c>
      <c r="AK187">
        <v>1653796</v>
      </c>
      <c r="AL187">
        <v>4065086.84</v>
      </c>
      <c r="AM187">
        <v>5689600</v>
      </c>
      <c r="AN187">
        <v>0</v>
      </c>
      <c r="AO187">
        <v>2438398</v>
      </c>
      <c r="AP187">
        <f t="shared" si="2"/>
        <v>-378.42251738659547</v>
      </c>
    </row>
    <row r="188" spans="1:42" x14ac:dyDescent="0.3">
      <c r="A188" t="s">
        <v>887</v>
      </c>
      <c r="B188" t="s">
        <v>901</v>
      </c>
      <c r="C188" t="s">
        <v>902</v>
      </c>
      <c r="D188" t="s">
        <v>903</v>
      </c>
      <c r="E188" t="s">
        <v>46</v>
      </c>
      <c r="F188" t="s">
        <v>107</v>
      </c>
      <c r="G188" t="s">
        <v>60</v>
      </c>
      <c r="H188" t="s">
        <v>49</v>
      </c>
      <c r="I188" t="s">
        <v>50</v>
      </c>
      <c r="J188" t="s">
        <v>51</v>
      </c>
      <c r="K188" t="s">
        <v>51</v>
      </c>
      <c r="L188" s="11" t="s">
        <v>134</v>
      </c>
      <c r="M188" t="s">
        <v>904</v>
      </c>
      <c r="N188" t="s">
        <v>54</v>
      </c>
      <c r="O188" t="s">
        <v>54</v>
      </c>
      <c r="P188" t="s">
        <v>51</v>
      </c>
      <c r="Q188" t="s">
        <v>55</v>
      </c>
      <c r="R188" s="1">
        <v>455445503</v>
      </c>
      <c r="S188" s="1">
        <v>231622998</v>
      </c>
      <c r="T188" s="1">
        <v>2047011179.3299999</v>
      </c>
      <c r="U188" s="1">
        <v>1032012985</v>
      </c>
      <c r="V188" t="s">
        <v>51</v>
      </c>
      <c r="W188">
        <v>65334.32</v>
      </c>
      <c r="X188">
        <v>0</v>
      </c>
      <c r="Y188">
        <v>0</v>
      </c>
      <c r="Z188">
        <v>-104703542</v>
      </c>
      <c r="AA188">
        <v>-651271903.95000005</v>
      </c>
      <c r="AB188">
        <v>0</v>
      </c>
      <c r="AC188">
        <v>0</v>
      </c>
      <c r="AD188">
        <v>786512172</v>
      </c>
      <c r="AE188" s="14">
        <v>198060292.16999999</v>
      </c>
      <c r="AF188">
        <v>0</v>
      </c>
      <c r="AG188" s="14">
        <v>0</v>
      </c>
      <c r="AH188">
        <v>34408805</v>
      </c>
      <c r="AI188">
        <v>0</v>
      </c>
      <c r="AJ188">
        <v>621910776</v>
      </c>
      <c r="AK188">
        <v>621910776</v>
      </c>
      <c r="AL188">
        <v>621910776</v>
      </c>
      <c r="AM188">
        <v>621910776</v>
      </c>
      <c r="AN188">
        <v>0</v>
      </c>
      <c r="AO188">
        <v>0</v>
      </c>
      <c r="AP188">
        <f t="shared" si="2"/>
        <v>16.076778587402163</v>
      </c>
    </row>
    <row r="189" spans="1:42" x14ac:dyDescent="0.3">
      <c r="A189" t="s">
        <v>887</v>
      </c>
      <c r="B189" t="s">
        <v>905</v>
      </c>
      <c r="C189" t="s">
        <v>906</v>
      </c>
      <c r="D189" t="s">
        <v>907</v>
      </c>
      <c r="E189" t="s">
        <v>46</v>
      </c>
      <c r="F189" t="s">
        <v>71</v>
      </c>
      <c r="G189" t="s">
        <v>60</v>
      </c>
      <c r="H189" t="s">
        <v>49</v>
      </c>
      <c r="I189" t="s">
        <v>50</v>
      </c>
      <c r="J189" t="s">
        <v>51</v>
      </c>
      <c r="K189" t="s">
        <v>51</v>
      </c>
      <c r="L189" t="s">
        <v>134</v>
      </c>
      <c r="M189" t="s">
        <v>754</v>
      </c>
      <c r="N189" t="s">
        <v>54</v>
      </c>
      <c r="O189" t="s">
        <v>54</v>
      </c>
      <c r="P189" t="s">
        <v>54</v>
      </c>
      <c r="Q189" t="s">
        <v>908</v>
      </c>
      <c r="R189" s="1">
        <v>16359854.390000001</v>
      </c>
      <c r="S189" s="1">
        <v>4001351.79</v>
      </c>
      <c r="T189" s="1">
        <v>14563090.369999999</v>
      </c>
      <c r="U189" s="1">
        <v>0</v>
      </c>
      <c r="V189" t="s">
        <v>51</v>
      </c>
      <c r="W189">
        <v>288512</v>
      </c>
      <c r="X189">
        <v>0</v>
      </c>
      <c r="Y189">
        <v>48673.42</v>
      </c>
      <c r="Z189">
        <v>1796764.01</v>
      </c>
      <c r="AA189">
        <v>77079311.620000005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24004800</v>
      </c>
      <c r="AI189">
        <v>14002800</v>
      </c>
      <c r="AJ189">
        <v>6981336</v>
      </c>
      <c r="AK189">
        <v>8381616</v>
      </c>
      <c r="AL189">
        <v>69813360</v>
      </c>
      <c r="AM189">
        <v>83816160</v>
      </c>
      <c r="AN189">
        <v>0</v>
      </c>
      <c r="AO189">
        <v>0</v>
      </c>
      <c r="AP189">
        <f t="shared" si="2"/>
        <v>2.3310587137285594</v>
      </c>
    </row>
    <row r="190" spans="1:42" x14ac:dyDescent="0.3">
      <c r="A190" t="s">
        <v>887</v>
      </c>
      <c r="B190" t="s">
        <v>909</v>
      </c>
      <c r="C190" t="s">
        <v>910</v>
      </c>
      <c r="D190" t="s">
        <v>911</v>
      </c>
      <c r="E190" t="s">
        <v>46</v>
      </c>
      <c r="F190" t="s">
        <v>47</v>
      </c>
      <c r="G190" t="s">
        <v>60</v>
      </c>
      <c r="H190" t="s">
        <v>49</v>
      </c>
      <c r="I190" t="s">
        <v>50</v>
      </c>
      <c r="J190" t="s">
        <v>51</v>
      </c>
      <c r="K190" t="s">
        <v>51</v>
      </c>
      <c r="L190" t="s">
        <v>134</v>
      </c>
      <c r="M190" t="s">
        <v>912</v>
      </c>
      <c r="N190" t="s">
        <v>54</v>
      </c>
      <c r="O190" t="s">
        <v>54</v>
      </c>
      <c r="P190" t="s">
        <v>54</v>
      </c>
      <c r="Q190" t="s">
        <v>913</v>
      </c>
      <c r="R190" s="1">
        <v>3060815.85</v>
      </c>
      <c r="S190" s="1">
        <v>27207227.469999999</v>
      </c>
      <c r="T190" s="1">
        <v>77393271.959999993</v>
      </c>
      <c r="U190" s="1">
        <v>992807.27</v>
      </c>
      <c r="V190" t="s">
        <v>51</v>
      </c>
      <c r="W190">
        <v>209913.77</v>
      </c>
      <c r="X190">
        <v>0</v>
      </c>
      <c r="Y190">
        <v>0</v>
      </c>
      <c r="Z190">
        <v>41654555.460000001</v>
      </c>
      <c r="AA190">
        <v>314994699.30000001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16898134.09</v>
      </c>
      <c r="AI190">
        <v>133792106.26000001</v>
      </c>
      <c r="AJ190">
        <v>18490616.09</v>
      </c>
      <c r="AK190">
        <v>369006219.42000002</v>
      </c>
      <c r="AL190">
        <v>18490616.09</v>
      </c>
      <c r="AM190">
        <v>369006219.39999998</v>
      </c>
      <c r="AN190">
        <v>4498.74</v>
      </c>
      <c r="AO190">
        <v>0</v>
      </c>
      <c r="AP190">
        <f t="shared" si="2"/>
        <v>13.223890926598839</v>
      </c>
    </row>
    <row r="191" spans="1:42" x14ac:dyDescent="0.3">
      <c r="A191" t="s">
        <v>887</v>
      </c>
      <c r="B191" t="s">
        <v>914</v>
      </c>
      <c r="C191" t="s">
        <v>915</v>
      </c>
      <c r="D191" t="s">
        <v>916</v>
      </c>
      <c r="E191" t="s">
        <v>46</v>
      </c>
      <c r="F191" t="s">
        <v>65</v>
      </c>
      <c r="G191" t="s">
        <v>60</v>
      </c>
      <c r="H191" t="s">
        <v>49</v>
      </c>
      <c r="I191" t="s">
        <v>50</v>
      </c>
      <c r="J191" t="s">
        <v>51</v>
      </c>
      <c r="K191" t="s">
        <v>51</v>
      </c>
      <c r="L191" t="s">
        <v>134</v>
      </c>
      <c r="M191" t="s">
        <v>309</v>
      </c>
      <c r="N191" t="s">
        <v>54</v>
      </c>
      <c r="O191" t="s">
        <v>54</v>
      </c>
      <c r="P191" t="s">
        <v>54</v>
      </c>
      <c r="Q191" t="s">
        <v>55</v>
      </c>
      <c r="R191" s="1">
        <v>22385.68</v>
      </c>
      <c r="S191" s="1">
        <v>15570081.18</v>
      </c>
      <c r="T191" s="1">
        <v>230766703.24000001</v>
      </c>
      <c r="U191" s="1">
        <v>163540145.41999999</v>
      </c>
      <c r="V191" t="s">
        <v>51</v>
      </c>
      <c r="W191">
        <v>209913.77</v>
      </c>
      <c r="X191">
        <v>0</v>
      </c>
      <c r="Y191">
        <v>0</v>
      </c>
      <c r="Z191">
        <v>51574956.740000002</v>
      </c>
      <c r="AA191">
        <v>239335587.68000001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110973736.5</v>
      </c>
      <c r="AI191">
        <v>209965450.30000001</v>
      </c>
      <c r="AJ191">
        <v>4705000</v>
      </c>
      <c r="AK191">
        <v>4700500</v>
      </c>
      <c r="AL191">
        <v>4700500</v>
      </c>
      <c r="AM191">
        <v>4700500</v>
      </c>
      <c r="AN191">
        <v>4500</v>
      </c>
      <c r="AO191">
        <v>4500</v>
      </c>
      <c r="AP191">
        <f t="shared" si="2"/>
        <v>21.549221843663929</v>
      </c>
    </row>
    <row r="192" spans="1:42" x14ac:dyDescent="0.3">
      <c r="A192" t="s">
        <v>887</v>
      </c>
      <c r="B192" t="s">
        <v>917</v>
      </c>
      <c r="C192" t="s">
        <v>918</v>
      </c>
      <c r="D192" t="s">
        <v>919</v>
      </c>
      <c r="E192" t="s">
        <v>46</v>
      </c>
      <c r="F192" t="s">
        <v>47</v>
      </c>
      <c r="G192" t="s">
        <v>60</v>
      </c>
      <c r="H192" t="s">
        <v>49</v>
      </c>
      <c r="I192" t="s">
        <v>50</v>
      </c>
      <c r="J192" t="s">
        <v>51</v>
      </c>
      <c r="K192" t="s">
        <v>54</v>
      </c>
      <c r="L192" t="s">
        <v>134</v>
      </c>
      <c r="M192" t="s">
        <v>920</v>
      </c>
      <c r="N192" t="s">
        <v>54</v>
      </c>
      <c r="O192" t="s">
        <v>54</v>
      </c>
      <c r="P192" t="s">
        <v>54</v>
      </c>
      <c r="Q192" t="s">
        <v>55</v>
      </c>
      <c r="R192" s="1">
        <v>0</v>
      </c>
      <c r="S192" s="1">
        <v>875211.22</v>
      </c>
      <c r="T192" s="1">
        <v>946895.88</v>
      </c>
      <c r="U192" s="1">
        <v>0</v>
      </c>
      <c r="V192" t="s">
        <v>51</v>
      </c>
      <c r="W192">
        <v>225268.58</v>
      </c>
      <c r="X192">
        <v>0</v>
      </c>
      <c r="Y192">
        <v>0</v>
      </c>
      <c r="Z192">
        <v>-946895.88</v>
      </c>
      <c r="AA192">
        <v>500000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484078.45</v>
      </c>
      <c r="AJ192">
        <v>0</v>
      </c>
      <c r="AK192">
        <v>500000</v>
      </c>
      <c r="AL192">
        <v>0</v>
      </c>
      <c r="AM192">
        <v>500000</v>
      </c>
      <c r="AN192">
        <v>0</v>
      </c>
      <c r="AO192">
        <v>0</v>
      </c>
      <c r="AP192">
        <f t="shared" si="2"/>
        <v>-189.379176</v>
      </c>
    </row>
    <row r="193" spans="1:42" x14ac:dyDescent="0.3">
      <c r="A193" t="s">
        <v>887</v>
      </c>
      <c r="B193" t="s">
        <v>921</v>
      </c>
      <c r="C193" t="s">
        <v>922</v>
      </c>
      <c r="D193" s="11" t="s">
        <v>923</v>
      </c>
      <c r="E193" t="s">
        <v>46</v>
      </c>
      <c r="F193" t="s">
        <v>47</v>
      </c>
      <c r="G193" t="s">
        <v>60</v>
      </c>
      <c r="H193" t="s">
        <v>49</v>
      </c>
      <c r="I193" t="s">
        <v>50</v>
      </c>
      <c r="J193" t="s">
        <v>51</v>
      </c>
      <c r="K193" t="s">
        <v>54</v>
      </c>
      <c r="L193" t="s">
        <v>134</v>
      </c>
      <c r="M193" t="s">
        <v>208</v>
      </c>
      <c r="N193" t="s">
        <v>54</v>
      </c>
      <c r="O193" t="s">
        <v>54</v>
      </c>
      <c r="P193" t="s">
        <v>54</v>
      </c>
      <c r="Q193" t="s">
        <v>55</v>
      </c>
      <c r="R193" s="1">
        <v>0</v>
      </c>
      <c r="S193" s="1">
        <v>167603.73000000001</v>
      </c>
      <c r="T193" s="1">
        <v>169246.94</v>
      </c>
      <c r="U193" s="1">
        <v>0</v>
      </c>
      <c r="V193" t="s">
        <v>51</v>
      </c>
      <c r="W193">
        <v>119373.1</v>
      </c>
      <c r="X193">
        <v>0</v>
      </c>
      <c r="Y193">
        <v>0</v>
      </c>
      <c r="Z193">
        <v>-227233.61</v>
      </c>
      <c r="AA193">
        <v>3000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30000</v>
      </c>
      <c r="AL193">
        <v>0</v>
      </c>
      <c r="AM193">
        <v>3000</v>
      </c>
      <c r="AN193">
        <v>0</v>
      </c>
      <c r="AO193">
        <v>27000</v>
      </c>
      <c r="AP193">
        <f t="shared" si="2"/>
        <v>-7574.4536666666663</v>
      </c>
    </row>
    <row r="194" spans="1:42" x14ac:dyDescent="0.3">
      <c r="A194" t="s">
        <v>887</v>
      </c>
      <c r="B194" t="s">
        <v>924</v>
      </c>
      <c r="C194" t="s">
        <v>925</v>
      </c>
      <c r="D194" t="s">
        <v>926</v>
      </c>
      <c r="E194" t="s">
        <v>46</v>
      </c>
      <c r="F194" t="s">
        <v>314</v>
      </c>
      <c r="G194" t="s">
        <v>60</v>
      </c>
      <c r="H194" t="s">
        <v>49</v>
      </c>
      <c r="I194" t="s">
        <v>50</v>
      </c>
      <c r="J194" t="s">
        <v>51</v>
      </c>
      <c r="K194" t="s">
        <v>54</v>
      </c>
      <c r="L194" t="s">
        <v>134</v>
      </c>
      <c r="M194" t="s">
        <v>927</v>
      </c>
      <c r="N194" t="s">
        <v>54</v>
      </c>
      <c r="O194" t="s">
        <v>54</v>
      </c>
      <c r="P194" t="s">
        <v>54</v>
      </c>
      <c r="Q194" t="s">
        <v>55</v>
      </c>
      <c r="R194" s="1">
        <v>0</v>
      </c>
      <c r="S194" s="1">
        <v>1968350.08</v>
      </c>
      <c r="T194" s="1">
        <v>4393849.0199999996</v>
      </c>
      <c r="U194" s="1">
        <v>1957965.72</v>
      </c>
      <c r="V194" t="s">
        <v>51</v>
      </c>
      <c r="W194">
        <v>274778.15999999997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4411871.4000000004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30000000</v>
      </c>
      <c r="AK194">
        <v>30000000</v>
      </c>
      <c r="AL194">
        <v>0</v>
      </c>
      <c r="AM194">
        <v>0</v>
      </c>
      <c r="AN194">
        <v>30000000</v>
      </c>
      <c r="AO194">
        <v>30000000</v>
      </c>
      <c r="AP194" t="e">
        <f t="shared" ref="AP194:AP257" si="3">Z194*100/AA194</f>
        <v>#DIV/0!</v>
      </c>
    </row>
    <row r="195" spans="1:42" x14ac:dyDescent="0.3">
      <c r="A195" t="s">
        <v>887</v>
      </c>
      <c r="B195" t="s">
        <v>928</v>
      </c>
      <c r="C195" t="s">
        <v>929</v>
      </c>
      <c r="D195" t="s">
        <v>930</v>
      </c>
      <c r="E195" t="s">
        <v>46</v>
      </c>
      <c r="F195" t="s">
        <v>65</v>
      </c>
      <c r="G195" t="s">
        <v>60</v>
      </c>
      <c r="H195" t="s">
        <v>49</v>
      </c>
      <c r="I195" t="s">
        <v>50</v>
      </c>
      <c r="J195" t="s">
        <v>51</v>
      </c>
      <c r="K195" t="s">
        <v>54</v>
      </c>
      <c r="L195" t="s">
        <v>134</v>
      </c>
      <c r="M195" t="s">
        <v>471</v>
      </c>
      <c r="N195" t="s">
        <v>54</v>
      </c>
      <c r="O195" t="s">
        <v>54</v>
      </c>
      <c r="P195" t="s">
        <v>54</v>
      </c>
      <c r="Q195" t="s">
        <v>931</v>
      </c>
      <c r="R195" s="1">
        <v>0</v>
      </c>
      <c r="S195" s="1">
        <v>3078407.84</v>
      </c>
      <c r="T195" s="1">
        <v>6726462.9400000004</v>
      </c>
      <c r="U195" s="1">
        <v>41704.9</v>
      </c>
      <c r="V195" t="s">
        <v>51</v>
      </c>
      <c r="W195">
        <v>299120.37</v>
      </c>
      <c r="X195">
        <v>0</v>
      </c>
      <c r="Y195">
        <v>0</v>
      </c>
      <c r="Z195">
        <v>-11040815.939999999</v>
      </c>
      <c r="AA195">
        <v>76891901.260000005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8924315.8399999999</v>
      </c>
      <c r="AI195">
        <v>6717233.7699999996</v>
      </c>
      <c r="AJ195">
        <v>55091217.200000003</v>
      </c>
      <c r="AK195">
        <v>66825320</v>
      </c>
      <c r="AL195">
        <v>20144029.199999999</v>
      </c>
      <c r="AM195">
        <v>66825320</v>
      </c>
      <c r="AN195">
        <v>0</v>
      </c>
      <c r="AO195">
        <v>0</v>
      </c>
      <c r="AP195">
        <f t="shared" si="3"/>
        <v>-14.358880140922658</v>
      </c>
    </row>
    <row r="196" spans="1:42" x14ac:dyDescent="0.3">
      <c r="A196" t="s">
        <v>932</v>
      </c>
      <c r="B196" t="s">
        <v>933</v>
      </c>
      <c r="C196" t="s">
        <v>934</v>
      </c>
      <c r="D196" t="s">
        <v>935</v>
      </c>
      <c r="E196" t="s">
        <v>46</v>
      </c>
      <c r="F196" t="s">
        <v>93</v>
      </c>
      <c r="G196" t="s">
        <v>60</v>
      </c>
      <c r="H196" t="s">
        <v>49</v>
      </c>
      <c r="I196" t="s">
        <v>50</v>
      </c>
      <c r="J196" t="s">
        <v>51</v>
      </c>
      <c r="K196" t="s">
        <v>51</v>
      </c>
      <c r="L196" t="s">
        <v>52</v>
      </c>
      <c r="M196" t="s">
        <v>513</v>
      </c>
      <c r="N196" t="s">
        <v>54</v>
      </c>
      <c r="O196" t="s">
        <v>54</v>
      </c>
      <c r="P196" t="s">
        <v>51</v>
      </c>
      <c r="Q196" t="s">
        <v>55</v>
      </c>
      <c r="R196" s="1">
        <v>9738890.9399999995</v>
      </c>
      <c r="S196" s="1">
        <v>100210156.51000001</v>
      </c>
      <c r="T196" s="1">
        <v>182203596.06999999</v>
      </c>
      <c r="U196" s="1">
        <v>81993439.560000002</v>
      </c>
      <c r="V196" t="s">
        <v>51</v>
      </c>
      <c r="W196">
        <v>667236.96</v>
      </c>
      <c r="X196">
        <v>0</v>
      </c>
      <c r="Y196">
        <v>30635.24</v>
      </c>
      <c r="Z196">
        <v>-47337285.969999999</v>
      </c>
      <c r="AA196">
        <v>1139847792.77</v>
      </c>
      <c r="AB196">
        <v>0</v>
      </c>
      <c r="AC196">
        <v>0</v>
      </c>
      <c r="AD196">
        <v>95093162.599999994</v>
      </c>
      <c r="AE196">
        <v>96094734.290000007</v>
      </c>
      <c r="AF196">
        <v>95093162.599999994</v>
      </c>
      <c r="AG196" s="14">
        <v>96094734.290000007</v>
      </c>
      <c r="AH196">
        <v>0</v>
      </c>
      <c r="AI196">
        <v>0</v>
      </c>
      <c r="AJ196">
        <v>1355068227</v>
      </c>
      <c r="AK196">
        <v>1355068227</v>
      </c>
      <c r="AL196">
        <v>1355068585</v>
      </c>
      <c r="AM196">
        <v>1355068585</v>
      </c>
      <c r="AN196">
        <v>330798550.31999999</v>
      </c>
      <c r="AO196">
        <v>412791989.88</v>
      </c>
      <c r="AP196">
        <f t="shared" si="3"/>
        <v>-4.1529479874644792</v>
      </c>
    </row>
    <row r="197" spans="1:42" x14ac:dyDescent="0.3">
      <c r="A197" t="s">
        <v>932</v>
      </c>
      <c r="B197" t="s">
        <v>936</v>
      </c>
      <c r="C197" t="s">
        <v>937</v>
      </c>
      <c r="D197" t="s">
        <v>938</v>
      </c>
      <c r="E197" t="s">
        <v>46</v>
      </c>
      <c r="F197" t="s">
        <v>121</v>
      </c>
      <c r="G197" t="s">
        <v>48</v>
      </c>
      <c r="H197" t="s">
        <v>76</v>
      </c>
      <c r="I197" t="s">
        <v>50</v>
      </c>
      <c r="J197" t="s">
        <v>51</v>
      </c>
      <c r="K197" t="s">
        <v>54</v>
      </c>
      <c r="L197" t="s">
        <v>52</v>
      </c>
      <c r="M197" t="s">
        <v>939</v>
      </c>
      <c r="N197" t="s">
        <v>54</v>
      </c>
      <c r="O197" t="s">
        <v>54</v>
      </c>
      <c r="P197" t="s">
        <v>51</v>
      </c>
      <c r="Q197" t="s">
        <v>55</v>
      </c>
      <c r="R197" s="1">
        <v>145938743.97</v>
      </c>
      <c r="S197" s="1">
        <v>78508775.560000002</v>
      </c>
      <c r="T197" s="1">
        <v>78543537.700000003</v>
      </c>
      <c r="U197" s="1">
        <v>34762.14</v>
      </c>
      <c r="V197" t="s">
        <v>51</v>
      </c>
      <c r="W197">
        <v>482756.69</v>
      </c>
      <c r="X197">
        <v>0</v>
      </c>
      <c r="Y197">
        <v>0</v>
      </c>
      <c r="Z197">
        <v>6593085.8200000003</v>
      </c>
      <c r="AA197">
        <v>5632500.6799999997</v>
      </c>
      <c r="AB197">
        <v>0</v>
      </c>
      <c r="AC197">
        <v>0</v>
      </c>
      <c r="AD197">
        <v>1749649.88</v>
      </c>
      <c r="AE197">
        <v>11417926.439999999</v>
      </c>
      <c r="AF197">
        <v>100804102.68000001</v>
      </c>
      <c r="AG197" s="14">
        <v>88050548.640000001</v>
      </c>
      <c r="AH197">
        <v>65973827</v>
      </c>
      <c r="AI197">
        <v>0</v>
      </c>
      <c r="AJ197">
        <v>100</v>
      </c>
      <c r="AK197">
        <v>100</v>
      </c>
      <c r="AL197">
        <v>252554799.18000001</v>
      </c>
      <c r="AM197">
        <v>252554799.18000001</v>
      </c>
      <c r="AN197">
        <v>0</v>
      </c>
      <c r="AO197">
        <v>0</v>
      </c>
      <c r="AP197">
        <f t="shared" si="3"/>
        <v>117.05432798989028</v>
      </c>
    </row>
    <row r="198" spans="1:42" x14ac:dyDescent="0.3">
      <c r="A198" t="s">
        <v>932</v>
      </c>
      <c r="B198" t="s">
        <v>940</v>
      </c>
      <c r="C198" t="s">
        <v>941</v>
      </c>
      <c r="D198" t="s">
        <v>942</v>
      </c>
      <c r="E198" t="s">
        <v>46</v>
      </c>
      <c r="F198" t="s">
        <v>71</v>
      </c>
      <c r="G198" t="s">
        <v>60</v>
      </c>
      <c r="H198" t="s">
        <v>49</v>
      </c>
      <c r="I198" t="s">
        <v>50</v>
      </c>
      <c r="J198" t="s">
        <v>51</v>
      </c>
      <c r="K198" t="s">
        <v>51</v>
      </c>
      <c r="L198" t="s">
        <v>134</v>
      </c>
      <c r="M198" t="s">
        <v>442</v>
      </c>
      <c r="N198" t="s">
        <v>54</v>
      </c>
      <c r="O198" t="s">
        <v>54</v>
      </c>
      <c r="P198" t="s">
        <v>54</v>
      </c>
      <c r="Q198" t="s">
        <v>943</v>
      </c>
      <c r="R198" s="1">
        <v>337234712.20999998</v>
      </c>
      <c r="S198" s="1">
        <v>46350498.710000001</v>
      </c>
      <c r="T198" s="1">
        <v>261771071.47</v>
      </c>
      <c r="U198" s="1">
        <v>617246.23</v>
      </c>
      <c r="V198" t="s">
        <v>54</v>
      </c>
      <c r="W198">
        <v>514241.76</v>
      </c>
      <c r="X198">
        <v>0</v>
      </c>
      <c r="Y198">
        <v>35747.24</v>
      </c>
      <c r="Z198">
        <v>198518432.02000001</v>
      </c>
      <c r="AA198">
        <v>2757579997.77</v>
      </c>
      <c r="AB198">
        <v>0</v>
      </c>
      <c r="AC198">
        <v>10603140.51</v>
      </c>
      <c r="AD198">
        <v>0</v>
      </c>
      <c r="AE198">
        <v>0</v>
      </c>
      <c r="AF198">
        <v>0</v>
      </c>
      <c r="AG198">
        <v>0</v>
      </c>
      <c r="AH198">
        <v>133027000</v>
      </c>
      <c r="AI198">
        <v>608325000</v>
      </c>
      <c r="AJ198">
        <v>1975815</v>
      </c>
      <c r="AK198">
        <v>2584140</v>
      </c>
      <c r="AL198">
        <v>1975815000</v>
      </c>
      <c r="AM198">
        <v>2584140000</v>
      </c>
      <c r="AN198">
        <v>0</v>
      </c>
      <c r="AO198">
        <v>0</v>
      </c>
      <c r="AP198">
        <f t="shared" si="3"/>
        <v>7.1990089926869905</v>
      </c>
    </row>
    <row r="199" spans="1:42" x14ac:dyDescent="0.3">
      <c r="A199" t="s">
        <v>932</v>
      </c>
      <c r="B199" t="s">
        <v>944</v>
      </c>
      <c r="C199" t="s">
        <v>945</v>
      </c>
      <c r="D199" t="s">
        <v>946</v>
      </c>
      <c r="E199" t="s">
        <v>46</v>
      </c>
      <c r="F199" t="s">
        <v>314</v>
      </c>
      <c r="G199" t="s">
        <v>48</v>
      </c>
      <c r="H199" t="s">
        <v>363</v>
      </c>
      <c r="I199" t="s">
        <v>50</v>
      </c>
      <c r="J199" t="s">
        <v>51</v>
      </c>
      <c r="K199" t="s">
        <v>51</v>
      </c>
      <c r="L199" t="s">
        <v>134</v>
      </c>
      <c r="M199" t="s">
        <v>947</v>
      </c>
      <c r="N199" t="s">
        <v>54</v>
      </c>
      <c r="O199" t="s">
        <v>54</v>
      </c>
      <c r="P199" t="s">
        <v>54</v>
      </c>
      <c r="Q199" t="s">
        <v>948</v>
      </c>
      <c r="R199" s="1">
        <v>588214707.40999997</v>
      </c>
      <c r="S199" s="1">
        <v>144616993.09999999</v>
      </c>
      <c r="T199" s="1">
        <v>627453004.46000004</v>
      </c>
      <c r="U199" s="1">
        <v>117818300.08</v>
      </c>
      <c r="V199" t="s">
        <v>51</v>
      </c>
      <c r="W199">
        <v>687685.04</v>
      </c>
      <c r="X199">
        <v>0</v>
      </c>
      <c r="Y199">
        <v>120201.16</v>
      </c>
      <c r="Z199">
        <v>121546815.67</v>
      </c>
      <c r="AA199">
        <v>1126993688.1800001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100</v>
      </c>
      <c r="AK199">
        <v>100</v>
      </c>
      <c r="AL199">
        <v>1086443861.3800001</v>
      </c>
      <c r="AM199">
        <v>1086443861.3800001</v>
      </c>
      <c r="AN199">
        <v>0</v>
      </c>
      <c r="AO199">
        <v>0</v>
      </c>
      <c r="AP199">
        <f t="shared" si="3"/>
        <v>10.785048482950058</v>
      </c>
    </row>
    <row r="200" spans="1:42" x14ac:dyDescent="0.3">
      <c r="A200" t="s">
        <v>932</v>
      </c>
      <c r="B200" t="s">
        <v>949</v>
      </c>
      <c r="C200" t="s">
        <v>303</v>
      </c>
      <c r="D200" t="s">
        <v>950</v>
      </c>
      <c r="E200" t="s">
        <v>46</v>
      </c>
      <c r="F200" t="s">
        <v>75</v>
      </c>
      <c r="G200" t="s">
        <v>60</v>
      </c>
      <c r="H200" t="s">
        <v>49</v>
      </c>
      <c r="I200" t="s">
        <v>50</v>
      </c>
      <c r="J200" t="s">
        <v>51</v>
      </c>
      <c r="K200" t="s">
        <v>51</v>
      </c>
      <c r="L200" t="s">
        <v>134</v>
      </c>
      <c r="M200" t="s">
        <v>951</v>
      </c>
      <c r="N200" t="s">
        <v>54</v>
      </c>
      <c r="O200" t="s">
        <v>54</v>
      </c>
      <c r="P200" t="s">
        <v>51</v>
      </c>
      <c r="Q200" t="s">
        <v>952</v>
      </c>
      <c r="R200" s="1">
        <v>34154000</v>
      </c>
      <c r="S200" s="1">
        <v>24508879.039999999</v>
      </c>
      <c r="T200" s="1">
        <v>43321423.18</v>
      </c>
      <c r="U200" s="1">
        <v>18812544.140000001</v>
      </c>
      <c r="V200" t="s">
        <v>51</v>
      </c>
      <c r="W200">
        <v>402787.01</v>
      </c>
      <c r="X200">
        <v>0</v>
      </c>
      <c r="Y200">
        <v>7722</v>
      </c>
      <c r="Z200">
        <v>1805000</v>
      </c>
      <c r="AA200">
        <v>192345753.59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23200000</v>
      </c>
      <c r="AJ200">
        <v>33114102</v>
      </c>
      <c r="AK200">
        <v>56314102</v>
      </c>
      <c r="AL200">
        <v>33114102</v>
      </c>
      <c r="AM200">
        <v>56314102</v>
      </c>
      <c r="AN200">
        <v>0</v>
      </c>
      <c r="AO200">
        <v>0</v>
      </c>
      <c r="AP200">
        <f t="shared" si="3"/>
        <v>0.9384142702975905</v>
      </c>
    </row>
    <row r="201" spans="1:42" x14ac:dyDescent="0.3">
      <c r="A201" t="s">
        <v>932</v>
      </c>
      <c r="B201" t="s">
        <v>953</v>
      </c>
      <c r="C201" t="s">
        <v>954</v>
      </c>
      <c r="D201" t="s">
        <v>955</v>
      </c>
      <c r="E201" t="s">
        <v>46</v>
      </c>
      <c r="F201" t="s">
        <v>47</v>
      </c>
      <c r="G201" t="s">
        <v>60</v>
      </c>
      <c r="H201" t="s">
        <v>49</v>
      </c>
      <c r="I201" t="s">
        <v>50</v>
      </c>
      <c r="J201" t="s">
        <v>51</v>
      </c>
      <c r="K201" t="s">
        <v>51</v>
      </c>
      <c r="L201" t="s">
        <v>134</v>
      </c>
      <c r="M201" t="s">
        <v>956</v>
      </c>
      <c r="N201" t="s">
        <v>54</v>
      </c>
      <c r="O201" t="s">
        <v>54</v>
      </c>
      <c r="P201" t="s">
        <v>54</v>
      </c>
      <c r="Q201" t="s">
        <v>957</v>
      </c>
      <c r="R201" s="1">
        <v>494676837</v>
      </c>
      <c r="S201" s="1">
        <v>229230174</v>
      </c>
      <c r="T201" s="1">
        <v>355531072</v>
      </c>
      <c r="U201" s="1">
        <v>61518758</v>
      </c>
      <c r="V201" t="s">
        <v>51</v>
      </c>
      <c r="W201">
        <v>425858.56</v>
      </c>
      <c r="X201">
        <v>0</v>
      </c>
      <c r="Y201">
        <v>0</v>
      </c>
      <c r="Z201">
        <v>338988220</v>
      </c>
      <c r="AA201">
        <v>538445587</v>
      </c>
      <c r="AB201">
        <v>0</v>
      </c>
      <c r="AC201">
        <v>19307859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142046247</v>
      </c>
      <c r="AK201">
        <v>250000000</v>
      </c>
      <c r="AL201">
        <v>149670210</v>
      </c>
      <c r="AM201">
        <v>250000000</v>
      </c>
      <c r="AN201">
        <v>0</v>
      </c>
      <c r="AO201">
        <v>0</v>
      </c>
      <c r="AP201">
        <f t="shared" si="3"/>
        <v>62.956820184692127</v>
      </c>
    </row>
    <row r="202" spans="1:42" x14ac:dyDescent="0.3">
      <c r="A202" t="s">
        <v>932</v>
      </c>
      <c r="B202" t="s">
        <v>958</v>
      </c>
      <c r="C202" t="s">
        <v>959</v>
      </c>
      <c r="D202" t="s">
        <v>960</v>
      </c>
      <c r="E202" t="s">
        <v>46</v>
      </c>
      <c r="F202" t="s">
        <v>240</v>
      </c>
      <c r="G202" t="s">
        <v>60</v>
      </c>
      <c r="H202" t="s">
        <v>49</v>
      </c>
      <c r="I202" t="s">
        <v>50</v>
      </c>
      <c r="J202" t="s">
        <v>51</v>
      </c>
      <c r="K202" t="s">
        <v>51</v>
      </c>
      <c r="L202" t="s">
        <v>134</v>
      </c>
      <c r="M202" t="s">
        <v>951</v>
      </c>
      <c r="N202" t="s">
        <v>54</v>
      </c>
      <c r="O202" t="s">
        <v>54</v>
      </c>
      <c r="P202" t="s">
        <v>51</v>
      </c>
      <c r="Q202" t="s">
        <v>55</v>
      </c>
      <c r="R202" s="1">
        <v>17016124.98</v>
      </c>
      <c r="S202" s="1">
        <v>11845137.720000001</v>
      </c>
      <c r="T202" s="1">
        <v>33264400.969999999</v>
      </c>
      <c r="U202" s="1">
        <v>10023222.539999999</v>
      </c>
      <c r="V202" t="s">
        <v>51</v>
      </c>
      <c r="W202">
        <v>392962.93</v>
      </c>
      <c r="X202">
        <v>0</v>
      </c>
      <c r="Y202">
        <v>0</v>
      </c>
      <c r="Z202">
        <v>16403891.92</v>
      </c>
      <c r="AA202">
        <v>261722096.43000001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7075617.79</v>
      </c>
      <c r="AJ202">
        <v>70145216.280000001</v>
      </c>
      <c r="AK202">
        <v>77220834.069999993</v>
      </c>
      <c r="AL202">
        <v>406813156.67000002</v>
      </c>
      <c r="AM202">
        <v>406813156.67000002</v>
      </c>
      <c r="AN202">
        <v>44186843.329999998</v>
      </c>
      <c r="AO202">
        <v>44186843.329999998</v>
      </c>
      <c r="AP202">
        <f t="shared" si="3"/>
        <v>6.2676755779340061</v>
      </c>
    </row>
    <row r="203" spans="1:42" x14ac:dyDescent="0.3">
      <c r="A203" t="s">
        <v>932</v>
      </c>
      <c r="B203" t="s">
        <v>961</v>
      </c>
      <c r="C203" t="s">
        <v>962</v>
      </c>
      <c r="D203" t="s">
        <v>963</v>
      </c>
      <c r="E203" t="s">
        <v>46</v>
      </c>
      <c r="F203" t="s">
        <v>107</v>
      </c>
      <c r="G203" t="s">
        <v>60</v>
      </c>
      <c r="H203" t="s">
        <v>49</v>
      </c>
      <c r="I203" t="s">
        <v>373</v>
      </c>
      <c r="J203" t="s">
        <v>54</v>
      </c>
      <c r="K203" t="s">
        <v>51</v>
      </c>
      <c r="L203" t="s">
        <v>134</v>
      </c>
      <c r="M203" t="s">
        <v>964</v>
      </c>
      <c r="N203" t="s">
        <v>54</v>
      </c>
      <c r="O203" t="s">
        <v>54</v>
      </c>
      <c r="P203" t="s">
        <v>54</v>
      </c>
      <c r="Q203" t="s">
        <v>965</v>
      </c>
      <c r="R203" s="1">
        <v>6848218722.2799997</v>
      </c>
      <c r="S203" s="1">
        <v>1626352971.5899999</v>
      </c>
      <c r="T203" s="1">
        <v>5175059168.5500002</v>
      </c>
      <c r="U203" s="1">
        <v>1908907990.3299999</v>
      </c>
      <c r="V203" t="s">
        <v>54</v>
      </c>
      <c r="W203">
        <v>985232.71</v>
      </c>
      <c r="X203">
        <v>0</v>
      </c>
      <c r="Y203">
        <v>18754.900000000001</v>
      </c>
      <c r="Z203">
        <v>1545347170.4000001</v>
      </c>
      <c r="AA203">
        <v>10828706949.93</v>
      </c>
      <c r="AB203">
        <v>8418432532.4399996</v>
      </c>
      <c r="AC203">
        <v>84935680.390000001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302653778</v>
      </c>
      <c r="AK203">
        <v>302653778</v>
      </c>
      <c r="AL203">
        <v>6000000000</v>
      </c>
      <c r="AM203">
        <v>6000000000</v>
      </c>
      <c r="AN203">
        <v>0</v>
      </c>
      <c r="AO203">
        <v>0</v>
      </c>
      <c r="AP203">
        <f t="shared" si="3"/>
        <v>14.270837483601767</v>
      </c>
    </row>
    <row r="204" spans="1:42" x14ac:dyDescent="0.3">
      <c r="A204" t="s">
        <v>966</v>
      </c>
      <c r="B204" t="s">
        <v>967</v>
      </c>
      <c r="C204" t="s">
        <v>968</v>
      </c>
      <c r="D204" t="s">
        <v>969</v>
      </c>
      <c r="E204" t="s">
        <v>46</v>
      </c>
      <c r="F204" t="s">
        <v>75</v>
      </c>
      <c r="G204" t="s">
        <v>60</v>
      </c>
      <c r="H204" t="s">
        <v>49</v>
      </c>
      <c r="I204" t="s">
        <v>50</v>
      </c>
      <c r="J204" t="s">
        <v>51</v>
      </c>
      <c r="K204" t="s">
        <v>51</v>
      </c>
      <c r="L204" t="s">
        <v>52</v>
      </c>
      <c r="M204" t="s">
        <v>787</v>
      </c>
      <c r="N204" t="s">
        <v>54</v>
      </c>
      <c r="O204" t="s">
        <v>54</v>
      </c>
      <c r="P204" t="s">
        <v>51</v>
      </c>
      <c r="Q204" t="s">
        <v>66</v>
      </c>
      <c r="R204" s="1">
        <v>92897.09</v>
      </c>
      <c r="S204" s="1">
        <v>2850605.29</v>
      </c>
      <c r="T204" s="1">
        <v>11639694.16</v>
      </c>
      <c r="U204" s="1">
        <v>0</v>
      </c>
      <c r="V204" t="s">
        <v>51</v>
      </c>
      <c r="W204">
        <v>230373.94</v>
      </c>
      <c r="X204">
        <v>0</v>
      </c>
      <c r="Y204">
        <v>1818548.47</v>
      </c>
      <c r="Z204">
        <v>-116498.37</v>
      </c>
      <c r="AA204">
        <v>1514590.16</v>
      </c>
      <c r="AB204">
        <v>0</v>
      </c>
      <c r="AC204">
        <v>0</v>
      </c>
      <c r="AD204">
        <v>6399240.3700000001</v>
      </c>
      <c r="AE204">
        <v>5639924.8700000001</v>
      </c>
      <c r="AF204">
        <v>0</v>
      </c>
      <c r="AG204" s="14">
        <v>0</v>
      </c>
      <c r="AH204">
        <v>0</v>
      </c>
      <c r="AI204">
        <v>0</v>
      </c>
      <c r="AJ204">
        <v>0</v>
      </c>
      <c r="AK204">
        <v>0</v>
      </c>
      <c r="AL204">
        <v>1520887.26</v>
      </c>
      <c r="AM204">
        <v>1520887.26</v>
      </c>
      <c r="AN204">
        <v>0</v>
      </c>
      <c r="AO204">
        <v>0</v>
      </c>
      <c r="AP204">
        <f t="shared" si="3"/>
        <v>-7.6917421673992656</v>
      </c>
    </row>
    <row r="205" spans="1:42" x14ac:dyDescent="0.3">
      <c r="A205" t="s">
        <v>966</v>
      </c>
      <c r="B205" t="s">
        <v>970</v>
      </c>
      <c r="C205" t="s">
        <v>303</v>
      </c>
      <c r="D205" t="s">
        <v>971</v>
      </c>
      <c r="E205" t="s">
        <v>46</v>
      </c>
      <c r="F205" t="s">
        <v>75</v>
      </c>
      <c r="G205" t="s">
        <v>60</v>
      </c>
      <c r="H205" t="s">
        <v>49</v>
      </c>
      <c r="I205" t="s">
        <v>50</v>
      </c>
      <c r="J205" t="s">
        <v>51</v>
      </c>
      <c r="K205" t="s">
        <v>51</v>
      </c>
      <c r="L205" t="s">
        <v>52</v>
      </c>
      <c r="M205" t="s">
        <v>800</v>
      </c>
      <c r="N205" t="s">
        <v>54</v>
      </c>
      <c r="O205" t="s">
        <v>54</v>
      </c>
      <c r="P205" t="s">
        <v>51</v>
      </c>
      <c r="Q205" t="s">
        <v>972</v>
      </c>
      <c r="R205" s="1">
        <v>155704826.68000001</v>
      </c>
      <c r="S205" s="1">
        <v>31111312.609999999</v>
      </c>
      <c r="T205" s="1">
        <v>175749729.15000001</v>
      </c>
      <c r="U205" s="1">
        <v>2592351</v>
      </c>
      <c r="V205" t="s">
        <v>51</v>
      </c>
      <c r="W205">
        <v>287247.69</v>
      </c>
      <c r="X205">
        <v>0</v>
      </c>
      <c r="Y205">
        <v>532956.80000000005</v>
      </c>
      <c r="Z205">
        <v>-1844059.14</v>
      </c>
      <c r="AA205">
        <v>57919389.649999999</v>
      </c>
      <c r="AB205">
        <v>0</v>
      </c>
      <c r="AC205">
        <v>0</v>
      </c>
      <c r="AD205">
        <v>6856966.1500000004</v>
      </c>
      <c r="AE205">
        <v>10523443.15</v>
      </c>
      <c r="AF205">
        <v>1886518020</v>
      </c>
      <c r="AG205" s="14">
        <v>306360.12</v>
      </c>
      <c r="AH205">
        <v>0</v>
      </c>
      <c r="AI205">
        <v>0</v>
      </c>
      <c r="AJ205">
        <v>0</v>
      </c>
      <c r="AK205">
        <v>0</v>
      </c>
      <c r="AL205">
        <v>33788930.850000001</v>
      </c>
      <c r="AM205">
        <v>33788930.850000001</v>
      </c>
      <c r="AN205">
        <v>0</v>
      </c>
      <c r="AO205">
        <v>0</v>
      </c>
      <c r="AP205">
        <f t="shared" si="3"/>
        <v>-3.1838373144873082</v>
      </c>
    </row>
    <row r="206" spans="1:42" x14ac:dyDescent="0.3">
      <c r="A206" t="s">
        <v>966</v>
      </c>
      <c r="B206" t="s">
        <v>973</v>
      </c>
      <c r="C206" t="s">
        <v>816</v>
      </c>
      <c r="D206" t="s">
        <v>974</v>
      </c>
      <c r="E206" t="s">
        <v>46</v>
      </c>
      <c r="F206" t="s">
        <v>93</v>
      </c>
      <c r="G206" t="s">
        <v>60</v>
      </c>
      <c r="H206" t="s">
        <v>49</v>
      </c>
      <c r="I206" t="s">
        <v>50</v>
      </c>
      <c r="J206" t="s">
        <v>51</v>
      </c>
      <c r="K206" t="s">
        <v>54</v>
      </c>
      <c r="L206" t="s">
        <v>52</v>
      </c>
      <c r="M206" t="s">
        <v>975</v>
      </c>
      <c r="N206" t="s">
        <v>54</v>
      </c>
      <c r="O206" t="s">
        <v>54</v>
      </c>
      <c r="P206" t="s">
        <v>51</v>
      </c>
      <c r="Q206" t="s">
        <v>976</v>
      </c>
      <c r="R206" s="1">
        <v>339807340.25</v>
      </c>
      <c r="S206" s="1">
        <v>59674686.280000001</v>
      </c>
      <c r="T206" s="1">
        <v>326102830.56</v>
      </c>
      <c r="U206" s="1">
        <v>203656729.34999999</v>
      </c>
      <c r="V206" t="s">
        <v>51</v>
      </c>
      <c r="W206">
        <v>302412.03999999998</v>
      </c>
      <c r="X206">
        <v>0</v>
      </c>
      <c r="Y206">
        <v>0</v>
      </c>
      <c r="Z206">
        <v>-9055528.0099999998</v>
      </c>
      <c r="AA206">
        <v>112422565.31999999</v>
      </c>
      <c r="AB206">
        <v>0</v>
      </c>
      <c r="AC206">
        <v>0</v>
      </c>
      <c r="AD206">
        <v>567889086.49000001</v>
      </c>
      <c r="AE206">
        <v>326474688.86000001</v>
      </c>
      <c r="AF206">
        <v>3184578.24</v>
      </c>
      <c r="AG206" s="14">
        <v>3377029.67</v>
      </c>
      <c r="AH206">
        <v>0</v>
      </c>
      <c r="AI206">
        <v>0</v>
      </c>
      <c r="AJ206">
        <v>3338267.4</v>
      </c>
      <c r="AK206">
        <v>3338267.4</v>
      </c>
      <c r="AL206">
        <v>242168282.16999999</v>
      </c>
      <c r="AM206">
        <v>242168282.16999999</v>
      </c>
      <c r="AN206">
        <v>0</v>
      </c>
      <c r="AO206">
        <v>0</v>
      </c>
      <c r="AP206">
        <f t="shared" si="3"/>
        <v>-8.0549024870801631</v>
      </c>
    </row>
    <row r="207" spans="1:42" x14ac:dyDescent="0.3">
      <c r="A207" t="s">
        <v>966</v>
      </c>
      <c r="B207" t="s">
        <v>977</v>
      </c>
      <c r="C207" t="s">
        <v>978</v>
      </c>
      <c r="D207" t="s">
        <v>979</v>
      </c>
      <c r="E207" t="s">
        <v>46</v>
      </c>
      <c r="F207" t="s">
        <v>240</v>
      </c>
      <c r="G207" t="s">
        <v>48</v>
      </c>
      <c r="H207" t="s">
        <v>49</v>
      </c>
      <c r="I207" t="s">
        <v>50</v>
      </c>
      <c r="J207" t="s">
        <v>51</v>
      </c>
      <c r="K207" t="s">
        <v>51</v>
      </c>
      <c r="L207" t="s">
        <v>52</v>
      </c>
      <c r="M207" t="s">
        <v>800</v>
      </c>
      <c r="N207" t="s">
        <v>54</v>
      </c>
      <c r="O207" t="s">
        <v>54</v>
      </c>
      <c r="P207" t="s">
        <v>54</v>
      </c>
      <c r="Q207" t="s">
        <v>972</v>
      </c>
      <c r="R207" s="1">
        <v>5874169.1600000001</v>
      </c>
      <c r="S207" s="1">
        <v>60733903.109999999</v>
      </c>
      <c r="T207" s="1">
        <v>140526048.91999999</v>
      </c>
      <c r="U207" s="1">
        <v>0</v>
      </c>
      <c r="V207" t="s">
        <v>51</v>
      </c>
      <c r="W207">
        <v>385616.37</v>
      </c>
      <c r="X207">
        <v>0</v>
      </c>
      <c r="Y207">
        <v>23800.44</v>
      </c>
      <c r="Z207">
        <v>-4118713.34</v>
      </c>
      <c r="AA207">
        <v>889267626.19000006</v>
      </c>
      <c r="AB207">
        <v>0</v>
      </c>
      <c r="AC207">
        <v>0</v>
      </c>
      <c r="AD207">
        <v>62515627.299999997</v>
      </c>
      <c r="AE207">
        <v>105836881.29000001</v>
      </c>
      <c r="AF207">
        <v>4569593.9400000004</v>
      </c>
      <c r="AG207" s="14">
        <v>145020.6</v>
      </c>
      <c r="AH207">
        <v>0</v>
      </c>
      <c r="AI207">
        <v>0</v>
      </c>
      <c r="AJ207">
        <v>72884768867</v>
      </c>
      <c r="AK207">
        <v>72884768867</v>
      </c>
      <c r="AL207">
        <v>996251938.23000002</v>
      </c>
      <c r="AM207">
        <v>996251938.23000002</v>
      </c>
      <c r="AN207">
        <v>0</v>
      </c>
      <c r="AO207">
        <v>0</v>
      </c>
      <c r="AP207">
        <f t="shared" si="3"/>
        <v>-0.46315790867663947</v>
      </c>
    </row>
    <row r="208" spans="1:42" x14ac:dyDescent="0.3">
      <c r="A208" t="s">
        <v>966</v>
      </c>
      <c r="B208" t="s">
        <v>980</v>
      </c>
      <c r="C208" t="s">
        <v>981</v>
      </c>
      <c r="D208" t="s">
        <v>982</v>
      </c>
      <c r="E208" t="s">
        <v>46</v>
      </c>
      <c r="F208" t="s">
        <v>240</v>
      </c>
      <c r="G208" t="s">
        <v>60</v>
      </c>
      <c r="H208" t="s">
        <v>76</v>
      </c>
      <c r="I208" t="s">
        <v>50</v>
      </c>
      <c r="J208" t="s">
        <v>51</v>
      </c>
      <c r="K208" t="s">
        <v>51</v>
      </c>
      <c r="L208" t="s">
        <v>52</v>
      </c>
      <c r="M208" t="s">
        <v>983</v>
      </c>
      <c r="N208" t="s">
        <v>54</v>
      </c>
      <c r="O208" t="s">
        <v>54</v>
      </c>
      <c r="P208" t="s">
        <v>51</v>
      </c>
      <c r="Q208" t="s">
        <v>66</v>
      </c>
      <c r="R208" s="1">
        <v>25192618.399999999</v>
      </c>
      <c r="S208" s="1">
        <v>11288912.58</v>
      </c>
      <c r="T208" s="1">
        <v>71331647.739999995</v>
      </c>
      <c r="U208" s="1">
        <v>20877.18</v>
      </c>
      <c r="V208" t="s">
        <v>51</v>
      </c>
      <c r="W208">
        <v>346137.05</v>
      </c>
      <c r="X208">
        <v>0</v>
      </c>
      <c r="Y208">
        <v>14615.8</v>
      </c>
      <c r="Z208">
        <v>-46139029.340000004</v>
      </c>
      <c r="AA208">
        <v>-82709470.349999994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526313</v>
      </c>
      <c r="AK208">
        <v>526313</v>
      </c>
      <c r="AL208">
        <v>16872235.780000001</v>
      </c>
      <c r="AM208">
        <v>16872235.780000001</v>
      </c>
      <c r="AN208">
        <v>0</v>
      </c>
      <c r="AO208">
        <v>0</v>
      </c>
      <c r="AP208">
        <f t="shared" si="3"/>
        <v>55.784457504992361</v>
      </c>
    </row>
    <row r="209" spans="1:42" x14ac:dyDescent="0.3">
      <c r="A209" t="s">
        <v>966</v>
      </c>
      <c r="B209" t="s">
        <v>984</v>
      </c>
      <c r="C209" t="s">
        <v>985</v>
      </c>
      <c r="D209" t="s">
        <v>986</v>
      </c>
      <c r="E209" t="s">
        <v>46</v>
      </c>
      <c r="F209" t="s">
        <v>65</v>
      </c>
      <c r="G209" t="s">
        <v>60</v>
      </c>
      <c r="H209" t="s">
        <v>49</v>
      </c>
      <c r="I209" t="s">
        <v>50</v>
      </c>
      <c r="J209" t="s">
        <v>51</v>
      </c>
      <c r="K209" t="s">
        <v>51</v>
      </c>
      <c r="L209" t="s">
        <v>52</v>
      </c>
      <c r="M209" t="s">
        <v>635</v>
      </c>
      <c r="N209" t="s">
        <v>54</v>
      </c>
      <c r="O209" t="s">
        <v>54</v>
      </c>
      <c r="P209" t="s">
        <v>54</v>
      </c>
      <c r="Q209" t="s">
        <v>66</v>
      </c>
      <c r="R209" s="1">
        <v>3565427.67</v>
      </c>
      <c r="S209" s="1">
        <v>11321077.119999999</v>
      </c>
      <c r="T209" s="1">
        <v>22242817.120000001</v>
      </c>
      <c r="U209" s="1">
        <v>10921740</v>
      </c>
      <c r="V209" t="s">
        <v>51</v>
      </c>
      <c r="W209">
        <v>296898</v>
      </c>
      <c r="X209">
        <v>0</v>
      </c>
      <c r="Y209">
        <v>185428.47</v>
      </c>
      <c r="Z209">
        <v>492800.5</v>
      </c>
      <c r="AA209">
        <v>47238243.109999999</v>
      </c>
      <c r="AB209">
        <v>0</v>
      </c>
      <c r="AC209">
        <v>0</v>
      </c>
      <c r="AD209">
        <v>14213633</v>
      </c>
      <c r="AE209">
        <v>12344636.779999999</v>
      </c>
      <c r="AF209">
        <v>254689.99</v>
      </c>
      <c r="AG209" s="14">
        <v>63672.46</v>
      </c>
      <c r="AH209">
        <v>0</v>
      </c>
      <c r="AI209">
        <v>0</v>
      </c>
      <c r="AJ209">
        <v>194429609</v>
      </c>
      <c r="AK209">
        <v>194429609</v>
      </c>
      <c r="AL209">
        <v>32114375.34</v>
      </c>
      <c r="AM209">
        <v>32114375.34</v>
      </c>
      <c r="AN209">
        <v>0</v>
      </c>
      <c r="AO209">
        <v>0</v>
      </c>
      <c r="AP209">
        <f t="shared" si="3"/>
        <v>1.0432235992614163</v>
      </c>
    </row>
    <row r="210" spans="1:42" x14ac:dyDescent="0.3">
      <c r="A210" t="s">
        <v>966</v>
      </c>
      <c r="B210" t="s">
        <v>987</v>
      </c>
      <c r="C210" t="s">
        <v>988</v>
      </c>
      <c r="D210" t="s">
        <v>989</v>
      </c>
      <c r="E210" t="s">
        <v>70</v>
      </c>
      <c r="F210" t="s">
        <v>240</v>
      </c>
      <c r="G210" t="s">
        <v>60</v>
      </c>
      <c r="H210" t="s">
        <v>49</v>
      </c>
      <c r="I210" t="s">
        <v>50</v>
      </c>
      <c r="J210" t="s">
        <v>51</v>
      </c>
      <c r="K210" t="s">
        <v>51</v>
      </c>
      <c r="L210" t="s">
        <v>52</v>
      </c>
      <c r="M210" t="s">
        <v>129</v>
      </c>
      <c r="N210" t="s">
        <v>51</v>
      </c>
      <c r="O210" t="s">
        <v>51</v>
      </c>
      <c r="P210" t="s">
        <v>51</v>
      </c>
      <c r="Q210" t="s">
        <v>976</v>
      </c>
      <c r="R210" s="1">
        <v>421417.97</v>
      </c>
      <c r="S210" s="1">
        <v>363057.58</v>
      </c>
      <c r="T210" s="1">
        <v>836136.33</v>
      </c>
      <c r="U210" s="1">
        <v>0</v>
      </c>
      <c r="V210" t="s">
        <v>51</v>
      </c>
      <c r="W210">
        <v>96000</v>
      </c>
      <c r="X210">
        <v>0</v>
      </c>
      <c r="Y210">
        <v>0</v>
      </c>
      <c r="Z210">
        <v>10206.59</v>
      </c>
      <c r="AA210">
        <v>-5827145.6900000004</v>
      </c>
      <c r="AB210">
        <v>0</v>
      </c>
      <c r="AC210">
        <v>0</v>
      </c>
      <c r="AD210">
        <v>479938.78</v>
      </c>
      <c r="AE210">
        <v>409967.21</v>
      </c>
      <c r="AF210">
        <v>2992296.37</v>
      </c>
      <c r="AG210" s="14">
        <v>2992296.37</v>
      </c>
      <c r="AH210">
        <v>0</v>
      </c>
      <c r="AI210">
        <v>0</v>
      </c>
      <c r="AJ210">
        <v>71249</v>
      </c>
      <c r="AK210">
        <v>712.49</v>
      </c>
      <c r="AL210">
        <v>70025960.790000007</v>
      </c>
      <c r="AM210">
        <v>70025960.790000007</v>
      </c>
      <c r="AN210">
        <v>0</v>
      </c>
      <c r="AO210">
        <v>0</v>
      </c>
      <c r="AP210">
        <f t="shared" si="3"/>
        <v>-0.17515590896441099</v>
      </c>
    </row>
    <row r="211" spans="1:42" x14ac:dyDescent="0.3">
      <c r="A211" t="s">
        <v>966</v>
      </c>
      <c r="B211" t="s">
        <v>990</v>
      </c>
      <c r="C211" t="s">
        <v>991</v>
      </c>
      <c r="D211" t="s">
        <v>992</v>
      </c>
      <c r="E211" t="s">
        <v>46</v>
      </c>
      <c r="F211" t="s">
        <v>102</v>
      </c>
      <c r="G211" t="s">
        <v>48</v>
      </c>
      <c r="H211" t="s">
        <v>49</v>
      </c>
      <c r="I211" t="s">
        <v>50</v>
      </c>
      <c r="J211" t="s">
        <v>51</v>
      </c>
      <c r="K211" t="s">
        <v>51</v>
      </c>
      <c r="L211" t="s">
        <v>52</v>
      </c>
      <c r="M211" t="s">
        <v>993</v>
      </c>
      <c r="N211" t="s">
        <v>54</v>
      </c>
      <c r="O211" t="s">
        <v>54</v>
      </c>
      <c r="P211" t="s">
        <v>51</v>
      </c>
      <c r="Q211" t="s">
        <v>994</v>
      </c>
      <c r="R211" s="1">
        <v>117436.26</v>
      </c>
      <c r="S211" s="1">
        <v>106497407.95999999</v>
      </c>
      <c r="T211" s="1">
        <v>325113616.27999997</v>
      </c>
      <c r="U211" s="1">
        <v>1352756.56</v>
      </c>
      <c r="V211" t="s">
        <v>51</v>
      </c>
      <c r="W211">
        <v>373000.79</v>
      </c>
      <c r="X211">
        <v>0</v>
      </c>
      <c r="Y211">
        <v>3493.17</v>
      </c>
      <c r="Z211">
        <v>-256478.42</v>
      </c>
      <c r="AA211">
        <v>-317982.86</v>
      </c>
      <c r="AB211">
        <v>0</v>
      </c>
      <c r="AC211">
        <v>0</v>
      </c>
      <c r="AD211">
        <v>131768902.88</v>
      </c>
      <c r="AE211">
        <v>154974893.5</v>
      </c>
      <c r="AF211">
        <v>62645626.090000004</v>
      </c>
      <c r="AG211" s="14">
        <v>73963218.349999994</v>
      </c>
      <c r="AH211">
        <v>0</v>
      </c>
      <c r="AI211">
        <v>0</v>
      </c>
      <c r="AJ211">
        <v>1307307880</v>
      </c>
      <c r="AK211">
        <v>1307307880</v>
      </c>
      <c r="AL211">
        <v>8310646.5499999998</v>
      </c>
      <c r="AM211">
        <v>8310646.5499999998</v>
      </c>
      <c r="AN211">
        <v>0</v>
      </c>
      <c r="AO211">
        <v>0</v>
      </c>
      <c r="AP211">
        <f t="shared" si="3"/>
        <v>80.657938607131214</v>
      </c>
    </row>
    <row r="212" spans="1:42" x14ac:dyDescent="0.3">
      <c r="A212" t="s">
        <v>966</v>
      </c>
      <c r="B212" t="s">
        <v>995</v>
      </c>
      <c r="C212" t="s">
        <v>996</v>
      </c>
      <c r="D212" t="s">
        <v>997</v>
      </c>
      <c r="E212" t="s">
        <v>46</v>
      </c>
      <c r="F212" t="s">
        <v>93</v>
      </c>
      <c r="G212" t="s">
        <v>48</v>
      </c>
      <c r="H212" t="s">
        <v>49</v>
      </c>
      <c r="I212" t="s">
        <v>50</v>
      </c>
      <c r="J212" t="s">
        <v>51</v>
      </c>
      <c r="K212" t="s">
        <v>51</v>
      </c>
      <c r="L212" t="s">
        <v>52</v>
      </c>
      <c r="M212" t="s">
        <v>998</v>
      </c>
      <c r="N212" t="s">
        <v>54</v>
      </c>
      <c r="O212" t="s">
        <v>54</v>
      </c>
      <c r="P212" t="s">
        <v>51</v>
      </c>
      <c r="Q212" t="s">
        <v>972</v>
      </c>
      <c r="R212" s="1">
        <v>190082.08</v>
      </c>
      <c r="S212" s="1">
        <v>50687611.520000003</v>
      </c>
      <c r="T212" s="1">
        <v>50687611.520000003</v>
      </c>
      <c r="U212" s="1">
        <v>0</v>
      </c>
      <c r="V212" t="s">
        <v>51</v>
      </c>
      <c r="W212">
        <v>423756.29</v>
      </c>
      <c r="X212">
        <v>0</v>
      </c>
      <c r="Y212">
        <v>7835.43</v>
      </c>
      <c r="Z212">
        <v>-20605.22</v>
      </c>
      <c r="AA212">
        <v>-57911524.619999997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2478567.69</v>
      </c>
      <c r="AM212">
        <v>2478567.69</v>
      </c>
      <c r="AN212">
        <v>0</v>
      </c>
      <c r="AO212">
        <v>0</v>
      </c>
      <c r="AP212">
        <f t="shared" si="3"/>
        <v>3.5580517237641329E-2</v>
      </c>
    </row>
    <row r="213" spans="1:42" x14ac:dyDescent="0.3">
      <c r="A213" t="s">
        <v>966</v>
      </c>
      <c r="B213" t="s">
        <v>999</v>
      </c>
      <c r="C213" t="s">
        <v>1000</v>
      </c>
      <c r="D213" t="s">
        <v>1001</v>
      </c>
      <c r="E213" t="s">
        <v>70</v>
      </c>
      <c r="F213" t="s">
        <v>240</v>
      </c>
      <c r="G213" t="s">
        <v>48</v>
      </c>
      <c r="H213" t="s">
        <v>49</v>
      </c>
      <c r="I213" t="s">
        <v>50</v>
      </c>
      <c r="J213" t="s">
        <v>51</v>
      </c>
      <c r="K213" t="s">
        <v>51</v>
      </c>
      <c r="L213" t="s">
        <v>52</v>
      </c>
      <c r="M213" t="s">
        <v>129</v>
      </c>
      <c r="N213" t="s">
        <v>51</v>
      </c>
      <c r="O213" t="s">
        <v>51</v>
      </c>
      <c r="P213" t="s">
        <v>51</v>
      </c>
      <c r="Q213" t="s">
        <v>55</v>
      </c>
      <c r="R213" s="1">
        <v>3405335.61</v>
      </c>
      <c r="S213" s="1">
        <v>420931.44</v>
      </c>
      <c r="T213" s="1">
        <v>6857475.4400000004</v>
      </c>
      <c r="U213" s="1">
        <v>6436544</v>
      </c>
      <c r="V213" t="s">
        <v>51</v>
      </c>
      <c r="W213">
        <v>0</v>
      </c>
      <c r="X213">
        <v>0</v>
      </c>
      <c r="Y213">
        <v>0</v>
      </c>
      <c r="Z213">
        <v>-158849929.86000001</v>
      </c>
      <c r="AA213">
        <v>-1377672894.5899999</v>
      </c>
      <c r="AB213">
        <v>0</v>
      </c>
      <c r="AC213">
        <v>0</v>
      </c>
      <c r="AD213">
        <v>3144093.62</v>
      </c>
      <c r="AE213">
        <v>3405335.61</v>
      </c>
      <c r="AF213">
        <v>0</v>
      </c>
      <c r="AG213" s="14">
        <v>0</v>
      </c>
      <c r="AH213">
        <v>0</v>
      </c>
      <c r="AI213">
        <v>0</v>
      </c>
      <c r="AJ213">
        <v>72884768814</v>
      </c>
      <c r="AK213">
        <v>72884769814</v>
      </c>
      <c r="AL213">
        <v>9430415.9800000004</v>
      </c>
      <c r="AM213">
        <v>9430415.9800000004</v>
      </c>
      <c r="AN213">
        <v>0</v>
      </c>
      <c r="AO213">
        <v>0</v>
      </c>
      <c r="AP213">
        <f t="shared" si="3"/>
        <v>11.530308136553293</v>
      </c>
    </row>
    <row r="214" spans="1:42" x14ac:dyDescent="0.3">
      <c r="A214" t="s">
        <v>966</v>
      </c>
      <c r="B214" t="s">
        <v>1002</v>
      </c>
      <c r="C214" t="s">
        <v>1003</v>
      </c>
      <c r="D214" t="s">
        <v>1004</v>
      </c>
      <c r="E214" t="s">
        <v>46</v>
      </c>
      <c r="F214" t="s">
        <v>121</v>
      </c>
      <c r="G214" t="s">
        <v>60</v>
      </c>
      <c r="H214" t="s">
        <v>49</v>
      </c>
      <c r="I214" t="s">
        <v>373</v>
      </c>
      <c r="J214" t="s">
        <v>51</v>
      </c>
      <c r="K214" t="s">
        <v>51</v>
      </c>
      <c r="L214" t="s">
        <v>52</v>
      </c>
      <c r="M214" t="s">
        <v>1005</v>
      </c>
      <c r="N214" t="s">
        <v>54</v>
      </c>
      <c r="O214" t="s">
        <v>54</v>
      </c>
      <c r="P214" t="s">
        <v>51</v>
      </c>
      <c r="Q214" t="s">
        <v>66</v>
      </c>
      <c r="R214" s="1">
        <v>0</v>
      </c>
      <c r="S214" s="1">
        <v>52861102.710000001</v>
      </c>
      <c r="T214" s="1">
        <v>95956783.140000001</v>
      </c>
      <c r="U214" s="1">
        <v>3270932.2</v>
      </c>
      <c r="V214" t="s">
        <v>51</v>
      </c>
      <c r="W214">
        <v>218051.86</v>
      </c>
      <c r="X214">
        <v>0</v>
      </c>
      <c r="Y214">
        <v>0</v>
      </c>
      <c r="Z214">
        <v>-6699565.6500000004</v>
      </c>
      <c r="AA214">
        <v>10426134.890000001</v>
      </c>
      <c r="AB214">
        <v>0</v>
      </c>
      <c r="AC214">
        <v>0</v>
      </c>
      <c r="AD214">
        <v>92913731.140000001</v>
      </c>
      <c r="AE214">
        <v>93252262.590000004</v>
      </c>
      <c r="AF214">
        <v>744686.26</v>
      </c>
      <c r="AG214" s="14">
        <v>744686.26</v>
      </c>
      <c r="AH214">
        <v>0</v>
      </c>
      <c r="AI214">
        <v>0</v>
      </c>
      <c r="AJ214">
        <v>199200</v>
      </c>
      <c r="AK214">
        <v>199200</v>
      </c>
      <c r="AL214">
        <v>15960044.109999999</v>
      </c>
      <c r="AM214">
        <v>15960044.109999999</v>
      </c>
      <c r="AN214">
        <v>0</v>
      </c>
      <c r="AO214">
        <v>0</v>
      </c>
      <c r="AP214">
        <f t="shared" si="3"/>
        <v>-64.257423490902099</v>
      </c>
    </row>
    <row r="215" spans="1:42" x14ac:dyDescent="0.3">
      <c r="A215" t="s">
        <v>966</v>
      </c>
      <c r="B215" t="s">
        <v>1006</v>
      </c>
      <c r="C215" t="s">
        <v>1007</v>
      </c>
      <c r="D215" t="s">
        <v>1008</v>
      </c>
      <c r="E215" t="s">
        <v>70</v>
      </c>
      <c r="F215" t="s">
        <v>240</v>
      </c>
      <c r="G215" t="s">
        <v>60</v>
      </c>
      <c r="H215" t="s">
        <v>49</v>
      </c>
      <c r="I215" t="s">
        <v>50</v>
      </c>
      <c r="J215" t="s">
        <v>51</v>
      </c>
      <c r="K215" t="s">
        <v>51</v>
      </c>
      <c r="L215" t="s">
        <v>52</v>
      </c>
      <c r="M215" t="s">
        <v>66</v>
      </c>
      <c r="N215" t="s">
        <v>51</v>
      </c>
      <c r="O215" t="s">
        <v>51</v>
      </c>
      <c r="P215" t="s">
        <v>51</v>
      </c>
      <c r="Q215" t="s">
        <v>55</v>
      </c>
      <c r="R215" s="1">
        <v>20322.36</v>
      </c>
      <c r="S215" s="1">
        <v>0</v>
      </c>
      <c r="T215" s="1">
        <v>30000</v>
      </c>
      <c r="U215" s="1">
        <v>30000</v>
      </c>
      <c r="V215" t="s">
        <v>51</v>
      </c>
      <c r="W215">
        <v>0</v>
      </c>
      <c r="X215">
        <v>0</v>
      </c>
      <c r="Y215">
        <v>0</v>
      </c>
      <c r="Z215">
        <v>-144237772.69999999</v>
      </c>
      <c r="AA215">
        <v>-811391180.75</v>
      </c>
      <c r="AB215">
        <v>0</v>
      </c>
      <c r="AC215">
        <v>0</v>
      </c>
      <c r="AD215">
        <v>14851.29</v>
      </c>
      <c r="AE215">
        <v>20322.36</v>
      </c>
      <c r="AF215">
        <v>0</v>
      </c>
      <c r="AG215" s="14">
        <v>0</v>
      </c>
      <c r="AH215">
        <v>0</v>
      </c>
      <c r="AI215">
        <v>0</v>
      </c>
      <c r="AJ215">
        <v>9818650394</v>
      </c>
      <c r="AK215">
        <v>9818650394</v>
      </c>
      <c r="AL215">
        <v>4128123850.7399998</v>
      </c>
      <c r="AM215">
        <v>4128123850.7399998</v>
      </c>
      <c r="AN215">
        <v>0</v>
      </c>
      <c r="AO215">
        <v>0</v>
      </c>
      <c r="AP215">
        <f t="shared" si="3"/>
        <v>17.776600993700164</v>
      </c>
    </row>
    <row r="216" spans="1:42" x14ac:dyDescent="0.3">
      <c r="A216" t="s">
        <v>966</v>
      </c>
      <c r="B216" t="s">
        <v>1009</v>
      </c>
      <c r="C216" t="s">
        <v>1010</v>
      </c>
      <c r="D216" t="s">
        <v>1011</v>
      </c>
      <c r="E216" t="s">
        <v>46</v>
      </c>
      <c r="F216" t="s">
        <v>102</v>
      </c>
      <c r="G216" t="s">
        <v>48</v>
      </c>
      <c r="H216" t="s">
        <v>49</v>
      </c>
      <c r="I216" t="s">
        <v>50</v>
      </c>
      <c r="J216" t="s">
        <v>51</v>
      </c>
      <c r="K216" t="s">
        <v>51</v>
      </c>
      <c r="L216" t="s">
        <v>52</v>
      </c>
      <c r="M216" t="s">
        <v>1012</v>
      </c>
      <c r="N216" t="s">
        <v>54</v>
      </c>
      <c r="O216" t="s">
        <v>54</v>
      </c>
      <c r="P216" t="s">
        <v>51</v>
      </c>
      <c r="Q216" t="s">
        <v>66</v>
      </c>
      <c r="R216" s="1">
        <v>0</v>
      </c>
      <c r="S216" s="1">
        <v>39507361.100000001</v>
      </c>
      <c r="T216" s="1">
        <v>73119761.590000004</v>
      </c>
      <c r="U216" s="1">
        <v>3340033.33</v>
      </c>
      <c r="V216" t="s">
        <v>51</v>
      </c>
      <c r="W216">
        <v>341285.51</v>
      </c>
      <c r="X216">
        <v>0</v>
      </c>
      <c r="Y216">
        <v>0</v>
      </c>
      <c r="Z216">
        <v>0</v>
      </c>
      <c r="AA216">
        <v>8769758.0399999991</v>
      </c>
      <c r="AB216">
        <v>0</v>
      </c>
      <c r="AC216">
        <v>0</v>
      </c>
      <c r="AD216">
        <v>69922726000</v>
      </c>
      <c r="AE216">
        <v>59778621</v>
      </c>
      <c r="AF216">
        <v>0</v>
      </c>
      <c r="AG216" s="14">
        <v>0</v>
      </c>
      <c r="AH216">
        <v>0</v>
      </c>
      <c r="AI216">
        <v>0</v>
      </c>
      <c r="AJ216">
        <v>0</v>
      </c>
      <c r="AK216">
        <v>0</v>
      </c>
      <c r="AL216">
        <v>811974.32</v>
      </c>
      <c r="AM216">
        <v>811974.32</v>
      </c>
      <c r="AN216">
        <v>0</v>
      </c>
      <c r="AO216">
        <v>0</v>
      </c>
      <c r="AP216">
        <f t="shared" si="3"/>
        <v>0</v>
      </c>
    </row>
    <row r="217" spans="1:42" x14ac:dyDescent="0.3">
      <c r="A217" t="s">
        <v>966</v>
      </c>
      <c r="B217" t="s">
        <v>1013</v>
      </c>
      <c r="C217" t="s">
        <v>1014</v>
      </c>
      <c r="D217" t="s">
        <v>1015</v>
      </c>
      <c r="E217" t="s">
        <v>46</v>
      </c>
      <c r="F217" t="s">
        <v>240</v>
      </c>
      <c r="G217" t="s">
        <v>60</v>
      </c>
      <c r="H217" t="s">
        <v>49</v>
      </c>
      <c r="I217" t="s">
        <v>50</v>
      </c>
      <c r="J217" t="s">
        <v>51</v>
      </c>
      <c r="K217" t="s">
        <v>54</v>
      </c>
      <c r="L217" t="s">
        <v>52</v>
      </c>
      <c r="M217" t="s">
        <v>1016</v>
      </c>
      <c r="N217" t="s">
        <v>54</v>
      </c>
      <c r="O217" t="s">
        <v>54</v>
      </c>
      <c r="P217" t="s">
        <v>54</v>
      </c>
      <c r="Q217" t="s">
        <v>1017</v>
      </c>
      <c r="R217" s="1">
        <v>121351000</v>
      </c>
      <c r="S217" s="1">
        <v>1272508.76</v>
      </c>
      <c r="T217" s="1">
        <v>110346377.89</v>
      </c>
      <c r="U217" s="1">
        <v>0</v>
      </c>
      <c r="V217" t="s">
        <v>51</v>
      </c>
      <c r="W217">
        <v>283790.28999999998</v>
      </c>
      <c r="X217">
        <v>0</v>
      </c>
      <c r="Y217">
        <v>882707.9</v>
      </c>
      <c r="Z217">
        <v>-7474347</v>
      </c>
      <c r="AA217">
        <v>79205000</v>
      </c>
      <c r="AB217">
        <v>0</v>
      </c>
      <c r="AC217">
        <v>0</v>
      </c>
      <c r="AD217">
        <v>69793000</v>
      </c>
      <c r="AE217">
        <v>117452000</v>
      </c>
      <c r="AF217">
        <v>0</v>
      </c>
      <c r="AG217" s="14">
        <v>0</v>
      </c>
      <c r="AH217">
        <v>0</v>
      </c>
      <c r="AI217">
        <v>0</v>
      </c>
      <c r="AJ217">
        <v>9818650394</v>
      </c>
      <c r="AK217">
        <v>9818650394</v>
      </c>
      <c r="AL217">
        <v>5653397155.3599997</v>
      </c>
      <c r="AM217">
        <v>5653397155.3599997</v>
      </c>
      <c r="AN217">
        <v>0</v>
      </c>
      <c r="AO217">
        <v>0</v>
      </c>
      <c r="AP217">
        <f t="shared" si="3"/>
        <v>-9.4367110662205675</v>
      </c>
    </row>
    <row r="218" spans="1:42" x14ac:dyDescent="0.3">
      <c r="A218" t="s">
        <v>966</v>
      </c>
      <c r="B218" t="s">
        <v>1018</v>
      </c>
      <c r="C218" t="s">
        <v>1019</v>
      </c>
      <c r="D218" t="s">
        <v>1020</v>
      </c>
      <c r="E218" t="s">
        <v>46</v>
      </c>
      <c r="F218" t="s">
        <v>162</v>
      </c>
      <c r="G218" t="s">
        <v>48</v>
      </c>
      <c r="H218" t="s">
        <v>76</v>
      </c>
      <c r="I218" t="s">
        <v>50</v>
      </c>
      <c r="J218" t="s">
        <v>51</v>
      </c>
      <c r="K218" t="s">
        <v>51</v>
      </c>
      <c r="L218" t="s">
        <v>52</v>
      </c>
      <c r="M218" t="s">
        <v>94</v>
      </c>
      <c r="N218" t="s">
        <v>54</v>
      </c>
      <c r="O218" t="s">
        <v>54</v>
      </c>
      <c r="P218" t="s">
        <v>51</v>
      </c>
      <c r="Q218" t="s">
        <v>976</v>
      </c>
      <c r="R218" s="1">
        <v>7576.54</v>
      </c>
      <c r="S218" s="1">
        <v>7282708.46</v>
      </c>
      <c r="T218" s="1">
        <v>11024438.029999999</v>
      </c>
      <c r="U218" s="1">
        <v>0</v>
      </c>
      <c r="V218" t="s">
        <v>51</v>
      </c>
      <c r="W218">
        <v>247837.62</v>
      </c>
      <c r="X218">
        <v>0</v>
      </c>
      <c r="Y218">
        <v>5692.5</v>
      </c>
      <c r="Z218">
        <v>1993742.53</v>
      </c>
      <c r="AA218">
        <v>2820166.8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16465899250</v>
      </c>
      <c r="AK218">
        <v>164658992.5</v>
      </c>
      <c r="AL218">
        <v>8561991.9700000007</v>
      </c>
      <c r="AM218">
        <v>8561991.9700000007</v>
      </c>
      <c r="AN218">
        <v>0</v>
      </c>
      <c r="AO218">
        <v>0</v>
      </c>
      <c r="AP218">
        <f t="shared" si="3"/>
        <v>70.695908128554677</v>
      </c>
    </row>
    <row r="219" spans="1:42" x14ac:dyDescent="0.3">
      <c r="A219" t="s">
        <v>966</v>
      </c>
      <c r="B219" t="s">
        <v>1021</v>
      </c>
      <c r="C219" t="s">
        <v>1022</v>
      </c>
      <c r="D219" t="s">
        <v>1023</v>
      </c>
      <c r="E219" t="s">
        <v>46</v>
      </c>
      <c r="F219" t="s">
        <v>71</v>
      </c>
      <c r="G219" t="s">
        <v>60</v>
      </c>
      <c r="H219" t="s">
        <v>49</v>
      </c>
      <c r="I219" t="s">
        <v>50</v>
      </c>
      <c r="J219" t="s">
        <v>51</v>
      </c>
      <c r="K219" t="s">
        <v>51</v>
      </c>
      <c r="L219" t="s">
        <v>134</v>
      </c>
      <c r="M219" t="s">
        <v>1024</v>
      </c>
      <c r="N219" t="s">
        <v>54</v>
      </c>
      <c r="O219" t="s">
        <v>54</v>
      </c>
      <c r="P219" t="s">
        <v>54</v>
      </c>
      <c r="Q219" t="s">
        <v>55</v>
      </c>
      <c r="R219" s="1">
        <v>65938099.520000003</v>
      </c>
      <c r="S219" s="1">
        <v>39962417.390000001</v>
      </c>
      <c r="T219" s="1">
        <v>119666243.77</v>
      </c>
      <c r="U219" s="1">
        <v>587036.36</v>
      </c>
      <c r="V219" t="s">
        <v>54</v>
      </c>
      <c r="W219">
        <v>326969.03000000003</v>
      </c>
      <c r="X219">
        <v>3031.64</v>
      </c>
      <c r="Y219">
        <v>45854.15</v>
      </c>
      <c r="Z219">
        <v>6757408.4400000004</v>
      </c>
      <c r="AA219">
        <v>543394273.66999996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170866736</v>
      </c>
      <c r="AK219">
        <v>170866736</v>
      </c>
      <c r="AL219">
        <v>532381308.81</v>
      </c>
      <c r="AM219">
        <v>536345216.19999999</v>
      </c>
      <c r="AN219">
        <v>0</v>
      </c>
      <c r="AO219">
        <v>0</v>
      </c>
      <c r="AP219">
        <f t="shared" si="3"/>
        <v>1.2435553275822213</v>
      </c>
    </row>
    <row r="220" spans="1:42" x14ac:dyDescent="0.3">
      <c r="A220" t="s">
        <v>966</v>
      </c>
      <c r="B220" t="s">
        <v>1025</v>
      </c>
      <c r="C220" t="s">
        <v>1026</v>
      </c>
      <c r="D220" t="s">
        <v>1027</v>
      </c>
      <c r="E220" t="s">
        <v>70</v>
      </c>
      <c r="F220" t="s">
        <v>71</v>
      </c>
      <c r="G220" t="s">
        <v>60</v>
      </c>
      <c r="H220" t="s">
        <v>49</v>
      </c>
      <c r="I220" t="s">
        <v>50</v>
      </c>
      <c r="J220" t="s">
        <v>51</v>
      </c>
      <c r="K220" t="s">
        <v>51</v>
      </c>
      <c r="L220" t="s">
        <v>134</v>
      </c>
      <c r="M220" t="s">
        <v>125</v>
      </c>
      <c r="N220" t="s">
        <v>51</v>
      </c>
      <c r="O220" t="s">
        <v>51</v>
      </c>
      <c r="P220" t="s">
        <v>51</v>
      </c>
      <c r="Q220" t="s">
        <v>976</v>
      </c>
      <c r="R220" s="1">
        <v>15667.76</v>
      </c>
      <c r="S220" s="1">
        <v>153069.57999999999</v>
      </c>
      <c r="T220" s="1">
        <v>246394.78</v>
      </c>
      <c r="U220" s="1">
        <v>0</v>
      </c>
      <c r="V220" t="s">
        <v>51</v>
      </c>
      <c r="W220">
        <v>64000</v>
      </c>
      <c r="X220">
        <v>0</v>
      </c>
      <c r="Y220">
        <v>0</v>
      </c>
      <c r="Z220">
        <v>-230727.02</v>
      </c>
      <c r="AA220">
        <v>1318192.05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59451621559</v>
      </c>
      <c r="AK220">
        <v>59451621559</v>
      </c>
      <c r="AL220">
        <v>158987017.12</v>
      </c>
      <c r="AM220">
        <v>158987017.12</v>
      </c>
      <c r="AN220">
        <v>0</v>
      </c>
      <c r="AO220">
        <v>0</v>
      </c>
      <c r="AP220">
        <f t="shared" si="3"/>
        <v>-17.50329324167901</v>
      </c>
    </row>
    <row r="221" spans="1:42" x14ac:dyDescent="0.3">
      <c r="A221" t="s">
        <v>966</v>
      </c>
      <c r="B221" t="s">
        <v>1028</v>
      </c>
      <c r="C221" t="s">
        <v>1029</v>
      </c>
      <c r="D221" t="s">
        <v>1030</v>
      </c>
      <c r="E221" t="s">
        <v>46</v>
      </c>
      <c r="F221" t="s">
        <v>107</v>
      </c>
      <c r="G221" t="s">
        <v>60</v>
      </c>
      <c r="H221" t="s">
        <v>49</v>
      </c>
      <c r="I221" t="s">
        <v>373</v>
      </c>
      <c r="J221" t="s">
        <v>51</v>
      </c>
      <c r="K221" t="s">
        <v>51</v>
      </c>
      <c r="L221" t="s">
        <v>134</v>
      </c>
      <c r="M221" t="s">
        <v>1031</v>
      </c>
      <c r="N221" t="s">
        <v>54</v>
      </c>
      <c r="O221" t="s">
        <v>54</v>
      </c>
      <c r="P221" t="s">
        <v>54</v>
      </c>
      <c r="Q221" t="s">
        <v>1032</v>
      </c>
      <c r="R221" s="1">
        <v>2450190000</v>
      </c>
      <c r="S221" s="1">
        <v>636118000</v>
      </c>
      <c r="T221" s="1">
        <v>2005934000</v>
      </c>
      <c r="U221" s="1">
        <v>18613000</v>
      </c>
      <c r="V221" t="s">
        <v>54</v>
      </c>
      <c r="W221">
        <v>1465242.19</v>
      </c>
      <c r="X221">
        <v>9000</v>
      </c>
      <c r="Y221">
        <v>0</v>
      </c>
      <c r="Z221">
        <v>708756000</v>
      </c>
      <c r="AA221">
        <v>6138024000</v>
      </c>
      <c r="AB221">
        <v>0</v>
      </c>
      <c r="AC221">
        <v>256903.11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629069118</v>
      </c>
      <c r="AK221">
        <v>629069118</v>
      </c>
      <c r="AL221">
        <v>4027559713.0300002</v>
      </c>
      <c r="AM221">
        <v>4027559713.0300002</v>
      </c>
      <c r="AN221">
        <v>0</v>
      </c>
      <c r="AO221">
        <v>0</v>
      </c>
      <c r="AP221">
        <f t="shared" si="3"/>
        <v>11.546973423368824</v>
      </c>
    </row>
    <row r="222" spans="1:42" x14ac:dyDescent="0.3">
      <c r="A222" t="s">
        <v>966</v>
      </c>
      <c r="B222" t="s">
        <v>1033</v>
      </c>
      <c r="C222" t="s">
        <v>1034</v>
      </c>
      <c r="D222" t="s">
        <v>1035</v>
      </c>
      <c r="E222" t="s">
        <v>70</v>
      </c>
      <c r="F222" t="s">
        <v>409</v>
      </c>
      <c r="G222" t="s">
        <v>60</v>
      </c>
      <c r="H222" t="s">
        <v>49</v>
      </c>
      <c r="I222" t="s">
        <v>50</v>
      </c>
      <c r="J222" t="s">
        <v>51</v>
      </c>
      <c r="K222" t="s">
        <v>51</v>
      </c>
      <c r="L222" s="11" t="s">
        <v>134</v>
      </c>
      <c r="M222" t="s">
        <v>66</v>
      </c>
      <c r="N222" t="s">
        <v>51</v>
      </c>
      <c r="O222" t="s">
        <v>51</v>
      </c>
      <c r="P222" t="s">
        <v>51</v>
      </c>
      <c r="Q222" t="s">
        <v>972</v>
      </c>
      <c r="R222" s="1">
        <v>754</v>
      </c>
      <c r="S222" s="1">
        <v>0</v>
      </c>
      <c r="T222" s="1">
        <v>754</v>
      </c>
      <c r="U222" s="1">
        <v>0</v>
      </c>
      <c r="V222" t="s">
        <v>51</v>
      </c>
      <c r="W222">
        <v>0</v>
      </c>
      <c r="X222">
        <v>0</v>
      </c>
      <c r="Y222">
        <v>0</v>
      </c>
      <c r="Z222">
        <v>0</v>
      </c>
      <c r="AA222">
        <v>82.93</v>
      </c>
      <c r="AB222">
        <v>0</v>
      </c>
      <c r="AC222">
        <v>0</v>
      </c>
      <c r="AD222">
        <v>720</v>
      </c>
      <c r="AE222" s="14">
        <v>754</v>
      </c>
      <c r="AF222">
        <v>0</v>
      </c>
      <c r="AG222" s="14">
        <v>0</v>
      </c>
      <c r="AH222">
        <v>0</v>
      </c>
      <c r="AI222">
        <v>0</v>
      </c>
      <c r="AJ222">
        <v>376092373</v>
      </c>
      <c r="AK222">
        <v>3760923.73</v>
      </c>
      <c r="AL222">
        <v>9225032.8100000005</v>
      </c>
      <c r="AM222">
        <v>9225032.8100000005</v>
      </c>
      <c r="AN222">
        <v>0</v>
      </c>
      <c r="AO222">
        <v>0</v>
      </c>
      <c r="AP222">
        <f t="shared" si="3"/>
        <v>0</v>
      </c>
    </row>
    <row r="223" spans="1:42" x14ac:dyDescent="0.3">
      <c r="A223" t="s">
        <v>966</v>
      </c>
      <c r="B223" t="s">
        <v>1036</v>
      </c>
      <c r="C223" t="s">
        <v>1037</v>
      </c>
      <c r="D223" t="s">
        <v>1038</v>
      </c>
      <c r="E223" t="s">
        <v>70</v>
      </c>
      <c r="F223" t="s">
        <v>71</v>
      </c>
      <c r="G223" t="s">
        <v>60</v>
      </c>
      <c r="H223" t="s">
        <v>49</v>
      </c>
      <c r="I223" t="s">
        <v>50</v>
      </c>
      <c r="J223" t="s">
        <v>51</v>
      </c>
      <c r="K223" t="s">
        <v>51</v>
      </c>
      <c r="L223" t="s">
        <v>134</v>
      </c>
      <c r="M223" t="s">
        <v>66</v>
      </c>
      <c r="N223" t="s">
        <v>51</v>
      </c>
      <c r="O223" t="s">
        <v>51</v>
      </c>
      <c r="P223" t="s">
        <v>51</v>
      </c>
      <c r="Q223" t="s">
        <v>66</v>
      </c>
      <c r="R223" s="1">
        <v>0</v>
      </c>
      <c r="S223" s="1">
        <v>0</v>
      </c>
      <c r="T223" s="1">
        <v>2196.08</v>
      </c>
      <c r="U223" s="1">
        <v>0</v>
      </c>
      <c r="V223" t="s">
        <v>51</v>
      </c>
      <c r="W223">
        <v>0</v>
      </c>
      <c r="X223">
        <v>0</v>
      </c>
      <c r="Y223">
        <v>0</v>
      </c>
      <c r="Z223">
        <v>-2196.08</v>
      </c>
      <c r="AA223">
        <v>-174637.05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4729443</v>
      </c>
      <c r="AK223">
        <v>47294.43</v>
      </c>
      <c r="AL223">
        <v>4729443</v>
      </c>
      <c r="AM223">
        <v>4729443</v>
      </c>
      <c r="AN223">
        <v>0</v>
      </c>
      <c r="AO223">
        <v>0</v>
      </c>
      <c r="AP223">
        <f t="shared" si="3"/>
        <v>1.2575109348216773</v>
      </c>
    </row>
    <row r="224" spans="1:42" x14ac:dyDescent="0.3">
      <c r="A224" t="s">
        <v>966</v>
      </c>
      <c r="B224" t="s">
        <v>1039</v>
      </c>
      <c r="C224" t="s">
        <v>1040</v>
      </c>
      <c r="D224" t="s">
        <v>1041</v>
      </c>
      <c r="E224" t="s">
        <v>70</v>
      </c>
      <c r="F224" t="s">
        <v>71</v>
      </c>
      <c r="G224" t="s">
        <v>60</v>
      </c>
      <c r="H224" t="s">
        <v>49</v>
      </c>
      <c r="I224" t="s">
        <v>50</v>
      </c>
      <c r="J224" t="s">
        <v>51</v>
      </c>
      <c r="K224" t="s">
        <v>51</v>
      </c>
      <c r="L224" t="s">
        <v>134</v>
      </c>
      <c r="M224" t="s">
        <v>66</v>
      </c>
      <c r="N224" t="s">
        <v>51</v>
      </c>
      <c r="O224" t="s">
        <v>51</v>
      </c>
      <c r="P224" t="s">
        <v>51</v>
      </c>
      <c r="Q224" t="s">
        <v>972</v>
      </c>
      <c r="R224" s="1">
        <v>48288.35</v>
      </c>
      <c r="S224" s="1">
        <v>0</v>
      </c>
      <c r="T224" s="1">
        <v>69154.600000000006</v>
      </c>
      <c r="U224" s="1">
        <v>0</v>
      </c>
      <c r="V224" t="s">
        <v>51</v>
      </c>
      <c r="W224">
        <v>0</v>
      </c>
      <c r="X224">
        <v>0</v>
      </c>
      <c r="Y224">
        <v>0</v>
      </c>
      <c r="Z224">
        <v>-20866.25</v>
      </c>
      <c r="AA224">
        <v>719067.5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67419895</v>
      </c>
      <c r="AK224">
        <v>674198.95</v>
      </c>
      <c r="AL224">
        <v>11467019.41</v>
      </c>
      <c r="AM224">
        <v>11467019.41</v>
      </c>
      <c r="AN224">
        <v>0</v>
      </c>
      <c r="AO224">
        <v>0</v>
      </c>
      <c r="AP224">
        <f t="shared" si="3"/>
        <v>-2.9018485747165599</v>
      </c>
    </row>
    <row r="225" spans="1:42" x14ac:dyDescent="0.3">
      <c r="A225" t="s">
        <v>966</v>
      </c>
      <c r="B225" t="s">
        <v>1042</v>
      </c>
      <c r="C225" t="s">
        <v>1043</v>
      </c>
      <c r="D225" t="s">
        <v>1044</v>
      </c>
      <c r="E225" t="s">
        <v>46</v>
      </c>
      <c r="F225" t="s">
        <v>150</v>
      </c>
      <c r="G225" t="s">
        <v>48</v>
      </c>
      <c r="H225" t="s">
        <v>76</v>
      </c>
      <c r="I225" t="s">
        <v>50</v>
      </c>
      <c r="J225" t="s">
        <v>51</v>
      </c>
      <c r="K225" t="s">
        <v>51</v>
      </c>
      <c r="L225" t="s">
        <v>134</v>
      </c>
      <c r="M225" t="s">
        <v>1045</v>
      </c>
      <c r="N225" t="s">
        <v>54</v>
      </c>
      <c r="O225" t="s">
        <v>54</v>
      </c>
      <c r="P225" t="s">
        <v>54</v>
      </c>
      <c r="Q225" t="s">
        <v>55</v>
      </c>
      <c r="R225" s="1">
        <v>19849043.579999998</v>
      </c>
      <c r="S225" s="1">
        <v>19615380.280000001</v>
      </c>
      <c r="T225" s="1">
        <v>29428238.149999999</v>
      </c>
      <c r="U225" s="1">
        <v>0</v>
      </c>
      <c r="V225" t="s">
        <v>51</v>
      </c>
      <c r="W225">
        <v>0</v>
      </c>
      <c r="X225">
        <v>0</v>
      </c>
      <c r="Y225">
        <v>0</v>
      </c>
      <c r="Z225">
        <v>-18820792.239999998</v>
      </c>
      <c r="AA225">
        <v>64381169.649999999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99385118.920000002</v>
      </c>
      <c r="AM225">
        <v>99385118.920000002</v>
      </c>
      <c r="AN225">
        <v>0</v>
      </c>
      <c r="AO225">
        <v>0</v>
      </c>
      <c r="AP225">
        <f t="shared" si="3"/>
        <v>-29.233380415914823</v>
      </c>
    </row>
    <row r="226" spans="1:42" x14ac:dyDescent="0.3">
      <c r="A226" t="s">
        <v>1046</v>
      </c>
      <c r="B226" t="s">
        <v>1047</v>
      </c>
      <c r="C226" t="s">
        <v>303</v>
      </c>
      <c r="D226" t="s">
        <v>1048</v>
      </c>
      <c r="E226" t="s">
        <v>46</v>
      </c>
      <c r="F226" t="s">
        <v>75</v>
      </c>
      <c r="G226" t="s">
        <v>60</v>
      </c>
      <c r="H226" t="s">
        <v>49</v>
      </c>
      <c r="I226" t="s">
        <v>50</v>
      </c>
      <c r="J226" t="s">
        <v>51</v>
      </c>
      <c r="K226" t="s">
        <v>51</v>
      </c>
      <c r="L226" t="s">
        <v>52</v>
      </c>
      <c r="M226" t="s">
        <v>163</v>
      </c>
      <c r="N226" t="s">
        <v>54</v>
      </c>
      <c r="O226" t="s">
        <v>54</v>
      </c>
      <c r="P226" t="s">
        <v>51</v>
      </c>
      <c r="Q226" t="s">
        <v>1049</v>
      </c>
      <c r="R226" s="1">
        <v>3481874</v>
      </c>
      <c r="S226" s="1">
        <v>13052918.939999999</v>
      </c>
      <c r="T226" s="1">
        <v>14623817.35</v>
      </c>
      <c r="U226" s="1">
        <v>1009798.97</v>
      </c>
      <c r="V226" t="s">
        <v>51</v>
      </c>
      <c r="W226">
        <v>346530.71</v>
      </c>
      <c r="X226">
        <v>0</v>
      </c>
      <c r="Y226">
        <v>4574.04</v>
      </c>
      <c r="Z226">
        <v>28487</v>
      </c>
      <c r="AA226">
        <v>2519513</v>
      </c>
      <c r="AB226">
        <v>0</v>
      </c>
      <c r="AC226">
        <v>0</v>
      </c>
      <c r="AD226">
        <v>8849565</v>
      </c>
      <c r="AE226">
        <v>128110.1</v>
      </c>
      <c r="AF226">
        <v>0</v>
      </c>
      <c r="AG226" s="14">
        <v>1523104.31</v>
      </c>
      <c r="AH226">
        <v>0</v>
      </c>
      <c r="AI226">
        <v>0</v>
      </c>
      <c r="AJ226">
        <v>99954</v>
      </c>
      <c r="AK226">
        <v>99954</v>
      </c>
      <c r="AL226">
        <v>2165209</v>
      </c>
      <c r="AM226">
        <v>2165209</v>
      </c>
      <c r="AN226">
        <v>0</v>
      </c>
      <c r="AO226">
        <v>0</v>
      </c>
      <c r="AP226">
        <f t="shared" si="3"/>
        <v>1.1306550115042073</v>
      </c>
    </row>
    <row r="227" spans="1:42" x14ac:dyDescent="0.3">
      <c r="A227" t="s">
        <v>1046</v>
      </c>
      <c r="B227" t="s">
        <v>1050</v>
      </c>
      <c r="C227" t="s">
        <v>816</v>
      </c>
      <c r="D227" t="s">
        <v>1051</v>
      </c>
      <c r="E227" t="s">
        <v>46</v>
      </c>
      <c r="F227" t="s">
        <v>93</v>
      </c>
      <c r="G227" t="s">
        <v>60</v>
      </c>
      <c r="H227" t="s">
        <v>76</v>
      </c>
      <c r="I227" t="s">
        <v>50</v>
      </c>
      <c r="J227" t="s">
        <v>51</v>
      </c>
      <c r="K227" t="s">
        <v>51</v>
      </c>
      <c r="L227" t="s">
        <v>52</v>
      </c>
      <c r="M227" t="s">
        <v>1052</v>
      </c>
      <c r="N227" t="s">
        <v>54</v>
      </c>
      <c r="O227" t="s">
        <v>54</v>
      </c>
      <c r="P227" t="s">
        <v>51</v>
      </c>
      <c r="Q227" t="s">
        <v>1053</v>
      </c>
      <c r="R227" s="1">
        <v>7595584.6299999999</v>
      </c>
      <c r="S227" s="1">
        <v>1736730.4</v>
      </c>
      <c r="T227" s="1">
        <v>6018770.0700000003</v>
      </c>
      <c r="U227" s="1">
        <v>0</v>
      </c>
      <c r="V227" t="s">
        <v>51</v>
      </c>
      <c r="W227">
        <v>79311.570000000007</v>
      </c>
      <c r="X227">
        <v>0</v>
      </c>
      <c r="Y227">
        <v>22880</v>
      </c>
      <c r="Z227">
        <v>0</v>
      </c>
      <c r="AA227">
        <v>5362965.79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3147492.01</v>
      </c>
      <c r="AO227">
        <v>3147492.01</v>
      </c>
      <c r="AP227">
        <f t="shared" si="3"/>
        <v>0</v>
      </c>
    </row>
    <row r="228" spans="1:42" x14ac:dyDescent="0.3">
      <c r="A228" t="s">
        <v>1046</v>
      </c>
      <c r="B228" t="s">
        <v>1054</v>
      </c>
      <c r="C228" t="s">
        <v>1055</v>
      </c>
      <c r="D228" t="s">
        <v>1056</v>
      </c>
      <c r="E228" t="s">
        <v>46</v>
      </c>
      <c r="F228" t="s">
        <v>47</v>
      </c>
      <c r="G228" t="s">
        <v>60</v>
      </c>
      <c r="H228" t="s">
        <v>49</v>
      </c>
      <c r="I228" t="s">
        <v>50</v>
      </c>
      <c r="J228" t="s">
        <v>51</v>
      </c>
      <c r="K228" t="s">
        <v>51</v>
      </c>
      <c r="L228" t="s">
        <v>52</v>
      </c>
      <c r="M228" t="s">
        <v>1057</v>
      </c>
      <c r="N228" t="s">
        <v>54</v>
      </c>
      <c r="O228" t="s">
        <v>54</v>
      </c>
      <c r="P228" t="s">
        <v>51</v>
      </c>
      <c r="Q228" t="s">
        <v>1058</v>
      </c>
      <c r="R228" s="1">
        <v>168526</v>
      </c>
      <c r="S228" s="1">
        <v>2874592.67</v>
      </c>
      <c r="T228" s="1">
        <v>4073300.85</v>
      </c>
      <c r="U228" s="1">
        <v>0</v>
      </c>
      <c r="V228" t="s">
        <v>51</v>
      </c>
      <c r="W228">
        <v>152676.14000000001</v>
      </c>
      <c r="X228">
        <v>0</v>
      </c>
      <c r="Y228">
        <v>0</v>
      </c>
      <c r="Z228">
        <v>-923250</v>
      </c>
      <c r="AA228">
        <v>209165606</v>
      </c>
      <c r="AB228">
        <v>0</v>
      </c>
      <c r="AC228">
        <v>0</v>
      </c>
      <c r="AD228">
        <v>3262928</v>
      </c>
      <c r="AE228">
        <v>2942959</v>
      </c>
      <c r="AF228">
        <v>3262928</v>
      </c>
      <c r="AG228" s="14">
        <v>2942959</v>
      </c>
      <c r="AH228">
        <v>310725618</v>
      </c>
      <c r="AI228">
        <v>310725618</v>
      </c>
      <c r="AJ228">
        <v>1954853</v>
      </c>
      <c r="AK228">
        <v>1954853</v>
      </c>
      <c r="AL228">
        <v>1954853</v>
      </c>
      <c r="AM228">
        <v>1954853</v>
      </c>
      <c r="AN228">
        <v>0</v>
      </c>
      <c r="AO228">
        <v>0</v>
      </c>
      <c r="AP228">
        <f t="shared" si="3"/>
        <v>-0.44139666059629323</v>
      </c>
    </row>
    <row r="229" spans="1:42" x14ac:dyDescent="0.3">
      <c r="A229" t="s">
        <v>1046</v>
      </c>
      <c r="B229" t="s">
        <v>1059</v>
      </c>
      <c r="C229" t="s">
        <v>1060</v>
      </c>
      <c r="D229" t="s">
        <v>1061</v>
      </c>
      <c r="E229" t="s">
        <v>46</v>
      </c>
      <c r="F229" t="s">
        <v>102</v>
      </c>
      <c r="G229" t="s">
        <v>48</v>
      </c>
      <c r="H229" t="s">
        <v>49</v>
      </c>
      <c r="I229" t="s">
        <v>50</v>
      </c>
      <c r="J229" t="s">
        <v>51</v>
      </c>
      <c r="K229" t="s">
        <v>51</v>
      </c>
      <c r="L229" t="s">
        <v>52</v>
      </c>
      <c r="M229" t="s">
        <v>1062</v>
      </c>
      <c r="N229" t="s">
        <v>54</v>
      </c>
      <c r="O229" t="s">
        <v>54</v>
      </c>
      <c r="P229" t="s">
        <v>51</v>
      </c>
      <c r="Q229" t="s">
        <v>55</v>
      </c>
      <c r="R229" s="1">
        <v>1031029</v>
      </c>
      <c r="S229" s="1">
        <v>16437274.029999999</v>
      </c>
      <c r="T229" s="1">
        <v>19443754.57</v>
      </c>
      <c r="U229" s="1">
        <v>0</v>
      </c>
      <c r="V229" t="s">
        <v>51</v>
      </c>
      <c r="W229">
        <v>264916.24</v>
      </c>
      <c r="X229">
        <v>0</v>
      </c>
      <c r="Y229">
        <v>56557.18</v>
      </c>
      <c r="Z229">
        <v>-12057808</v>
      </c>
      <c r="AA229">
        <v>1895913</v>
      </c>
      <c r="AB229">
        <v>0</v>
      </c>
      <c r="AC229">
        <v>0</v>
      </c>
      <c r="AD229">
        <v>18855734</v>
      </c>
      <c r="AE229">
        <v>16274846</v>
      </c>
      <c r="AF229">
        <v>18855734</v>
      </c>
      <c r="AG229" s="14">
        <v>16274846</v>
      </c>
      <c r="AH229">
        <v>0</v>
      </c>
      <c r="AI229">
        <v>0</v>
      </c>
      <c r="AJ229">
        <v>1693900</v>
      </c>
      <c r="AK229">
        <v>1693900</v>
      </c>
      <c r="AL229">
        <v>1693900</v>
      </c>
      <c r="AM229">
        <v>1693900</v>
      </c>
      <c r="AN229">
        <v>202013</v>
      </c>
      <c r="AO229">
        <v>202013</v>
      </c>
      <c r="AP229">
        <f t="shared" si="3"/>
        <v>-635.98952061618866</v>
      </c>
    </row>
    <row r="230" spans="1:42" x14ac:dyDescent="0.3">
      <c r="A230" t="s">
        <v>1046</v>
      </c>
      <c r="B230" t="s">
        <v>1063</v>
      </c>
      <c r="C230" t="s">
        <v>1064</v>
      </c>
      <c r="D230" t="s">
        <v>1065</v>
      </c>
      <c r="E230" t="s">
        <v>46</v>
      </c>
      <c r="F230" t="s">
        <v>162</v>
      </c>
      <c r="G230" t="s">
        <v>60</v>
      </c>
      <c r="H230" t="s">
        <v>49</v>
      </c>
      <c r="I230" t="s">
        <v>50</v>
      </c>
      <c r="J230" t="s">
        <v>51</v>
      </c>
      <c r="K230" t="s">
        <v>51</v>
      </c>
      <c r="L230" t="s">
        <v>52</v>
      </c>
      <c r="M230" t="s">
        <v>1066</v>
      </c>
      <c r="N230" t="s">
        <v>54</v>
      </c>
      <c r="O230" t="s">
        <v>54</v>
      </c>
      <c r="P230" t="s">
        <v>51</v>
      </c>
      <c r="Q230" t="s">
        <v>1067</v>
      </c>
      <c r="R230" s="1">
        <v>5069130</v>
      </c>
      <c r="S230" s="1">
        <v>3989824.83</v>
      </c>
      <c r="T230" s="1">
        <v>16091709.960000001</v>
      </c>
      <c r="U230" s="1">
        <v>6014689.0499999998</v>
      </c>
      <c r="V230" t="s">
        <v>51</v>
      </c>
      <c r="W230">
        <v>136342.19</v>
      </c>
      <c r="X230">
        <v>0</v>
      </c>
      <c r="Y230">
        <v>0</v>
      </c>
      <c r="Z230">
        <v>-6358403</v>
      </c>
      <c r="AA230">
        <v>-2558403</v>
      </c>
      <c r="AB230">
        <v>0</v>
      </c>
      <c r="AC230">
        <v>0</v>
      </c>
      <c r="AD230">
        <v>13008609</v>
      </c>
      <c r="AE230">
        <v>15406625</v>
      </c>
      <c r="AF230">
        <v>0</v>
      </c>
      <c r="AG230" s="14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200000</v>
      </c>
      <c r="AO230">
        <v>200000</v>
      </c>
      <c r="AP230">
        <f t="shared" si="3"/>
        <v>248.53015728952789</v>
      </c>
    </row>
    <row r="231" spans="1:42" x14ac:dyDescent="0.3">
      <c r="A231" t="s">
        <v>1046</v>
      </c>
      <c r="B231" t="s">
        <v>1068</v>
      </c>
      <c r="C231" t="s">
        <v>1069</v>
      </c>
      <c r="D231" t="s">
        <v>1070</v>
      </c>
      <c r="E231" t="s">
        <v>46</v>
      </c>
      <c r="F231" t="s">
        <v>71</v>
      </c>
      <c r="G231" t="s">
        <v>60</v>
      </c>
      <c r="H231" t="s">
        <v>49</v>
      </c>
      <c r="I231" t="s">
        <v>50</v>
      </c>
      <c r="J231" t="s">
        <v>51</v>
      </c>
      <c r="K231" t="s">
        <v>51</v>
      </c>
      <c r="L231" t="s">
        <v>134</v>
      </c>
      <c r="M231" t="s">
        <v>718</v>
      </c>
      <c r="N231" t="s">
        <v>54</v>
      </c>
      <c r="O231" t="s">
        <v>54</v>
      </c>
      <c r="P231" t="s">
        <v>51</v>
      </c>
      <c r="Q231" t="s">
        <v>1071</v>
      </c>
      <c r="R231" s="1">
        <v>26147761.98</v>
      </c>
      <c r="S231" s="1">
        <v>10985714.560000001</v>
      </c>
      <c r="T231" s="1">
        <v>22103935</v>
      </c>
      <c r="U231" s="1">
        <v>465334.65</v>
      </c>
      <c r="V231" t="s">
        <v>51</v>
      </c>
      <c r="W231">
        <v>318087.55</v>
      </c>
      <c r="X231">
        <v>0</v>
      </c>
      <c r="Y231">
        <v>0</v>
      </c>
      <c r="Z231">
        <v>4060780.7</v>
      </c>
      <c r="AA231">
        <v>66565436.770000003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98.58</v>
      </c>
      <c r="AK231">
        <v>98.58</v>
      </c>
      <c r="AL231">
        <v>49142782.07</v>
      </c>
      <c r="AM231">
        <v>60232168.07</v>
      </c>
      <c r="AN231">
        <v>0</v>
      </c>
      <c r="AO231">
        <v>0</v>
      </c>
      <c r="AP231">
        <f t="shared" si="3"/>
        <v>6.1004342449235311</v>
      </c>
    </row>
    <row r="232" spans="1:42" x14ac:dyDescent="0.3">
      <c r="A232" t="s">
        <v>1046</v>
      </c>
      <c r="B232" t="s">
        <v>1072</v>
      </c>
      <c r="C232" t="s">
        <v>1073</v>
      </c>
      <c r="D232" t="s">
        <v>1074</v>
      </c>
      <c r="E232" t="s">
        <v>46</v>
      </c>
      <c r="F232" t="s">
        <v>107</v>
      </c>
      <c r="G232" t="s">
        <v>60</v>
      </c>
      <c r="H232" t="s">
        <v>49</v>
      </c>
      <c r="I232" t="s">
        <v>50</v>
      </c>
      <c r="J232" t="s">
        <v>51</v>
      </c>
      <c r="K232" t="s">
        <v>51</v>
      </c>
      <c r="L232" t="s">
        <v>134</v>
      </c>
      <c r="M232" t="s">
        <v>1075</v>
      </c>
      <c r="N232" t="s">
        <v>54</v>
      </c>
      <c r="O232" t="s">
        <v>54</v>
      </c>
      <c r="P232" t="s">
        <v>54</v>
      </c>
      <c r="Q232" t="s">
        <v>1076</v>
      </c>
      <c r="R232" s="1">
        <v>1169220045.1400001</v>
      </c>
      <c r="S232" s="1">
        <v>332012755.64999998</v>
      </c>
      <c r="T232" s="1">
        <v>798041909.10000002</v>
      </c>
      <c r="U232" s="1">
        <v>319959822.47000003</v>
      </c>
      <c r="V232" t="s">
        <v>54</v>
      </c>
      <c r="W232">
        <v>810004.09</v>
      </c>
      <c r="X232">
        <v>21818.400000000001</v>
      </c>
      <c r="Y232">
        <v>0</v>
      </c>
      <c r="Z232">
        <v>50542946.799999997</v>
      </c>
      <c r="AA232">
        <v>2725392351.9299998</v>
      </c>
      <c r="AB232">
        <v>2725392351.9299998</v>
      </c>
      <c r="AC232">
        <v>16457730.310000001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1369569232.4000001</v>
      </c>
      <c r="AK232">
        <v>1418528130.21</v>
      </c>
      <c r="AL232">
        <v>1408750066.4000001</v>
      </c>
      <c r="AM232">
        <v>1418750066.4000001</v>
      </c>
      <c r="AN232">
        <v>0</v>
      </c>
      <c r="AO232">
        <v>0</v>
      </c>
      <c r="AP232">
        <f t="shared" si="3"/>
        <v>1.8545200203635916</v>
      </c>
    </row>
    <row r="233" spans="1:42" x14ac:dyDescent="0.3">
      <c r="A233" t="s">
        <v>1046</v>
      </c>
      <c r="B233" t="s">
        <v>1077</v>
      </c>
      <c r="C233" t="s">
        <v>1078</v>
      </c>
      <c r="D233" t="s">
        <v>1079</v>
      </c>
      <c r="E233" t="s">
        <v>46</v>
      </c>
      <c r="F233" t="s">
        <v>133</v>
      </c>
      <c r="G233" t="s">
        <v>48</v>
      </c>
      <c r="H233" t="s">
        <v>76</v>
      </c>
      <c r="I233" t="s">
        <v>50</v>
      </c>
      <c r="J233" t="s">
        <v>51</v>
      </c>
      <c r="K233" t="s">
        <v>51</v>
      </c>
      <c r="L233" t="s">
        <v>134</v>
      </c>
      <c r="M233" t="s">
        <v>471</v>
      </c>
      <c r="N233" t="s">
        <v>54</v>
      </c>
      <c r="O233" t="s">
        <v>54</v>
      </c>
      <c r="P233" t="s">
        <v>51</v>
      </c>
      <c r="Q233" t="s">
        <v>1080</v>
      </c>
      <c r="R233" s="1">
        <v>2945814.07</v>
      </c>
      <c r="S233" s="1">
        <v>1310072.3700000001</v>
      </c>
      <c r="T233" s="1">
        <v>2929337.84</v>
      </c>
      <c r="U233" s="1">
        <v>0</v>
      </c>
      <c r="V233" t="s">
        <v>51</v>
      </c>
      <c r="W233">
        <v>140679.57</v>
      </c>
      <c r="X233">
        <v>0</v>
      </c>
      <c r="Y233">
        <v>0</v>
      </c>
      <c r="Z233">
        <v>0</v>
      </c>
      <c r="AA233">
        <v>79060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49900000</v>
      </c>
      <c r="AO233">
        <v>49900000</v>
      </c>
      <c r="AP233">
        <f t="shared" si="3"/>
        <v>0</v>
      </c>
    </row>
    <row r="234" spans="1:42" x14ac:dyDescent="0.3">
      <c r="A234" t="s">
        <v>1046</v>
      </c>
      <c r="B234" t="s">
        <v>1081</v>
      </c>
      <c r="C234" t="s">
        <v>1082</v>
      </c>
      <c r="D234" t="s">
        <v>1083</v>
      </c>
      <c r="E234" t="s">
        <v>46</v>
      </c>
      <c r="F234" t="s">
        <v>139</v>
      </c>
      <c r="G234" t="s">
        <v>60</v>
      </c>
      <c r="H234" t="s">
        <v>49</v>
      </c>
      <c r="I234" t="s">
        <v>50</v>
      </c>
      <c r="J234" t="s">
        <v>51</v>
      </c>
      <c r="K234" t="s">
        <v>51</v>
      </c>
      <c r="L234" t="s">
        <v>134</v>
      </c>
      <c r="M234" t="s">
        <v>1084</v>
      </c>
      <c r="N234" t="s">
        <v>54</v>
      </c>
      <c r="O234" t="s">
        <v>54</v>
      </c>
      <c r="P234" t="s">
        <v>54</v>
      </c>
      <c r="Q234" t="s">
        <v>1085</v>
      </c>
      <c r="R234" s="1">
        <v>258288839.16999999</v>
      </c>
      <c r="S234" s="1">
        <v>21057362.98</v>
      </c>
      <c r="T234" s="1">
        <v>59445850.399999999</v>
      </c>
      <c r="U234" s="1">
        <v>16281871.98</v>
      </c>
      <c r="V234" t="s">
        <v>54</v>
      </c>
      <c r="W234">
        <v>479928.84</v>
      </c>
      <c r="X234">
        <v>24917.13</v>
      </c>
      <c r="Y234">
        <v>0</v>
      </c>
      <c r="Z234">
        <v>58608385.719999999</v>
      </c>
      <c r="AA234">
        <v>124225031.56</v>
      </c>
      <c r="AB234">
        <v>0</v>
      </c>
      <c r="AC234">
        <v>3819434.21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721650</v>
      </c>
      <c r="AK234">
        <v>721650</v>
      </c>
      <c r="AL234">
        <v>63893105.810000002</v>
      </c>
      <c r="AM234">
        <v>68171010.700000003</v>
      </c>
      <c r="AN234">
        <v>4277904.8899999997</v>
      </c>
      <c r="AO234">
        <v>3550964.98</v>
      </c>
      <c r="AP234">
        <f t="shared" si="3"/>
        <v>47.179207752257625</v>
      </c>
    </row>
    <row r="235" spans="1:42" x14ac:dyDescent="0.3">
      <c r="A235" t="s">
        <v>1086</v>
      </c>
      <c r="B235" t="s">
        <v>1087</v>
      </c>
      <c r="C235" t="s">
        <v>1088</v>
      </c>
      <c r="D235" t="s">
        <v>1089</v>
      </c>
      <c r="E235" t="s">
        <v>70</v>
      </c>
      <c r="F235" t="s">
        <v>71</v>
      </c>
      <c r="G235" t="s">
        <v>60</v>
      </c>
      <c r="H235" t="s">
        <v>49</v>
      </c>
      <c r="I235" t="s">
        <v>50</v>
      </c>
      <c r="J235" t="s">
        <v>51</v>
      </c>
      <c r="K235" t="s">
        <v>51</v>
      </c>
      <c r="L235" t="s">
        <v>134</v>
      </c>
      <c r="M235" t="s">
        <v>66</v>
      </c>
      <c r="N235" t="s">
        <v>51</v>
      </c>
      <c r="O235" t="s">
        <v>51</v>
      </c>
      <c r="P235" t="s">
        <v>51</v>
      </c>
      <c r="Q235" t="s">
        <v>55</v>
      </c>
      <c r="R235" s="1">
        <v>0</v>
      </c>
      <c r="S235" s="1">
        <v>0</v>
      </c>
      <c r="T235" s="1">
        <v>0</v>
      </c>
      <c r="U235" s="1">
        <v>0</v>
      </c>
      <c r="V235" t="s">
        <v>51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e">
        <f t="shared" si="3"/>
        <v>#DIV/0!</v>
      </c>
    </row>
    <row r="236" spans="1:42" x14ac:dyDescent="0.3">
      <c r="A236" t="s">
        <v>1086</v>
      </c>
      <c r="B236" t="s">
        <v>1090</v>
      </c>
      <c r="C236" t="s">
        <v>1091</v>
      </c>
      <c r="D236" t="s">
        <v>1092</v>
      </c>
      <c r="E236" t="s">
        <v>46</v>
      </c>
      <c r="F236" t="s">
        <v>107</v>
      </c>
      <c r="G236" t="s">
        <v>60</v>
      </c>
      <c r="H236" t="s">
        <v>49</v>
      </c>
      <c r="I236" t="s">
        <v>50</v>
      </c>
      <c r="J236" t="s">
        <v>51</v>
      </c>
      <c r="K236" t="s">
        <v>51</v>
      </c>
      <c r="L236" s="11" t="s">
        <v>134</v>
      </c>
      <c r="M236" t="s">
        <v>1093</v>
      </c>
      <c r="N236" t="s">
        <v>54</v>
      </c>
      <c r="O236" t="s">
        <v>54</v>
      </c>
      <c r="P236" t="s">
        <v>54</v>
      </c>
      <c r="Q236" t="s">
        <v>1094</v>
      </c>
      <c r="R236" s="1">
        <v>215335743.49000001</v>
      </c>
      <c r="S236" s="1">
        <v>116869706.89</v>
      </c>
      <c r="T236" s="1">
        <v>260072210.03999999</v>
      </c>
      <c r="U236" s="1">
        <v>30383091.75</v>
      </c>
      <c r="V236" t="s">
        <v>51</v>
      </c>
      <c r="W236">
        <v>471043.74</v>
      </c>
      <c r="X236">
        <v>0</v>
      </c>
      <c r="Y236">
        <v>41716.78</v>
      </c>
      <c r="Z236">
        <v>2082510.26</v>
      </c>
      <c r="AA236">
        <v>-1198977306.98</v>
      </c>
      <c r="AB236">
        <v>0</v>
      </c>
      <c r="AC236">
        <v>0</v>
      </c>
      <c r="AD236">
        <v>0</v>
      </c>
      <c r="AE236" s="14">
        <v>14962421.49</v>
      </c>
      <c r="AF236">
        <v>0</v>
      </c>
      <c r="AG236" s="14">
        <v>0</v>
      </c>
      <c r="AH236">
        <v>0</v>
      </c>
      <c r="AI236">
        <v>0</v>
      </c>
      <c r="AJ236">
        <v>182615569.50999999</v>
      </c>
      <c r="AK236">
        <v>182615569.50999999</v>
      </c>
      <c r="AL236">
        <v>182631833</v>
      </c>
      <c r="AM236">
        <v>182631832.69</v>
      </c>
      <c r="AN236">
        <v>0</v>
      </c>
      <c r="AO236">
        <v>0</v>
      </c>
      <c r="AP236">
        <f t="shared" si="3"/>
        <v>-0.17369054842626291</v>
      </c>
    </row>
    <row r="237" spans="1:42" x14ac:dyDescent="0.3">
      <c r="A237" t="s">
        <v>1086</v>
      </c>
      <c r="B237" t="s">
        <v>1095</v>
      </c>
      <c r="C237" t="s">
        <v>1096</v>
      </c>
      <c r="D237" t="s">
        <v>1097</v>
      </c>
      <c r="E237" t="s">
        <v>70</v>
      </c>
      <c r="F237" t="s">
        <v>93</v>
      </c>
      <c r="G237" t="s">
        <v>60</v>
      </c>
      <c r="H237" t="s">
        <v>49</v>
      </c>
      <c r="I237" t="s">
        <v>50</v>
      </c>
      <c r="J237" t="s">
        <v>51</v>
      </c>
      <c r="K237" t="s">
        <v>51</v>
      </c>
      <c r="L237" t="s">
        <v>134</v>
      </c>
      <c r="M237" t="s">
        <v>66</v>
      </c>
      <c r="N237" t="s">
        <v>51</v>
      </c>
      <c r="O237" t="s">
        <v>51</v>
      </c>
      <c r="P237" t="s">
        <v>51</v>
      </c>
      <c r="Q237" t="s">
        <v>55</v>
      </c>
      <c r="R237" s="1">
        <v>0</v>
      </c>
      <c r="S237" s="1">
        <v>0</v>
      </c>
      <c r="T237" s="1">
        <v>0</v>
      </c>
      <c r="U237" s="1">
        <v>0</v>
      </c>
      <c r="V237" t="s">
        <v>51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e">
        <f t="shared" si="3"/>
        <v>#DIV/0!</v>
      </c>
    </row>
    <row r="238" spans="1:42" x14ac:dyDescent="0.3">
      <c r="A238" t="s">
        <v>1086</v>
      </c>
      <c r="B238" t="s">
        <v>1098</v>
      </c>
      <c r="C238" t="s">
        <v>1099</v>
      </c>
      <c r="D238" t="s">
        <v>1100</v>
      </c>
      <c r="E238" t="s">
        <v>70</v>
      </c>
      <c r="F238" t="s">
        <v>47</v>
      </c>
      <c r="G238" t="s">
        <v>60</v>
      </c>
      <c r="H238" t="s">
        <v>49</v>
      </c>
      <c r="I238" t="s">
        <v>50</v>
      </c>
      <c r="J238" t="s">
        <v>51</v>
      </c>
      <c r="K238" t="s">
        <v>51</v>
      </c>
      <c r="L238" t="s">
        <v>134</v>
      </c>
      <c r="M238" t="s">
        <v>66</v>
      </c>
      <c r="N238" t="s">
        <v>51</v>
      </c>
      <c r="O238" t="s">
        <v>51</v>
      </c>
      <c r="P238" t="s">
        <v>51</v>
      </c>
      <c r="Q238" t="s">
        <v>55</v>
      </c>
      <c r="R238" s="1">
        <v>0</v>
      </c>
      <c r="S238" s="1">
        <v>0</v>
      </c>
      <c r="T238" s="1">
        <v>0</v>
      </c>
      <c r="U238" s="1">
        <v>0</v>
      </c>
      <c r="V238" t="s">
        <v>51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e">
        <f t="shared" si="3"/>
        <v>#DIV/0!</v>
      </c>
    </row>
    <row r="239" spans="1:42" x14ac:dyDescent="0.3">
      <c r="A239" t="s">
        <v>1086</v>
      </c>
      <c r="B239" t="s">
        <v>1101</v>
      </c>
      <c r="C239" t="s">
        <v>1102</v>
      </c>
      <c r="D239" t="s">
        <v>1103</v>
      </c>
      <c r="E239" t="s">
        <v>46</v>
      </c>
      <c r="F239" t="s">
        <v>224</v>
      </c>
      <c r="G239" t="s">
        <v>48</v>
      </c>
      <c r="H239" t="s">
        <v>49</v>
      </c>
      <c r="I239" t="s">
        <v>50</v>
      </c>
      <c r="J239" t="s">
        <v>51</v>
      </c>
      <c r="K239" t="s">
        <v>51</v>
      </c>
      <c r="L239" t="s">
        <v>134</v>
      </c>
      <c r="M239" t="s">
        <v>135</v>
      </c>
      <c r="N239" t="s">
        <v>54</v>
      </c>
      <c r="O239" t="s">
        <v>54</v>
      </c>
      <c r="P239" t="s">
        <v>51</v>
      </c>
      <c r="Q239" t="s">
        <v>1104</v>
      </c>
      <c r="R239" s="1">
        <v>11722060.18</v>
      </c>
      <c r="S239" s="1">
        <v>2386124.08</v>
      </c>
      <c r="T239" s="1">
        <v>14281383.52</v>
      </c>
      <c r="U239" s="1">
        <v>454519.84</v>
      </c>
      <c r="V239" t="s">
        <v>51</v>
      </c>
      <c r="W239">
        <v>464209.85</v>
      </c>
      <c r="X239">
        <v>0</v>
      </c>
      <c r="Y239">
        <v>11874.09</v>
      </c>
      <c r="Z239">
        <v>-2511833.12</v>
      </c>
      <c r="AA239">
        <v>3510335392.2800002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25889369.239999998</v>
      </c>
      <c r="AK239">
        <v>25889369.239999998</v>
      </c>
      <c r="AL239">
        <v>25928261.629999999</v>
      </c>
      <c r="AM239">
        <v>25928261.629999999</v>
      </c>
      <c r="AN239">
        <v>0</v>
      </c>
      <c r="AO239">
        <v>0</v>
      </c>
      <c r="AP239">
        <f t="shared" si="3"/>
        <v>-7.1555359796219867E-2</v>
      </c>
    </row>
    <row r="240" spans="1:42" x14ac:dyDescent="0.3">
      <c r="A240" t="s">
        <v>1086</v>
      </c>
      <c r="B240" t="s">
        <v>1105</v>
      </c>
      <c r="C240" t="s">
        <v>1106</v>
      </c>
      <c r="D240" t="s">
        <v>1107</v>
      </c>
      <c r="E240" t="s">
        <v>46</v>
      </c>
      <c r="F240" t="s">
        <v>139</v>
      </c>
      <c r="G240" t="s">
        <v>60</v>
      </c>
      <c r="H240" t="s">
        <v>49</v>
      </c>
      <c r="I240" t="s">
        <v>50</v>
      </c>
      <c r="J240" t="s">
        <v>51</v>
      </c>
      <c r="K240" t="s">
        <v>51</v>
      </c>
      <c r="L240" t="s">
        <v>134</v>
      </c>
      <c r="M240" t="s">
        <v>117</v>
      </c>
      <c r="N240" t="s">
        <v>54</v>
      </c>
      <c r="O240" t="s">
        <v>54</v>
      </c>
      <c r="P240" t="s">
        <v>51</v>
      </c>
      <c r="Q240" t="s">
        <v>675</v>
      </c>
      <c r="R240" s="1">
        <v>0</v>
      </c>
      <c r="S240" s="1">
        <v>321109.34999999998</v>
      </c>
      <c r="T240" s="1">
        <v>464400.8</v>
      </c>
      <c r="U240" s="1">
        <v>0</v>
      </c>
      <c r="V240" t="s">
        <v>51</v>
      </c>
      <c r="W240">
        <v>144000</v>
      </c>
      <c r="X240">
        <v>0</v>
      </c>
      <c r="Y240">
        <v>0</v>
      </c>
      <c r="Z240">
        <v>385507.13</v>
      </c>
      <c r="AA240">
        <v>-1666608.18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1502480</v>
      </c>
      <c r="AK240">
        <v>1502480</v>
      </c>
      <c r="AL240">
        <v>8668110</v>
      </c>
      <c r="AM240">
        <v>9083110</v>
      </c>
      <c r="AN240">
        <v>170000</v>
      </c>
      <c r="AO240">
        <v>255000</v>
      </c>
      <c r="AP240">
        <f t="shared" si="3"/>
        <v>-23.131239521457289</v>
      </c>
    </row>
    <row r="241" spans="1:42" x14ac:dyDescent="0.3">
      <c r="A241" t="s">
        <v>1086</v>
      </c>
      <c r="B241" t="s">
        <v>1108</v>
      </c>
      <c r="C241" t="s">
        <v>1109</v>
      </c>
      <c r="D241" t="s">
        <v>1110</v>
      </c>
      <c r="E241" t="s">
        <v>46</v>
      </c>
      <c r="F241" t="s">
        <v>314</v>
      </c>
      <c r="G241" t="s">
        <v>48</v>
      </c>
      <c r="H241" t="s">
        <v>49</v>
      </c>
      <c r="I241" t="s">
        <v>50</v>
      </c>
      <c r="J241" t="s">
        <v>51</v>
      </c>
      <c r="K241" t="s">
        <v>51</v>
      </c>
      <c r="L241" t="s">
        <v>134</v>
      </c>
      <c r="M241" t="s">
        <v>1111</v>
      </c>
      <c r="N241" t="s">
        <v>54</v>
      </c>
      <c r="O241" t="s">
        <v>54</v>
      </c>
      <c r="P241" t="s">
        <v>51</v>
      </c>
      <c r="Q241" t="s">
        <v>675</v>
      </c>
      <c r="R241" s="1">
        <v>24912914.309999999</v>
      </c>
      <c r="S241" s="1">
        <v>12456521.710000001</v>
      </c>
      <c r="T241" s="1">
        <v>24912914.309999999</v>
      </c>
      <c r="U241" s="1">
        <v>1432930.61</v>
      </c>
      <c r="V241" t="s">
        <v>51</v>
      </c>
      <c r="W241">
        <v>525495.17000000004</v>
      </c>
      <c r="X241">
        <v>0</v>
      </c>
      <c r="Y241">
        <v>0</v>
      </c>
      <c r="Z241">
        <v>-371393.26</v>
      </c>
      <c r="AA241">
        <v>15800959.52</v>
      </c>
      <c r="AB241">
        <v>0</v>
      </c>
      <c r="AC241">
        <v>0</v>
      </c>
      <c r="AD241">
        <v>7000000</v>
      </c>
      <c r="AE241">
        <v>0</v>
      </c>
      <c r="AF241">
        <v>0</v>
      </c>
      <c r="AG241">
        <v>0</v>
      </c>
      <c r="AH241">
        <v>1000000</v>
      </c>
      <c r="AI241">
        <v>0</v>
      </c>
      <c r="AJ241">
        <v>100000</v>
      </c>
      <c r="AK241">
        <v>100000</v>
      </c>
      <c r="AL241">
        <v>11628781.640000001</v>
      </c>
      <c r="AM241">
        <v>12628781.640000001</v>
      </c>
      <c r="AN241">
        <v>1000000</v>
      </c>
      <c r="AO241">
        <v>0</v>
      </c>
      <c r="AP241">
        <f t="shared" si="3"/>
        <v>-2.3504475125697937</v>
      </c>
    </row>
    <row r="242" spans="1:42" x14ac:dyDescent="0.3">
      <c r="A242" t="s">
        <v>1112</v>
      </c>
      <c r="B242" t="s">
        <v>1113</v>
      </c>
      <c r="C242" t="s">
        <v>1114</v>
      </c>
      <c r="D242" t="s">
        <v>1115</v>
      </c>
      <c r="E242" t="s">
        <v>70</v>
      </c>
      <c r="F242" t="s">
        <v>409</v>
      </c>
      <c r="G242" t="s">
        <v>60</v>
      </c>
      <c r="H242" t="s">
        <v>49</v>
      </c>
      <c r="I242" t="s">
        <v>50</v>
      </c>
      <c r="J242" t="s">
        <v>51</v>
      </c>
      <c r="K242" t="s">
        <v>51</v>
      </c>
      <c r="L242" t="s">
        <v>52</v>
      </c>
      <c r="M242" t="s">
        <v>1012</v>
      </c>
      <c r="N242" t="s">
        <v>54</v>
      </c>
      <c r="O242" t="s">
        <v>54</v>
      </c>
      <c r="P242" t="s">
        <v>51</v>
      </c>
      <c r="Q242" t="s">
        <v>1116</v>
      </c>
      <c r="R242" s="1">
        <v>34913242.700000003</v>
      </c>
      <c r="S242" s="1">
        <v>29816641.100000001</v>
      </c>
      <c r="T242" s="1">
        <v>34690505.399999999</v>
      </c>
      <c r="U242" s="1">
        <v>0</v>
      </c>
      <c r="V242" t="s">
        <v>51</v>
      </c>
      <c r="W242">
        <v>277640.27</v>
      </c>
      <c r="X242">
        <v>0</v>
      </c>
      <c r="Y242">
        <v>0</v>
      </c>
      <c r="Z242">
        <v>794215.69</v>
      </c>
      <c r="AA242">
        <v>-237720762.50999999</v>
      </c>
      <c r="AB242">
        <v>0</v>
      </c>
      <c r="AC242">
        <v>0</v>
      </c>
      <c r="AD242">
        <v>7079730.0700000003</v>
      </c>
      <c r="AE242">
        <v>32625398.379999999</v>
      </c>
      <c r="AF242">
        <v>0</v>
      </c>
      <c r="AG242" s="14">
        <v>0</v>
      </c>
      <c r="AH242">
        <v>0</v>
      </c>
      <c r="AI242">
        <v>0</v>
      </c>
      <c r="AJ242">
        <v>192846707637</v>
      </c>
      <c r="AK242">
        <v>192846707637</v>
      </c>
      <c r="AL242">
        <v>1313101397.05</v>
      </c>
      <c r="AM242">
        <v>1313101397.05</v>
      </c>
      <c r="AN242">
        <v>82331953.109999999</v>
      </c>
      <c r="AO242">
        <v>82331953.109999999</v>
      </c>
      <c r="AP242">
        <f t="shared" si="3"/>
        <v>-0.33409605522638791</v>
      </c>
    </row>
    <row r="243" spans="1:42" x14ac:dyDescent="0.3">
      <c r="A243" t="s">
        <v>1112</v>
      </c>
      <c r="B243" t="s">
        <v>1117</v>
      </c>
      <c r="C243" t="s">
        <v>1118</v>
      </c>
      <c r="D243" t="s">
        <v>1119</v>
      </c>
      <c r="E243" t="s">
        <v>46</v>
      </c>
      <c r="F243" t="s">
        <v>65</v>
      </c>
      <c r="G243" t="s">
        <v>60</v>
      </c>
      <c r="H243" t="s">
        <v>49</v>
      </c>
      <c r="I243" t="s">
        <v>50</v>
      </c>
      <c r="J243" t="s">
        <v>51</v>
      </c>
      <c r="K243" t="s">
        <v>51</v>
      </c>
      <c r="L243" t="s">
        <v>52</v>
      </c>
      <c r="M243" t="s">
        <v>1120</v>
      </c>
      <c r="N243" t="s">
        <v>54</v>
      </c>
      <c r="O243" t="s">
        <v>54</v>
      </c>
      <c r="P243" t="s">
        <v>51</v>
      </c>
      <c r="Q243" t="s">
        <v>1121</v>
      </c>
      <c r="R243" s="1">
        <v>34266488.509999998</v>
      </c>
      <c r="S243" s="1">
        <v>26418605.109999999</v>
      </c>
      <c r="T243" s="1">
        <v>71653763.670000002</v>
      </c>
      <c r="U243" s="1">
        <v>260830.72</v>
      </c>
      <c r="V243" t="s">
        <v>51</v>
      </c>
      <c r="W243">
        <v>350532</v>
      </c>
      <c r="X243">
        <v>0</v>
      </c>
      <c r="Y243">
        <v>0</v>
      </c>
      <c r="Z243">
        <v>-132300.81</v>
      </c>
      <c r="AA243">
        <v>119525114.04000001</v>
      </c>
      <c r="AB243">
        <v>533496172.04000002</v>
      </c>
      <c r="AC243">
        <v>0</v>
      </c>
      <c r="AD243">
        <v>29832593.460000001</v>
      </c>
      <c r="AE243">
        <v>33831463.009999998</v>
      </c>
      <c r="AF243">
        <v>30091143.52</v>
      </c>
      <c r="AG243" s="14">
        <v>33539993.109999999</v>
      </c>
      <c r="AH243">
        <v>0</v>
      </c>
      <c r="AI243">
        <v>0</v>
      </c>
      <c r="AJ243">
        <v>9984136</v>
      </c>
      <c r="AK243">
        <v>9984136</v>
      </c>
      <c r="AL243">
        <v>533496172.04000002</v>
      </c>
      <c r="AM243">
        <v>533496172.04000002</v>
      </c>
      <c r="AN243">
        <v>0</v>
      </c>
      <c r="AO243">
        <v>0</v>
      </c>
      <c r="AP243">
        <f t="shared" si="3"/>
        <v>-0.11068871262965246</v>
      </c>
    </row>
    <row r="244" spans="1:42" x14ac:dyDescent="0.3">
      <c r="A244" t="s">
        <v>1112</v>
      </c>
      <c r="B244" t="s">
        <v>1122</v>
      </c>
      <c r="C244" t="s">
        <v>1123</v>
      </c>
      <c r="D244" t="s">
        <v>1124</v>
      </c>
      <c r="E244" t="s">
        <v>46</v>
      </c>
      <c r="F244" t="s">
        <v>71</v>
      </c>
      <c r="G244" t="s">
        <v>60</v>
      </c>
      <c r="H244" t="s">
        <v>49</v>
      </c>
      <c r="I244" t="s">
        <v>50</v>
      </c>
      <c r="J244" t="s">
        <v>51</v>
      </c>
      <c r="K244" t="s">
        <v>51</v>
      </c>
      <c r="L244" t="s">
        <v>52</v>
      </c>
      <c r="M244" t="s">
        <v>1125</v>
      </c>
      <c r="N244" t="s">
        <v>54</v>
      </c>
      <c r="O244" t="s">
        <v>54</v>
      </c>
      <c r="P244" t="s">
        <v>54</v>
      </c>
      <c r="Q244" t="s">
        <v>1126</v>
      </c>
      <c r="R244" s="1">
        <v>1946368.74</v>
      </c>
      <c r="S244" s="1">
        <v>6809601.8799999999</v>
      </c>
      <c r="T244" s="1">
        <v>8919037.7400000002</v>
      </c>
      <c r="U244" s="1">
        <v>0</v>
      </c>
      <c r="V244" t="s">
        <v>51</v>
      </c>
      <c r="W244">
        <v>379743</v>
      </c>
      <c r="X244">
        <v>0</v>
      </c>
      <c r="Y244">
        <v>0</v>
      </c>
      <c r="Z244">
        <v>-248374.57</v>
      </c>
      <c r="AA244">
        <v>18994658.32</v>
      </c>
      <c r="AB244">
        <v>0</v>
      </c>
      <c r="AC244">
        <v>0</v>
      </c>
      <c r="AD244">
        <v>8462899.3000000007</v>
      </c>
      <c r="AE244">
        <v>8827951.9900000002</v>
      </c>
      <c r="AF244">
        <v>8462899.3000000007</v>
      </c>
      <c r="AG244" s="14">
        <v>8827951.9100000001</v>
      </c>
      <c r="AH244">
        <v>0</v>
      </c>
      <c r="AI244">
        <v>10002996</v>
      </c>
      <c r="AJ244">
        <v>16159750</v>
      </c>
      <c r="AK244">
        <v>26167389</v>
      </c>
      <c r="AL244">
        <v>16164393.109999999</v>
      </c>
      <c r="AM244">
        <v>26167389.109999999</v>
      </c>
      <c r="AN244">
        <v>0</v>
      </c>
      <c r="AO244">
        <v>0</v>
      </c>
      <c r="AP244">
        <f t="shared" si="3"/>
        <v>-1.3076021996061891</v>
      </c>
    </row>
    <row r="245" spans="1:42" x14ac:dyDescent="0.3">
      <c r="A245" t="s">
        <v>1112</v>
      </c>
      <c r="B245" t="s">
        <v>1127</v>
      </c>
      <c r="C245" t="s">
        <v>1127</v>
      </c>
      <c r="D245" t="s">
        <v>1128</v>
      </c>
      <c r="E245" t="s">
        <v>46</v>
      </c>
      <c r="F245" t="s">
        <v>150</v>
      </c>
      <c r="G245" t="s">
        <v>48</v>
      </c>
      <c r="H245" t="s">
        <v>76</v>
      </c>
      <c r="I245" t="s">
        <v>50</v>
      </c>
      <c r="J245" t="s">
        <v>51</v>
      </c>
      <c r="K245" t="s">
        <v>51</v>
      </c>
      <c r="L245" t="s">
        <v>52</v>
      </c>
      <c r="M245" t="s">
        <v>856</v>
      </c>
      <c r="N245" t="s">
        <v>54</v>
      </c>
      <c r="O245" t="s">
        <v>51</v>
      </c>
      <c r="P245" t="s">
        <v>54</v>
      </c>
      <c r="Q245" t="s">
        <v>1121</v>
      </c>
      <c r="R245" s="1">
        <v>81582.11</v>
      </c>
      <c r="S245" s="1">
        <v>4899081.38</v>
      </c>
      <c r="T245" s="1">
        <v>5285258.38</v>
      </c>
      <c r="U245" s="1">
        <v>48083.8</v>
      </c>
      <c r="V245" t="s">
        <v>51</v>
      </c>
      <c r="W245">
        <v>130000</v>
      </c>
      <c r="X245">
        <v>0</v>
      </c>
      <c r="Y245">
        <v>0</v>
      </c>
      <c r="Z245">
        <v>2270915.54</v>
      </c>
      <c r="AA245">
        <v>166750.26</v>
      </c>
      <c r="AB245">
        <v>0</v>
      </c>
      <c r="AC245">
        <v>0</v>
      </c>
      <c r="AD245">
        <v>5693691.79</v>
      </c>
      <c r="AE245">
        <v>6403152.9699999997</v>
      </c>
      <c r="AF245">
        <v>0</v>
      </c>
      <c r="AG245" s="14">
        <v>0</v>
      </c>
      <c r="AH245">
        <v>0</v>
      </c>
      <c r="AI245">
        <v>0</v>
      </c>
      <c r="AJ245">
        <v>0</v>
      </c>
      <c r="AK245">
        <v>0</v>
      </c>
      <c r="AL245">
        <v>800000</v>
      </c>
      <c r="AM245">
        <v>800000</v>
      </c>
      <c r="AN245">
        <v>0</v>
      </c>
      <c r="AO245">
        <v>0</v>
      </c>
      <c r="AP245">
        <f t="shared" si="3"/>
        <v>1361.8662663554467</v>
      </c>
    </row>
    <row r="246" spans="1:42" x14ac:dyDescent="0.3">
      <c r="A246" t="s">
        <v>1112</v>
      </c>
      <c r="B246" t="s">
        <v>1129</v>
      </c>
      <c r="C246" t="s">
        <v>1130</v>
      </c>
      <c r="D246" t="s">
        <v>1131</v>
      </c>
      <c r="E246" t="s">
        <v>46</v>
      </c>
      <c r="F246" t="s">
        <v>107</v>
      </c>
      <c r="G246" t="s">
        <v>60</v>
      </c>
      <c r="H246" t="s">
        <v>49</v>
      </c>
      <c r="I246" t="s">
        <v>50</v>
      </c>
      <c r="J246" t="s">
        <v>51</v>
      </c>
      <c r="K246" t="s">
        <v>51</v>
      </c>
      <c r="L246" t="s">
        <v>134</v>
      </c>
      <c r="M246" t="s">
        <v>1132</v>
      </c>
      <c r="N246" t="s">
        <v>54</v>
      </c>
      <c r="O246" t="s">
        <v>54</v>
      </c>
      <c r="P246" t="s">
        <v>51</v>
      </c>
      <c r="Q246" t="s">
        <v>1133</v>
      </c>
      <c r="R246" s="1">
        <v>177590323.22999999</v>
      </c>
      <c r="S246" s="1">
        <v>100478568.90000001</v>
      </c>
      <c r="T246" s="1">
        <v>265487457.38999999</v>
      </c>
      <c r="U246" s="1">
        <v>16169239</v>
      </c>
      <c r="V246" t="s">
        <v>51</v>
      </c>
      <c r="W246">
        <v>484507.76</v>
      </c>
      <c r="X246">
        <v>0</v>
      </c>
      <c r="Y246">
        <v>2707744.18</v>
      </c>
      <c r="Z246">
        <v>225200633.16</v>
      </c>
      <c r="AA246">
        <v>-450667611.54000002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11735793.060000001</v>
      </c>
      <c r="AI246">
        <v>16853881.600000001</v>
      </c>
      <c r="AJ246">
        <v>59966976</v>
      </c>
      <c r="AK246">
        <v>59966976</v>
      </c>
      <c r="AL246">
        <v>78710883.620000005</v>
      </c>
      <c r="AM246">
        <v>78710883.620000005</v>
      </c>
      <c r="AN246">
        <v>11735793.060000001</v>
      </c>
      <c r="AO246">
        <v>16853881.600000001</v>
      </c>
      <c r="AP246">
        <f t="shared" si="3"/>
        <v>-49.970449926600018</v>
      </c>
    </row>
    <row r="247" spans="1:42" x14ac:dyDescent="0.3">
      <c r="A247" t="s">
        <v>1134</v>
      </c>
      <c r="B247" t="s">
        <v>1135</v>
      </c>
      <c r="C247" t="s">
        <v>1136</v>
      </c>
      <c r="D247" t="s">
        <v>1137</v>
      </c>
      <c r="E247" t="s">
        <v>46</v>
      </c>
      <c r="F247" t="s">
        <v>71</v>
      </c>
      <c r="G247" t="s">
        <v>60</v>
      </c>
      <c r="H247" t="s">
        <v>49</v>
      </c>
      <c r="I247" t="s">
        <v>50</v>
      </c>
      <c r="J247" t="s">
        <v>51</v>
      </c>
      <c r="K247" t="s">
        <v>51</v>
      </c>
      <c r="L247" t="s">
        <v>134</v>
      </c>
      <c r="M247" t="s">
        <v>1138</v>
      </c>
      <c r="N247" t="s">
        <v>54</v>
      </c>
      <c r="O247" t="s">
        <v>54</v>
      </c>
      <c r="P247" t="s">
        <v>54</v>
      </c>
      <c r="Q247" t="s">
        <v>1139</v>
      </c>
      <c r="R247" s="1">
        <v>640784428.80999994</v>
      </c>
      <c r="S247" s="1">
        <v>68153563</v>
      </c>
      <c r="T247" s="1">
        <v>577484078.52999997</v>
      </c>
      <c r="U247" s="1">
        <v>0</v>
      </c>
      <c r="V247" t="s">
        <v>54</v>
      </c>
      <c r="W247">
        <v>571938.12</v>
      </c>
      <c r="X247">
        <v>53415.01</v>
      </c>
      <c r="Y247">
        <v>81395.13</v>
      </c>
      <c r="Z247">
        <v>53126424.549999997</v>
      </c>
      <c r="AA247">
        <v>1008416081.0700001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101336739</v>
      </c>
      <c r="AJ247">
        <v>99.99</v>
      </c>
      <c r="AK247">
        <v>99.99</v>
      </c>
      <c r="AL247">
        <v>798273075</v>
      </c>
      <c r="AM247">
        <v>914150698</v>
      </c>
      <c r="AN247">
        <v>0</v>
      </c>
      <c r="AO247">
        <v>0</v>
      </c>
      <c r="AP247">
        <f t="shared" si="3"/>
        <v>5.2683039815895381</v>
      </c>
    </row>
    <row r="248" spans="1:42" x14ac:dyDescent="0.3">
      <c r="A248" t="s">
        <v>1134</v>
      </c>
      <c r="B248" t="s">
        <v>1140</v>
      </c>
      <c r="C248" t="s">
        <v>1141</v>
      </c>
      <c r="D248" t="s">
        <v>1142</v>
      </c>
      <c r="E248" t="s">
        <v>46</v>
      </c>
      <c r="F248" t="s">
        <v>71</v>
      </c>
      <c r="G248" t="s">
        <v>60</v>
      </c>
      <c r="H248" t="s">
        <v>49</v>
      </c>
      <c r="I248" t="s">
        <v>373</v>
      </c>
      <c r="J248" t="s">
        <v>54</v>
      </c>
      <c r="K248" t="s">
        <v>51</v>
      </c>
      <c r="L248" t="s">
        <v>134</v>
      </c>
      <c r="M248" t="s">
        <v>1143</v>
      </c>
      <c r="N248" t="s">
        <v>54</v>
      </c>
      <c r="O248" t="s">
        <v>54</v>
      </c>
      <c r="P248" t="s">
        <v>54</v>
      </c>
      <c r="Q248" t="s">
        <v>1144</v>
      </c>
      <c r="R248" s="1">
        <v>9130368000</v>
      </c>
      <c r="S248" s="1">
        <v>2539113000</v>
      </c>
      <c r="T248" s="1">
        <v>5957274000</v>
      </c>
      <c r="U248" s="1">
        <v>384066290.88999999</v>
      </c>
      <c r="V248" t="s">
        <v>54</v>
      </c>
      <c r="W248">
        <v>1849122.58</v>
      </c>
      <c r="X248">
        <v>15275.52</v>
      </c>
      <c r="Y248">
        <v>30142.49</v>
      </c>
      <c r="Z248">
        <v>916121000</v>
      </c>
      <c r="AA248">
        <v>10413708000</v>
      </c>
      <c r="AB248">
        <v>4475199903.4499998</v>
      </c>
      <c r="AC248">
        <v>200968077.28999999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49.39</v>
      </c>
      <c r="AK248">
        <v>49.39</v>
      </c>
      <c r="AL248">
        <v>5200000000</v>
      </c>
      <c r="AM248">
        <v>8000000000</v>
      </c>
      <c r="AN248">
        <v>0</v>
      </c>
      <c r="AO248">
        <v>0</v>
      </c>
      <c r="AP248">
        <f t="shared" si="3"/>
        <v>8.797260303438506</v>
      </c>
    </row>
    <row r="249" spans="1:42" x14ac:dyDescent="0.3">
      <c r="A249" t="s">
        <v>1134</v>
      </c>
      <c r="B249" t="s">
        <v>1145</v>
      </c>
      <c r="C249" t="s">
        <v>1146</v>
      </c>
      <c r="D249" t="s">
        <v>1147</v>
      </c>
      <c r="E249" t="s">
        <v>46</v>
      </c>
      <c r="F249" t="s">
        <v>71</v>
      </c>
      <c r="G249" t="s">
        <v>48</v>
      </c>
      <c r="H249" t="s">
        <v>76</v>
      </c>
      <c r="I249" t="s">
        <v>50</v>
      </c>
      <c r="J249" t="s">
        <v>51</v>
      </c>
      <c r="K249" t="s">
        <v>51</v>
      </c>
      <c r="L249" t="s">
        <v>134</v>
      </c>
      <c r="M249" t="s">
        <v>173</v>
      </c>
      <c r="N249" t="s">
        <v>54</v>
      </c>
      <c r="O249" t="s">
        <v>54</v>
      </c>
      <c r="P249" t="s">
        <v>54</v>
      </c>
      <c r="Q249" t="s">
        <v>1148</v>
      </c>
      <c r="R249" s="1">
        <v>3023117296.27</v>
      </c>
      <c r="S249" s="1">
        <v>262579991.37</v>
      </c>
      <c r="T249" s="1">
        <v>2409384131.54</v>
      </c>
      <c r="U249" s="1">
        <v>3813473.77</v>
      </c>
      <c r="V249" t="s">
        <v>54</v>
      </c>
      <c r="W249">
        <v>828506.55</v>
      </c>
      <c r="X249">
        <v>44970.29</v>
      </c>
      <c r="Y249">
        <v>23459.81</v>
      </c>
      <c r="Z249">
        <v>472452860.83999997</v>
      </c>
      <c r="AA249">
        <v>4495898455.4499998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33.33</v>
      </c>
      <c r="AK249">
        <v>33.33</v>
      </c>
      <c r="AL249">
        <v>2225541000</v>
      </c>
      <c r="AM249">
        <v>2487333000</v>
      </c>
      <c r="AN249">
        <v>0</v>
      </c>
      <c r="AO249">
        <v>0</v>
      </c>
      <c r="AP249">
        <f t="shared" si="3"/>
        <v>10.508530508897174</v>
      </c>
    </row>
    <row r="250" spans="1:42" x14ac:dyDescent="0.3">
      <c r="A250" t="s">
        <v>1134</v>
      </c>
      <c r="B250" t="s">
        <v>1149</v>
      </c>
      <c r="C250" t="s">
        <v>1150</v>
      </c>
      <c r="D250" t="s">
        <v>1151</v>
      </c>
      <c r="E250" t="s">
        <v>46</v>
      </c>
      <c r="F250" t="s">
        <v>133</v>
      </c>
      <c r="G250" t="s">
        <v>60</v>
      </c>
      <c r="H250" t="s">
        <v>49</v>
      </c>
      <c r="I250" t="s">
        <v>373</v>
      </c>
      <c r="J250" t="s">
        <v>51</v>
      </c>
      <c r="K250" t="s">
        <v>51</v>
      </c>
      <c r="L250" t="s">
        <v>134</v>
      </c>
      <c r="M250" t="s">
        <v>125</v>
      </c>
      <c r="N250" t="s">
        <v>54</v>
      </c>
      <c r="O250" t="s">
        <v>54</v>
      </c>
      <c r="P250" t="s">
        <v>51</v>
      </c>
      <c r="Q250" t="s">
        <v>1152</v>
      </c>
      <c r="R250" s="1">
        <v>0</v>
      </c>
      <c r="S250" s="1">
        <v>0</v>
      </c>
      <c r="T250" s="1">
        <v>149000</v>
      </c>
      <c r="U250" s="1">
        <v>0</v>
      </c>
      <c r="V250" t="s">
        <v>51</v>
      </c>
      <c r="W250">
        <v>0</v>
      </c>
      <c r="X250">
        <v>0</v>
      </c>
      <c r="Y250">
        <v>0</v>
      </c>
      <c r="Z250">
        <v>-149112.4</v>
      </c>
      <c r="AA250">
        <v>720594627.04999995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700000000</v>
      </c>
      <c r="AI250">
        <v>500000000</v>
      </c>
      <c r="AJ250">
        <v>100</v>
      </c>
      <c r="AK250">
        <v>100</v>
      </c>
      <c r="AL250">
        <v>10200000</v>
      </c>
      <c r="AM250">
        <v>710200000</v>
      </c>
      <c r="AN250">
        <v>700000000</v>
      </c>
      <c r="AO250">
        <v>500000000</v>
      </c>
      <c r="AP250">
        <f t="shared" si="3"/>
        <v>-2.0692965837178456E-2</v>
      </c>
    </row>
    <row r="251" spans="1:42" x14ac:dyDescent="0.3">
      <c r="A251" t="s">
        <v>1134</v>
      </c>
      <c r="B251" t="s">
        <v>1153</v>
      </c>
      <c r="C251" t="s">
        <v>303</v>
      </c>
      <c r="D251" t="s">
        <v>1154</v>
      </c>
      <c r="E251" t="s">
        <v>46</v>
      </c>
      <c r="F251" t="s">
        <v>75</v>
      </c>
      <c r="G251" t="s">
        <v>60</v>
      </c>
      <c r="H251" t="s">
        <v>49</v>
      </c>
      <c r="I251" t="s">
        <v>50</v>
      </c>
      <c r="J251" t="s">
        <v>51</v>
      </c>
      <c r="K251" t="s">
        <v>51</v>
      </c>
      <c r="L251" t="s">
        <v>134</v>
      </c>
      <c r="M251" t="s">
        <v>1155</v>
      </c>
      <c r="N251" t="s">
        <v>54</v>
      </c>
      <c r="O251" t="s">
        <v>54</v>
      </c>
      <c r="P251" t="s">
        <v>54</v>
      </c>
      <c r="Q251" t="s">
        <v>1156</v>
      </c>
      <c r="R251" s="1">
        <v>11697071.09</v>
      </c>
      <c r="S251" s="1">
        <v>6354041.6900000004</v>
      </c>
      <c r="T251" s="1">
        <v>19451638.52</v>
      </c>
      <c r="U251" s="1">
        <v>465759.66</v>
      </c>
      <c r="V251" t="s">
        <v>51</v>
      </c>
      <c r="W251">
        <v>315191.63</v>
      </c>
      <c r="X251">
        <v>0</v>
      </c>
      <c r="Y251">
        <v>47632.59</v>
      </c>
      <c r="Z251">
        <v>-5644337.2000000002</v>
      </c>
      <c r="AA251">
        <v>12702451.84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94.24</v>
      </c>
      <c r="AK251">
        <v>94.24</v>
      </c>
      <c r="AL251">
        <v>21702451.98</v>
      </c>
      <c r="AM251">
        <v>21702451.98</v>
      </c>
      <c r="AN251">
        <v>0</v>
      </c>
      <c r="AO251">
        <v>18122382.02</v>
      </c>
      <c r="AP251">
        <f t="shared" si="3"/>
        <v>-44.435021451732581</v>
      </c>
    </row>
    <row r="252" spans="1:42" x14ac:dyDescent="0.3">
      <c r="A252" t="s">
        <v>1134</v>
      </c>
      <c r="B252" t="s">
        <v>1157</v>
      </c>
      <c r="C252" t="s">
        <v>1158</v>
      </c>
      <c r="D252" t="s">
        <v>1159</v>
      </c>
      <c r="E252" t="s">
        <v>70</v>
      </c>
      <c r="F252" t="s">
        <v>75</v>
      </c>
      <c r="G252" t="s">
        <v>60</v>
      </c>
      <c r="H252" t="s">
        <v>76</v>
      </c>
      <c r="I252" t="s">
        <v>50</v>
      </c>
      <c r="J252" t="s">
        <v>51</v>
      </c>
      <c r="K252" t="s">
        <v>51</v>
      </c>
      <c r="L252" s="11" t="s">
        <v>134</v>
      </c>
      <c r="M252" t="s">
        <v>81</v>
      </c>
      <c r="N252" t="s">
        <v>54</v>
      </c>
      <c r="O252" t="s">
        <v>54</v>
      </c>
      <c r="P252" t="s">
        <v>51</v>
      </c>
      <c r="Q252" t="s">
        <v>55</v>
      </c>
      <c r="R252" s="1">
        <v>0</v>
      </c>
      <c r="S252" s="1">
        <v>4276378.51</v>
      </c>
      <c r="T252" s="1">
        <v>25276047.199999999</v>
      </c>
      <c r="U252" s="1">
        <v>0</v>
      </c>
      <c r="V252" t="s">
        <v>51</v>
      </c>
      <c r="W252">
        <v>725692.78</v>
      </c>
      <c r="X252">
        <v>0</v>
      </c>
      <c r="Y252">
        <v>0</v>
      </c>
      <c r="Z252">
        <v>-86771443.980000004</v>
      </c>
      <c r="AA252">
        <v>-544855831.86000001</v>
      </c>
      <c r="AB252">
        <v>0</v>
      </c>
      <c r="AC252">
        <v>0</v>
      </c>
      <c r="AD252">
        <v>19200000</v>
      </c>
      <c r="AE252" s="14">
        <v>17000000</v>
      </c>
      <c r="AF252">
        <v>0</v>
      </c>
      <c r="AG252" s="14">
        <v>0</v>
      </c>
      <c r="AH252">
        <v>0</v>
      </c>
      <c r="AI252">
        <v>0</v>
      </c>
      <c r="AJ252">
        <v>100</v>
      </c>
      <c r="AK252">
        <v>100</v>
      </c>
      <c r="AL252">
        <v>193337426.28999999</v>
      </c>
      <c r="AM252">
        <v>193337426.28999999</v>
      </c>
      <c r="AN252">
        <v>156662573.61000001</v>
      </c>
      <c r="AO252">
        <v>156662573.61000001</v>
      </c>
      <c r="AP252">
        <f t="shared" si="3"/>
        <v>15.925578640460584</v>
      </c>
    </row>
    <row r="253" spans="1:42" x14ac:dyDescent="0.3">
      <c r="A253" t="s">
        <v>1134</v>
      </c>
      <c r="B253" t="s">
        <v>1160</v>
      </c>
      <c r="C253" t="s">
        <v>1161</v>
      </c>
      <c r="D253" t="s">
        <v>1162</v>
      </c>
      <c r="E253" t="s">
        <v>46</v>
      </c>
      <c r="F253" t="s">
        <v>224</v>
      </c>
      <c r="G253" t="s">
        <v>60</v>
      </c>
      <c r="H253" t="s">
        <v>49</v>
      </c>
      <c r="I253" t="s">
        <v>50</v>
      </c>
      <c r="J253" t="s">
        <v>51</v>
      </c>
      <c r="K253" t="s">
        <v>51</v>
      </c>
      <c r="L253" t="s">
        <v>134</v>
      </c>
      <c r="M253" t="s">
        <v>1163</v>
      </c>
      <c r="N253" t="s">
        <v>54</v>
      </c>
      <c r="O253" t="s">
        <v>54</v>
      </c>
      <c r="P253" t="s">
        <v>54</v>
      </c>
      <c r="Q253" t="s">
        <v>1164</v>
      </c>
      <c r="R253" s="1">
        <v>170927213.81</v>
      </c>
      <c r="S253" s="1">
        <v>60392061.159999996</v>
      </c>
      <c r="T253" s="1">
        <v>164695002.86000001</v>
      </c>
      <c r="U253" s="1">
        <v>237785.55</v>
      </c>
      <c r="V253" t="s">
        <v>51</v>
      </c>
      <c r="W253">
        <v>537533.23</v>
      </c>
      <c r="X253">
        <v>0</v>
      </c>
      <c r="Y253">
        <v>22962.720000000001</v>
      </c>
      <c r="Z253">
        <v>11783663.57</v>
      </c>
      <c r="AA253">
        <v>290979798.89999998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100</v>
      </c>
      <c r="AK253">
        <v>100</v>
      </c>
      <c r="AL253">
        <v>289465153.32999998</v>
      </c>
      <c r="AM253">
        <v>289465153.30000001</v>
      </c>
      <c r="AN253">
        <v>74989104.359999999</v>
      </c>
      <c r="AO253">
        <v>74989104.359999999</v>
      </c>
      <c r="AP253">
        <f t="shared" si="3"/>
        <v>4.0496500494350984</v>
      </c>
    </row>
    <row r="254" spans="1:42" x14ac:dyDescent="0.3">
      <c r="A254" t="s">
        <v>1134</v>
      </c>
      <c r="B254" t="s">
        <v>1165</v>
      </c>
      <c r="C254" t="s">
        <v>1166</v>
      </c>
      <c r="D254" t="s">
        <v>1167</v>
      </c>
      <c r="E254" t="s">
        <v>46</v>
      </c>
      <c r="F254" t="s">
        <v>240</v>
      </c>
      <c r="G254" t="s">
        <v>48</v>
      </c>
      <c r="H254" t="s">
        <v>49</v>
      </c>
      <c r="I254" t="s">
        <v>50</v>
      </c>
      <c r="J254" t="s">
        <v>51</v>
      </c>
      <c r="K254" t="s">
        <v>51</v>
      </c>
      <c r="L254" t="s">
        <v>134</v>
      </c>
      <c r="M254" t="s">
        <v>1168</v>
      </c>
      <c r="N254" t="s">
        <v>54</v>
      </c>
      <c r="O254" t="s">
        <v>54</v>
      </c>
      <c r="P254" t="s">
        <v>54</v>
      </c>
      <c r="Q254" t="s">
        <v>1169</v>
      </c>
      <c r="R254" s="1">
        <v>161165342.27000001</v>
      </c>
      <c r="S254" s="1">
        <v>7827217.8799999999</v>
      </c>
      <c r="T254" s="1">
        <v>23034756.370000001</v>
      </c>
      <c r="U254" s="1">
        <v>0</v>
      </c>
      <c r="V254" t="s">
        <v>51</v>
      </c>
      <c r="W254">
        <v>253554.3</v>
      </c>
      <c r="X254">
        <v>0</v>
      </c>
      <c r="Y254">
        <v>0</v>
      </c>
      <c r="Z254">
        <v>7101553.5499999998</v>
      </c>
      <c r="AA254">
        <v>27105506.68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20000000</v>
      </c>
      <c r="AI254">
        <v>0</v>
      </c>
      <c r="AJ254">
        <v>100</v>
      </c>
      <c r="AK254">
        <v>100</v>
      </c>
      <c r="AL254">
        <v>64083815.590000004</v>
      </c>
      <c r="AM254">
        <v>64083815.590000004</v>
      </c>
      <c r="AN254">
        <v>500000</v>
      </c>
      <c r="AO254">
        <v>500000</v>
      </c>
      <c r="AP254">
        <f t="shared" si="3"/>
        <v>26.199670914987671</v>
      </c>
    </row>
    <row r="255" spans="1:42" x14ac:dyDescent="0.3">
      <c r="A255" t="s">
        <v>1134</v>
      </c>
      <c r="B255" t="s">
        <v>1170</v>
      </c>
      <c r="C255" t="s">
        <v>1171</v>
      </c>
      <c r="D255" t="s">
        <v>1172</v>
      </c>
      <c r="E255" t="s">
        <v>46</v>
      </c>
      <c r="F255" t="s">
        <v>314</v>
      </c>
      <c r="G255" t="s">
        <v>48</v>
      </c>
      <c r="H255" t="s">
        <v>49</v>
      </c>
      <c r="I255" t="s">
        <v>50</v>
      </c>
      <c r="J255" t="s">
        <v>51</v>
      </c>
      <c r="K255" t="s">
        <v>51</v>
      </c>
      <c r="L255" t="s">
        <v>134</v>
      </c>
      <c r="M255" t="s">
        <v>1173</v>
      </c>
      <c r="N255" t="s">
        <v>54</v>
      </c>
      <c r="O255" t="s">
        <v>54</v>
      </c>
      <c r="P255" t="s">
        <v>54</v>
      </c>
      <c r="Q255" t="s">
        <v>1174</v>
      </c>
      <c r="R255" s="1">
        <v>225741088</v>
      </c>
      <c r="S255" s="1">
        <v>41286117</v>
      </c>
      <c r="T255" s="1">
        <v>353364500</v>
      </c>
      <c r="U255" s="1">
        <v>198479587</v>
      </c>
      <c r="V255" t="s">
        <v>51</v>
      </c>
      <c r="W255">
        <v>345286.59</v>
      </c>
      <c r="X255">
        <v>0</v>
      </c>
      <c r="Y255">
        <v>0</v>
      </c>
      <c r="Z255">
        <v>-107798557</v>
      </c>
      <c r="AA255">
        <v>1594403966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731389764</v>
      </c>
      <c r="AJ255">
        <v>100</v>
      </c>
      <c r="AK255">
        <v>100</v>
      </c>
      <c r="AL255">
        <v>972640089</v>
      </c>
      <c r="AM255">
        <v>972640089</v>
      </c>
      <c r="AN255">
        <v>3905700.13</v>
      </c>
      <c r="AO255">
        <v>3905700.13</v>
      </c>
      <c r="AP255">
        <f t="shared" si="3"/>
        <v>-6.7610567521631468</v>
      </c>
    </row>
    <row r="256" spans="1:42" x14ac:dyDescent="0.3">
      <c r="A256" t="s">
        <v>1134</v>
      </c>
      <c r="B256" t="s">
        <v>1175</v>
      </c>
      <c r="C256" t="s">
        <v>1176</v>
      </c>
      <c r="D256" t="s">
        <v>1177</v>
      </c>
      <c r="E256" t="s">
        <v>46</v>
      </c>
      <c r="F256" t="s">
        <v>47</v>
      </c>
      <c r="G256" t="s">
        <v>60</v>
      </c>
      <c r="H256" t="s">
        <v>49</v>
      </c>
      <c r="I256" t="s">
        <v>50</v>
      </c>
      <c r="J256" t="s">
        <v>51</v>
      </c>
      <c r="K256" t="s">
        <v>51</v>
      </c>
      <c r="L256" t="s">
        <v>134</v>
      </c>
      <c r="M256" t="s">
        <v>1178</v>
      </c>
      <c r="N256" t="s">
        <v>54</v>
      </c>
      <c r="O256" t="s">
        <v>54</v>
      </c>
      <c r="P256" t="s">
        <v>54</v>
      </c>
      <c r="Q256" t="s">
        <v>1179</v>
      </c>
      <c r="R256" s="1">
        <v>439415934.27999997</v>
      </c>
      <c r="S256" s="1">
        <v>352939865.56</v>
      </c>
      <c r="T256" s="1">
        <v>473380000</v>
      </c>
      <c r="U256" s="1">
        <v>14330401.84</v>
      </c>
      <c r="V256" t="s">
        <v>51</v>
      </c>
      <c r="W256">
        <v>672830.52</v>
      </c>
      <c r="X256">
        <v>31678.400000000001</v>
      </c>
      <c r="Y256">
        <v>19904.28</v>
      </c>
      <c r="Z256">
        <v>-16592949.24</v>
      </c>
      <c r="AA256">
        <v>145043343.08000001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100</v>
      </c>
      <c r="AK256">
        <v>100</v>
      </c>
      <c r="AL256">
        <v>203219287.84</v>
      </c>
      <c r="AM256">
        <v>203219287.84</v>
      </c>
      <c r="AN256">
        <v>0</v>
      </c>
      <c r="AO256">
        <v>0</v>
      </c>
      <c r="AP256">
        <f t="shared" si="3"/>
        <v>-11.439993651310148</v>
      </c>
    </row>
    <row r="257" spans="1:42" x14ac:dyDescent="0.3">
      <c r="A257" t="s">
        <v>1180</v>
      </c>
      <c r="B257" t="s">
        <v>1181</v>
      </c>
      <c r="C257" t="s">
        <v>1182</v>
      </c>
      <c r="D257" t="s">
        <v>1183</v>
      </c>
      <c r="E257" t="s">
        <v>46</v>
      </c>
      <c r="F257" t="s">
        <v>102</v>
      </c>
      <c r="G257" t="s">
        <v>48</v>
      </c>
      <c r="H257" t="s">
        <v>76</v>
      </c>
      <c r="I257" t="s">
        <v>50</v>
      </c>
      <c r="J257" t="s">
        <v>51</v>
      </c>
      <c r="K257" t="s">
        <v>51</v>
      </c>
      <c r="L257" t="s">
        <v>52</v>
      </c>
      <c r="M257" t="s">
        <v>1184</v>
      </c>
      <c r="N257" t="s">
        <v>54</v>
      </c>
      <c r="O257" t="s">
        <v>54</v>
      </c>
      <c r="P257" t="s">
        <v>51</v>
      </c>
      <c r="Q257" t="s">
        <v>1185</v>
      </c>
      <c r="R257" s="1">
        <v>6634764.5300000003</v>
      </c>
      <c r="S257" s="1">
        <v>257000723.78</v>
      </c>
      <c r="T257" s="1">
        <v>290777172.29000002</v>
      </c>
      <c r="U257" s="1">
        <v>3496435.63</v>
      </c>
      <c r="V257" t="s">
        <v>51</v>
      </c>
      <c r="W257">
        <v>493394.96</v>
      </c>
      <c r="X257">
        <v>0</v>
      </c>
      <c r="Y257">
        <v>15620.31</v>
      </c>
      <c r="Z257">
        <v>-4523290.33</v>
      </c>
      <c r="AA257">
        <v>-24341896.09</v>
      </c>
      <c r="AC257">
        <v>0</v>
      </c>
      <c r="AD257">
        <v>253733123.93000001</v>
      </c>
      <c r="AE257">
        <v>262956555.83000001</v>
      </c>
      <c r="AF257">
        <v>0</v>
      </c>
      <c r="AG257" s="14">
        <v>0</v>
      </c>
      <c r="AH257">
        <v>0</v>
      </c>
      <c r="AI257">
        <v>0</v>
      </c>
      <c r="AJ257">
        <v>42408424</v>
      </c>
      <c r="AK257">
        <v>49208424</v>
      </c>
      <c r="AL257">
        <v>42408423.68</v>
      </c>
      <c r="AM257">
        <v>49208423.68</v>
      </c>
      <c r="AN257">
        <v>6800000</v>
      </c>
      <c r="AO257">
        <v>0</v>
      </c>
      <c r="AP257">
        <f t="shared" si="3"/>
        <v>18.582325359026704</v>
      </c>
    </row>
    <row r="258" spans="1:42" x14ac:dyDescent="0.3">
      <c r="A258" t="s">
        <v>1180</v>
      </c>
      <c r="B258" t="s">
        <v>1186</v>
      </c>
      <c r="C258" t="s">
        <v>1187</v>
      </c>
      <c r="D258" t="s">
        <v>1188</v>
      </c>
      <c r="E258" t="s">
        <v>70</v>
      </c>
      <c r="F258" t="s">
        <v>93</v>
      </c>
      <c r="G258" t="s">
        <v>60</v>
      </c>
      <c r="H258" t="s">
        <v>49</v>
      </c>
      <c r="I258" t="s">
        <v>50</v>
      </c>
      <c r="J258" t="s">
        <v>51</v>
      </c>
      <c r="K258" t="s">
        <v>51</v>
      </c>
      <c r="L258" t="s">
        <v>52</v>
      </c>
      <c r="M258" t="s">
        <v>683</v>
      </c>
      <c r="N258" t="s">
        <v>51</v>
      </c>
      <c r="O258" t="s">
        <v>54</v>
      </c>
      <c r="P258" t="s">
        <v>51</v>
      </c>
      <c r="Q258" t="s">
        <v>55</v>
      </c>
      <c r="R258" s="1">
        <v>4396820</v>
      </c>
      <c r="S258" s="1">
        <v>4894706.21</v>
      </c>
      <c r="T258" s="1">
        <v>6620680.1100000003</v>
      </c>
      <c r="U258" s="1">
        <v>0</v>
      </c>
      <c r="V258" t="s">
        <v>51</v>
      </c>
      <c r="W258">
        <v>298507.48</v>
      </c>
      <c r="X258">
        <v>0</v>
      </c>
      <c r="Y258">
        <v>0</v>
      </c>
      <c r="Z258">
        <v>537560</v>
      </c>
      <c r="AA258">
        <v>-38539154</v>
      </c>
      <c r="AC258">
        <v>0</v>
      </c>
      <c r="AD258">
        <v>5510738</v>
      </c>
      <c r="AE258">
        <v>3436174.71</v>
      </c>
      <c r="AF258">
        <v>46342958.68</v>
      </c>
      <c r="AG258" s="14">
        <v>46342958.68</v>
      </c>
      <c r="AH258">
        <v>0</v>
      </c>
      <c r="AI258">
        <v>0</v>
      </c>
      <c r="AJ258">
        <v>32300207</v>
      </c>
      <c r="AK258">
        <v>32300207</v>
      </c>
      <c r="AL258">
        <v>32300207</v>
      </c>
      <c r="AM258">
        <v>32300207</v>
      </c>
      <c r="AN258">
        <v>0</v>
      </c>
      <c r="AO258">
        <v>0</v>
      </c>
      <c r="AP258">
        <f t="shared" ref="AP258:AP299" si="4">Z258*100/AA258</f>
        <v>-1.3948412048692092</v>
      </c>
    </row>
    <row r="259" spans="1:42" x14ac:dyDescent="0.3">
      <c r="A259" t="s">
        <v>1180</v>
      </c>
      <c r="B259" t="s">
        <v>1189</v>
      </c>
      <c r="C259" t="s">
        <v>1190</v>
      </c>
      <c r="D259" t="s">
        <v>1191</v>
      </c>
      <c r="E259" t="s">
        <v>46</v>
      </c>
      <c r="F259" t="s">
        <v>102</v>
      </c>
      <c r="G259" t="s">
        <v>48</v>
      </c>
      <c r="H259" t="s">
        <v>363</v>
      </c>
      <c r="I259" t="s">
        <v>50</v>
      </c>
      <c r="J259" t="s">
        <v>51</v>
      </c>
      <c r="K259" t="s">
        <v>51</v>
      </c>
      <c r="L259" t="s">
        <v>52</v>
      </c>
      <c r="M259" t="s">
        <v>1192</v>
      </c>
      <c r="N259" t="s">
        <v>54</v>
      </c>
      <c r="O259" t="s">
        <v>54</v>
      </c>
      <c r="P259" t="s">
        <v>51</v>
      </c>
      <c r="Q259" t="s">
        <v>1193</v>
      </c>
      <c r="R259" s="1">
        <v>26417165</v>
      </c>
      <c r="S259" s="1">
        <v>490056603.76999998</v>
      </c>
      <c r="T259" s="1">
        <v>540390768.53999996</v>
      </c>
      <c r="U259" s="1">
        <v>20240225</v>
      </c>
      <c r="V259" t="s">
        <v>51</v>
      </c>
      <c r="W259">
        <v>456991.71</v>
      </c>
      <c r="X259">
        <v>0</v>
      </c>
      <c r="Y259">
        <v>24139.81</v>
      </c>
      <c r="Z259">
        <v>-12199694.869999999</v>
      </c>
      <c r="AA259">
        <v>-37869823</v>
      </c>
      <c r="AC259">
        <v>0</v>
      </c>
      <c r="AD259">
        <v>433219082</v>
      </c>
      <c r="AE259">
        <v>457591779</v>
      </c>
      <c r="AF259">
        <v>0</v>
      </c>
      <c r="AG259" s="14">
        <v>0</v>
      </c>
      <c r="AH259">
        <v>0</v>
      </c>
      <c r="AI259">
        <v>0</v>
      </c>
      <c r="AJ259">
        <v>169781641.53</v>
      </c>
      <c r="AK259">
        <v>169781642</v>
      </c>
      <c r="AL259">
        <v>169781641.53</v>
      </c>
      <c r="AM259">
        <v>169781642</v>
      </c>
      <c r="AN259">
        <v>0</v>
      </c>
      <c r="AO259">
        <v>0</v>
      </c>
      <c r="AP259">
        <f t="shared" si="4"/>
        <v>32.214818828173556</v>
      </c>
    </row>
    <row r="260" spans="1:42" x14ac:dyDescent="0.3">
      <c r="A260" t="s">
        <v>1180</v>
      </c>
      <c r="B260" t="s">
        <v>1194</v>
      </c>
      <c r="C260" t="s">
        <v>1195</v>
      </c>
      <c r="D260" t="s">
        <v>1196</v>
      </c>
      <c r="E260" t="s">
        <v>70</v>
      </c>
      <c r="F260" t="s">
        <v>162</v>
      </c>
      <c r="G260" t="s">
        <v>60</v>
      </c>
      <c r="H260" t="s">
        <v>49</v>
      </c>
      <c r="I260" t="s">
        <v>50</v>
      </c>
      <c r="J260" t="s">
        <v>51</v>
      </c>
      <c r="K260" t="s">
        <v>51</v>
      </c>
      <c r="L260" t="s">
        <v>52</v>
      </c>
      <c r="M260" t="s">
        <v>754</v>
      </c>
      <c r="N260" t="s">
        <v>51</v>
      </c>
      <c r="O260" t="s">
        <v>54</v>
      </c>
      <c r="P260" t="s">
        <v>51</v>
      </c>
      <c r="Q260" t="s">
        <v>55</v>
      </c>
      <c r="R260" s="1">
        <v>5973035</v>
      </c>
      <c r="S260" s="1">
        <v>6063861</v>
      </c>
      <c r="T260" s="1">
        <v>6206595</v>
      </c>
      <c r="U260" s="1">
        <v>0</v>
      </c>
      <c r="V260" t="s">
        <v>51</v>
      </c>
      <c r="W260">
        <v>2709.98</v>
      </c>
      <c r="X260">
        <v>0</v>
      </c>
      <c r="Y260">
        <v>0</v>
      </c>
      <c r="Z260">
        <v>-233560</v>
      </c>
      <c r="AA260">
        <v>-227931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3413873</v>
      </c>
      <c r="AK260">
        <v>3413873</v>
      </c>
      <c r="AL260">
        <v>3528671</v>
      </c>
      <c r="AM260">
        <v>3528671</v>
      </c>
      <c r="AN260">
        <v>1165848</v>
      </c>
      <c r="AO260">
        <v>1165848</v>
      </c>
      <c r="AP260">
        <f t="shared" si="4"/>
        <v>102.46960703019774</v>
      </c>
    </row>
    <row r="261" spans="1:42" x14ac:dyDescent="0.3">
      <c r="A261" t="s">
        <v>1180</v>
      </c>
      <c r="B261" t="s">
        <v>1197</v>
      </c>
      <c r="C261" t="s">
        <v>1198</v>
      </c>
      <c r="D261" t="s">
        <v>1199</v>
      </c>
      <c r="E261" t="s">
        <v>46</v>
      </c>
      <c r="F261" t="s">
        <v>71</v>
      </c>
      <c r="G261" t="s">
        <v>60</v>
      </c>
      <c r="H261" t="s">
        <v>49</v>
      </c>
      <c r="I261" t="s">
        <v>50</v>
      </c>
      <c r="J261" t="s">
        <v>51</v>
      </c>
      <c r="K261" t="s">
        <v>51</v>
      </c>
      <c r="L261" t="s">
        <v>134</v>
      </c>
      <c r="M261" t="s">
        <v>1200</v>
      </c>
      <c r="N261" t="s">
        <v>54</v>
      </c>
      <c r="O261" t="s">
        <v>54</v>
      </c>
      <c r="P261" t="s">
        <v>54</v>
      </c>
      <c r="Q261" t="s">
        <v>1201</v>
      </c>
      <c r="R261" s="1">
        <v>210522000</v>
      </c>
      <c r="S261" s="1">
        <v>51417000</v>
      </c>
      <c r="T261" s="1">
        <v>137200000</v>
      </c>
      <c r="U261" s="1">
        <v>2060000</v>
      </c>
      <c r="V261" t="s">
        <v>51</v>
      </c>
      <c r="W261">
        <v>784877.19</v>
      </c>
      <c r="X261">
        <v>0</v>
      </c>
      <c r="Y261">
        <v>0</v>
      </c>
      <c r="Z261">
        <v>114459000</v>
      </c>
      <c r="AA261">
        <v>991546000</v>
      </c>
      <c r="AC261">
        <v>61748000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271102262</v>
      </c>
      <c r="AK261">
        <v>271102262</v>
      </c>
      <c r="AL261">
        <v>699704845.25999999</v>
      </c>
      <c r="AM261">
        <v>699704845.25999999</v>
      </c>
      <c r="AN261">
        <v>37701461.810000002</v>
      </c>
      <c r="AO261">
        <v>737406307.07000005</v>
      </c>
      <c r="AP261">
        <f t="shared" si="4"/>
        <v>11.54348865307308</v>
      </c>
    </row>
    <row r="262" spans="1:42" x14ac:dyDescent="0.3">
      <c r="A262" t="s">
        <v>1180</v>
      </c>
      <c r="B262" t="s">
        <v>1202</v>
      </c>
      <c r="C262" t="s">
        <v>1203</v>
      </c>
      <c r="D262" t="s">
        <v>1204</v>
      </c>
      <c r="E262" t="s">
        <v>70</v>
      </c>
      <c r="F262" t="s">
        <v>71</v>
      </c>
      <c r="G262" t="s">
        <v>60</v>
      </c>
      <c r="H262" t="s">
        <v>49</v>
      </c>
      <c r="I262" t="s">
        <v>50</v>
      </c>
      <c r="J262" t="s">
        <v>51</v>
      </c>
      <c r="K262" t="s">
        <v>51</v>
      </c>
      <c r="L262" t="s">
        <v>134</v>
      </c>
      <c r="M262" t="s">
        <v>125</v>
      </c>
      <c r="N262" t="s">
        <v>51</v>
      </c>
      <c r="O262" t="s">
        <v>54</v>
      </c>
      <c r="P262" t="s">
        <v>51</v>
      </c>
      <c r="Q262" t="s">
        <v>55</v>
      </c>
      <c r="R262" s="1">
        <v>957619.37</v>
      </c>
      <c r="S262" s="1">
        <v>343498.26</v>
      </c>
      <c r="T262" s="1">
        <v>826410.3</v>
      </c>
      <c r="U262" s="1">
        <v>0</v>
      </c>
      <c r="V262" t="s">
        <v>51</v>
      </c>
      <c r="W262">
        <v>114343.71</v>
      </c>
      <c r="X262">
        <v>0</v>
      </c>
      <c r="Y262">
        <v>0</v>
      </c>
      <c r="Z262">
        <v>259557.92</v>
      </c>
      <c r="AA262">
        <v>880273.94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4774469.43</v>
      </c>
      <c r="AK262">
        <v>6269072.6200000001</v>
      </c>
      <c r="AL262">
        <v>4774650.18</v>
      </c>
      <c r="AM262">
        <v>6269072.6200000001</v>
      </c>
      <c r="AN262">
        <v>0</v>
      </c>
      <c r="AO262">
        <v>0</v>
      </c>
      <c r="AP262">
        <f t="shared" si="4"/>
        <v>29.486039311807868</v>
      </c>
    </row>
    <row r="263" spans="1:42" x14ac:dyDescent="0.3">
      <c r="A263" t="s">
        <v>1180</v>
      </c>
      <c r="B263" t="s">
        <v>1205</v>
      </c>
      <c r="C263" t="s">
        <v>1146</v>
      </c>
      <c r="D263" t="s">
        <v>1147</v>
      </c>
      <c r="E263" t="s">
        <v>46</v>
      </c>
      <c r="F263" t="s">
        <v>71</v>
      </c>
      <c r="G263" t="s">
        <v>48</v>
      </c>
      <c r="H263" t="s">
        <v>76</v>
      </c>
      <c r="I263" t="s">
        <v>50</v>
      </c>
      <c r="J263" t="s">
        <v>51</v>
      </c>
      <c r="K263" t="s">
        <v>51</v>
      </c>
      <c r="L263" t="s">
        <v>134</v>
      </c>
      <c r="M263" t="s">
        <v>173</v>
      </c>
      <c r="N263" t="s">
        <v>54</v>
      </c>
      <c r="O263" t="s">
        <v>54</v>
      </c>
      <c r="P263" t="s">
        <v>54</v>
      </c>
      <c r="Q263" t="s">
        <v>1206</v>
      </c>
      <c r="R263" s="1">
        <v>3023117296.27</v>
      </c>
      <c r="S263" s="1">
        <v>262579991.37</v>
      </c>
      <c r="T263" s="1">
        <v>2409384131.54</v>
      </c>
      <c r="U263" s="1">
        <v>3813473.77</v>
      </c>
      <c r="V263" t="s">
        <v>54</v>
      </c>
      <c r="W263">
        <v>828506.55</v>
      </c>
      <c r="X263">
        <v>44970.29</v>
      </c>
      <c r="Y263">
        <v>23459.81</v>
      </c>
      <c r="Z263">
        <v>472452860.83999997</v>
      </c>
      <c r="AA263">
        <v>4495898455.4499998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2225541000</v>
      </c>
      <c r="AK263">
        <v>2487333000</v>
      </c>
      <c r="AL263">
        <v>2225541000</v>
      </c>
      <c r="AM263">
        <v>2487333000</v>
      </c>
      <c r="AN263">
        <v>0</v>
      </c>
      <c r="AO263">
        <v>0</v>
      </c>
      <c r="AP263">
        <f t="shared" si="4"/>
        <v>10.508530508897174</v>
      </c>
    </row>
    <row r="264" spans="1:42" x14ac:dyDescent="0.3">
      <c r="A264" t="s">
        <v>1180</v>
      </c>
      <c r="B264" t="s">
        <v>1207</v>
      </c>
      <c r="C264" t="s">
        <v>1208</v>
      </c>
      <c r="D264" t="s">
        <v>1209</v>
      </c>
      <c r="E264" t="s">
        <v>46</v>
      </c>
      <c r="F264" t="s">
        <v>107</v>
      </c>
      <c r="G264" t="s">
        <v>60</v>
      </c>
      <c r="H264" t="s">
        <v>49</v>
      </c>
      <c r="I264" t="s">
        <v>373</v>
      </c>
      <c r="J264" t="s">
        <v>54</v>
      </c>
      <c r="K264" t="s">
        <v>51</v>
      </c>
      <c r="L264" t="s">
        <v>134</v>
      </c>
      <c r="M264" t="s">
        <v>1210</v>
      </c>
      <c r="N264" t="s">
        <v>54</v>
      </c>
      <c r="O264" t="s">
        <v>54</v>
      </c>
      <c r="P264" t="s">
        <v>54</v>
      </c>
      <c r="Q264" t="s">
        <v>1211</v>
      </c>
      <c r="R264" s="1">
        <v>1950409764</v>
      </c>
      <c r="S264" s="1">
        <v>568118199</v>
      </c>
      <c r="T264" s="1">
        <v>1778371124.3599999</v>
      </c>
      <c r="U264" s="1">
        <v>601985924</v>
      </c>
      <c r="V264" t="s">
        <v>51</v>
      </c>
      <c r="W264">
        <v>715418.74</v>
      </c>
      <c r="X264">
        <v>0</v>
      </c>
      <c r="Y264">
        <v>0</v>
      </c>
      <c r="Z264">
        <v>243027590</v>
      </c>
      <c r="AA264">
        <v>2258409000</v>
      </c>
      <c r="AC264">
        <v>10735810</v>
      </c>
      <c r="AD264">
        <v>0</v>
      </c>
      <c r="AE264">
        <v>0</v>
      </c>
      <c r="AF264">
        <v>0</v>
      </c>
      <c r="AG264">
        <v>0</v>
      </c>
      <c r="AH264">
        <v>113081435</v>
      </c>
      <c r="AI264">
        <v>0</v>
      </c>
      <c r="AJ264">
        <v>926058028</v>
      </c>
      <c r="AK264">
        <v>1037053443</v>
      </c>
      <c r="AL264">
        <v>1095971978</v>
      </c>
      <c r="AM264">
        <v>1226706788</v>
      </c>
      <c r="AN264">
        <v>120000000</v>
      </c>
      <c r="AO264">
        <v>0</v>
      </c>
      <c r="AP264">
        <f t="shared" si="4"/>
        <v>10.761008745537234</v>
      </c>
    </row>
    <row r="265" spans="1:42" x14ac:dyDescent="0.3">
      <c r="A265" t="s">
        <v>1180</v>
      </c>
      <c r="B265" t="s">
        <v>1212</v>
      </c>
      <c r="C265" t="s">
        <v>303</v>
      </c>
      <c r="D265" t="s">
        <v>1213</v>
      </c>
      <c r="E265" t="s">
        <v>46</v>
      </c>
      <c r="F265" t="s">
        <v>75</v>
      </c>
      <c r="G265" t="s">
        <v>60</v>
      </c>
      <c r="H265" t="s">
        <v>49</v>
      </c>
      <c r="I265" t="s">
        <v>50</v>
      </c>
      <c r="J265" t="s">
        <v>51</v>
      </c>
      <c r="K265" t="s">
        <v>51</v>
      </c>
      <c r="L265" t="s">
        <v>134</v>
      </c>
      <c r="M265" t="s">
        <v>278</v>
      </c>
      <c r="N265" t="s">
        <v>54</v>
      </c>
      <c r="O265" t="s">
        <v>54</v>
      </c>
      <c r="P265" t="s">
        <v>51</v>
      </c>
      <c r="Q265" t="s">
        <v>55</v>
      </c>
      <c r="R265" s="1">
        <v>7103944.3200000003</v>
      </c>
      <c r="S265" s="1">
        <v>3224480.22</v>
      </c>
      <c r="T265" s="1">
        <v>6872800.1200000001</v>
      </c>
      <c r="U265" s="1">
        <v>203764.25</v>
      </c>
      <c r="V265" t="s">
        <v>51</v>
      </c>
      <c r="W265">
        <v>190906.36</v>
      </c>
      <c r="X265">
        <v>0</v>
      </c>
      <c r="Y265">
        <v>23166.07</v>
      </c>
      <c r="Z265">
        <v>1187883.8700000001</v>
      </c>
      <c r="AA265">
        <v>14895354.66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93.91</v>
      </c>
      <c r="AK265">
        <v>93.91</v>
      </c>
      <c r="AL265">
        <v>12735232.08</v>
      </c>
      <c r="AM265">
        <v>12735232.08</v>
      </c>
      <c r="AN265">
        <v>1455785.92</v>
      </c>
      <c r="AO265">
        <v>1455785.92</v>
      </c>
      <c r="AP265">
        <f t="shared" si="4"/>
        <v>7.9748612712790559</v>
      </c>
    </row>
    <row r="266" spans="1:42" x14ac:dyDescent="0.3">
      <c r="A266" t="s">
        <v>1180</v>
      </c>
      <c r="B266" t="s">
        <v>1214</v>
      </c>
      <c r="C266" t="s">
        <v>1215</v>
      </c>
      <c r="D266" t="s">
        <v>1216</v>
      </c>
      <c r="E266" t="s">
        <v>46</v>
      </c>
      <c r="F266" t="s">
        <v>409</v>
      </c>
      <c r="G266" t="s">
        <v>60</v>
      </c>
      <c r="H266" t="s">
        <v>49</v>
      </c>
      <c r="I266" t="s">
        <v>373</v>
      </c>
      <c r="J266" t="s">
        <v>54</v>
      </c>
      <c r="K266" t="s">
        <v>51</v>
      </c>
      <c r="L266" t="s">
        <v>134</v>
      </c>
      <c r="M266" t="s">
        <v>1217</v>
      </c>
      <c r="N266" t="s">
        <v>54</v>
      </c>
      <c r="O266" t="s">
        <v>54</v>
      </c>
      <c r="P266" t="s">
        <v>54</v>
      </c>
      <c r="Q266" t="s">
        <v>1218</v>
      </c>
      <c r="R266" s="1">
        <v>10658858000</v>
      </c>
      <c r="S266" s="1">
        <v>940532000</v>
      </c>
      <c r="T266" s="1">
        <v>9504632000</v>
      </c>
      <c r="U266" s="1">
        <v>1264694000</v>
      </c>
      <c r="V266" t="s">
        <v>54</v>
      </c>
      <c r="W266">
        <v>469171.81</v>
      </c>
      <c r="X266">
        <v>27165.040000000001</v>
      </c>
      <c r="Y266">
        <v>65248.81</v>
      </c>
      <c r="Z266">
        <v>715182000</v>
      </c>
      <c r="AA266">
        <v>2932567000</v>
      </c>
      <c r="AC266">
        <v>43675351.340000004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7791201</v>
      </c>
      <c r="AK266">
        <v>7791201</v>
      </c>
      <c r="AL266">
        <v>2480000000</v>
      </c>
      <c r="AM266">
        <v>2480000000</v>
      </c>
      <c r="AN266">
        <v>0</v>
      </c>
      <c r="AO266">
        <v>0</v>
      </c>
      <c r="AP266">
        <f t="shared" si="4"/>
        <v>24.387575799632199</v>
      </c>
    </row>
    <row r="267" spans="1:42" x14ac:dyDescent="0.3">
      <c r="A267" t="s">
        <v>1180</v>
      </c>
      <c r="B267" t="s">
        <v>1219</v>
      </c>
      <c r="C267" t="s">
        <v>1220</v>
      </c>
      <c r="D267" t="s">
        <v>1221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51</v>
      </c>
      <c r="K267" t="s">
        <v>51</v>
      </c>
      <c r="L267" t="s">
        <v>134</v>
      </c>
      <c r="M267" t="s">
        <v>1222</v>
      </c>
      <c r="N267" t="s">
        <v>54</v>
      </c>
      <c r="O267" t="s">
        <v>54</v>
      </c>
      <c r="P267" t="s">
        <v>51</v>
      </c>
      <c r="Q267" t="s">
        <v>55</v>
      </c>
      <c r="R267" s="1">
        <v>191504685.09999999</v>
      </c>
      <c r="S267" s="1">
        <v>124208209.56999999</v>
      </c>
      <c r="T267" s="1">
        <v>206881075.90000001</v>
      </c>
      <c r="U267" s="1">
        <v>8208279.3300000001</v>
      </c>
      <c r="V267" t="s">
        <v>51</v>
      </c>
      <c r="W267">
        <v>703922.31</v>
      </c>
      <c r="X267">
        <v>0</v>
      </c>
      <c r="Y267">
        <v>8938.5</v>
      </c>
      <c r="Z267">
        <v>-13702055.369999999</v>
      </c>
      <c r="AA267">
        <v>36449419.990000002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66288995</v>
      </c>
      <c r="AK267">
        <v>66288995</v>
      </c>
      <c r="AL267">
        <v>66288995</v>
      </c>
      <c r="AM267">
        <v>66288995.5</v>
      </c>
      <c r="AN267">
        <v>18711004.5</v>
      </c>
      <c r="AO267">
        <v>18711004.5</v>
      </c>
      <c r="AP267">
        <f t="shared" si="4"/>
        <v>-37.591970938794624</v>
      </c>
    </row>
    <row r="268" spans="1:42" x14ac:dyDescent="0.3">
      <c r="A268" t="s">
        <v>1180</v>
      </c>
      <c r="B268" t="s">
        <v>1223</v>
      </c>
      <c r="C268" t="s">
        <v>1224</v>
      </c>
      <c r="D268" t="s">
        <v>1225</v>
      </c>
      <c r="E268" t="s">
        <v>46</v>
      </c>
      <c r="F268" t="s">
        <v>162</v>
      </c>
      <c r="G268" t="s">
        <v>60</v>
      </c>
      <c r="H268" t="s">
        <v>49</v>
      </c>
      <c r="I268" t="s">
        <v>50</v>
      </c>
      <c r="J268" t="s">
        <v>51</v>
      </c>
      <c r="K268" t="s">
        <v>51</v>
      </c>
      <c r="L268" t="s">
        <v>134</v>
      </c>
      <c r="M268" t="s">
        <v>405</v>
      </c>
      <c r="N268" t="s">
        <v>54</v>
      </c>
      <c r="O268" t="s">
        <v>54</v>
      </c>
      <c r="P268" t="s">
        <v>51</v>
      </c>
      <c r="Q268" t="s">
        <v>55</v>
      </c>
      <c r="R268" s="1">
        <v>5612971.7199999997</v>
      </c>
      <c r="S268" s="1">
        <v>2130600.34</v>
      </c>
      <c r="T268" s="1">
        <v>6247865.0300000003</v>
      </c>
      <c r="U268" s="1">
        <v>0</v>
      </c>
      <c r="V268" t="s">
        <v>51</v>
      </c>
      <c r="W268">
        <v>216776.28</v>
      </c>
      <c r="X268">
        <v>0</v>
      </c>
      <c r="Y268">
        <v>0</v>
      </c>
      <c r="Z268">
        <v>-1612417.77</v>
      </c>
      <c r="AA268">
        <v>2438926.6800000002</v>
      </c>
      <c r="AC268">
        <v>0</v>
      </c>
      <c r="AD268">
        <v>0</v>
      </c>
      <c r="AE268">
        <v>0</v>
      </c>
      <c r="AF268">
        <v>3651537</v>
      </c>
      <c r="AG268">
        <v>3003619.55</v>
      </c>
      <c r="AH268">
        <v>0</v>
      </c>
      <c r="AI268">
        <v>0</v>
      </c>
      <c r="AJ268">
        <v>2000000</v>
      </c>
      <c r="AK268">
        <v>2000000</v>
      </c>
      <c r="AL268">
        <v>1616016.74</v>
      </c>
      <c r="AM268">
        <v>1616016.74</v>
      </c>
      <c r="AN268">
        <v>10429792.140000001</v>
      </c>
      <c r="AO268">
        <v>12651041.42</v>
      </c>
      <c r="AP268">
        <f t="shared" si="4"/>
        <v>-66.111777087124239</v>
      </c>
    </row>
    <row r="269" spans="1:42" x14ac:dyDescent="0.3">
      <c r="A269" t="s">
        <v>1180</v>
      </c>
      <c r="B269" t="s">
        <v>1226</v>
      </c>
      <c r="C269" t="s">
        <v>1227</v>
      </c>
      <c r="D269" t="s">
        <v>1228</v>
      </c>
      <c r="E269" t="s">
        <v>46</v>
      </c>
      <c r="F269" t="s">
        <v>65</v>
      </c>
      <c r="G269" t="s">
        <v>60</v>
      </c>
      <c r="H269" t="s">
        <v>49</v>
      </c>
      <c r="I269" t="s">
        <v>50</v>
      </c>
      <c r="J269" t="s">
        <v>51</v>
      </c>
      <c r="K269" t="s">
        <v>51</v>
      </c>
      <c r="L269" t="s">
        <v>134</v>
      </c>
      <c r="M269" t="s">
        <v>208</v>
      </c>
      <c r="N269" t="s">
        <v>54</v>
      </c>
      <c r="O269" t="s">
        <v>54</v>
      </c>
      <c r="P269" t="s">
        <v>51</v>
      </c>
      <c r="Q269" t="s">
        <v>55</v>
      </c>
      <c r="R269" s="1">
        <v>94254.8</v>
      </c>
      <c r="S269" s="1">
        <v>82846.39</v>
      </c>
      <c r="T269" s="1">
        <v>139153.54</v>
      </c>
      <c r="U269" s="1">
        <v>0</v>
      </c>
      <c r="V269" t="s">
        <v>51</v>
      </c>
      <c r="W269">
        <v>0</v>
      </c>
      <c r="X269">
        <v>0</v>
      </c>
      <c r="Y269">
        <v>0</v>
      </c>
      <c r="Z269">
        <v>-44898.74</v>
      </c>
      <c r="AA269">
        <v>2227275.89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23272243</v>
      </c>
      <c r="AK269">
        <v>23272243</v>
      </c>
      <c r="AL269">
        <v>23370426.239999998</v>
      </c>
      <c r="AM269">
        <v>23272243</v>
      </c>
      <c r="AN269">
        <v>0</v>
      </c>
      <c r="AO269">
        <v>0</v>
      </c>
      <c r="AP269">
        <f t="shared" si="4"/>
        <v>-2.0158589333986816</v>
      </c>
    </row>
    <row r="270" spans="1:42" x14ac:dyDescent="0.3">
      <c r="A270" t="s">
        <v>1180</v>
      </c>
      <c r="B270" t="s">
        <v>1229</v>
      </c>
      <c r="C270" t="s">
        <v>1230</v>
      </c>
      <c r="D270" t="s">
        <v>1231</v>
      </c>
      <c r="E270" t="s">
        <v>46</v>
      </c>
      <c r="F270" t="s">
        <v>71</v>
      </c>
      <c r="G270" t="s">
        <v>60</v>
      </c>
      <c r="H270" t="s">
        <v>49</v>
      </c>
      <c r="I270" t="s">
        <v>50</v>
      </c>
      <c r="J270" t="s">
        <v>51</v>
      </c>
      <c r="K270" t="s">
        <v>51</v>
      </c>
      <c r="L270" t="s">
        <v>134</v>
      </c>
      <c r="M270" t="s">
        <v>66</v>
      </c>
      <c r="N270" t="s">
        <v>54</v>
      </c>
      <c r="O270" t="s">
        <v>54</v>
      </c>
      <c r="P270" t="s">
        <v>54</v>
      </c>
      <c r="Q270" t="s">
        <v>55</v>
      </c>
      <c r="R270" s="1">
        <v>0</v>
      </c>
      <c r="S270" s="1">
        <v>0</v>
      </c>
      <c r="T270" s="1">
        <v>1399235743.8099999</v>
      </c>
      <c r="U270" s="1">
        <v>0</v>
      </c>
      <c r="V270" t="s">
        <v>51</v>
      </c>
      <c r="W270">
        <v>0</v>
      </c>
      <c r="X270">
        <v>0</v>
      </c>
      <c r="Y270">
        <v>0</v>
      </c>
      <c r="Z270">
        <v>-1399235709</v>
      </c>
      <c r="AA270">
        <v>-12619554620.6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199000</v>
      </c>
      <c r="AK270">
        <v>200000</v>
      </c>
      <c r="AL270">
        <v>82682702.340000004</v>
      </c>
      <c r="AM270">
        <v>82795760.480000004</v>
      </c>
      <c r="AN270">
        <v>117317297.66</v>
      </c>
      <c r="AO270">
        <v>117204239.52</v>
      </c>
      <c r="AP270">
        <f t="shared" si="4"/>
        <v>11.087837495595172</v>
      </c>
    </row>
    <row r="271" spans="1:42" x14ac:dyDescent="0.3">
      <c r="A271" t="s">
        <v>1180</v>
      </c>
      <c r="B271" t="s">
        <v>1232</v>
      </c>
      <c r="C271" t="s">
        <v>1233</v>
      </c>
      <c r="D271" t="s">
        <v>1234</v>
      </c>
      <c r="E271" t="s">
        <v>46</v>
      </c>
      <c r="F271" t="s">
        <v>93</v>
      </c>
      <c r="G271" t="s">
        <v>60</v>
      </c>
      <c r="H271" t="s">
        <v>49</v>
      </c>
      <c r="I271" t="s">
        <v>50</v>
      </c>
      <c r="J271" t="s">
        <v>51</v>
      </c>
      <c r="K271" t="s">
        <v>51</v>
      </c>
      <c r="L271" t="s">
        <v>134</v>
      </c>
      <c r="M271" t="s">
        <v>250</v>
      </c>
      <c r="N271" t="s">
        <v>54</v>
      </c>
      <c r="O271" t="s">
        <v>54</v>
      </c>
      <c r="P271" t="s">
        <v>51</v>
      </c>
      <c r="Q271" t="s">
        <v>55</v>
      </c>
      <c r="R271" s="1">
        <v>36656036.789999999</v>
      </c>
      <c r="S271" s="1">
        <v>2676733.1800000002</v>
      </c>
      <c r="T271" s="1">
        <v>23605589.82</v>
      </c>
      <c r="U271" s="1">
        <v>131978.93</v>
      </c>
      <c r="V271" t="s">
        <v>51</v>
      </c>
      <c r="W271">
        <v>208250.14</v>
      </c>
      <c r="X271">
        <v>0</v>
      </c>
      <c r="Y271">
        <v>0</v>
      </c>
      <c r="Z271">
        <v>55603427.43</v>
      </c>
      <c r="AA271">
        <v>483002777.99000001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20251723.949999999</v>
      </c>
      <c r="AI271">
        <v>25879445.800000001</v>
      </c>
      <c r="AJ271">
        <v>210708078</v>
      </c>
      <c r="AK271">
        <v>230959802</v>
      </c>
      <c r="AL271">
        <v>210708078</v>
      </c>
      <c r="AM271">
        <v>230959802</v>
      </c>
      <c r="AN271">
        <v>6209566</v>
      </c>
      <c r="AO271">
        <v>0</v>
      </c>
      <c r="AP271">
        <f t="shared" si="4"/>
        <v>11.51203056458429</v>
      </c>
    </row>
    <row r="272" spans="1:42" x14ac:dyDescent="0.3">
      <c r="A272" t="s">
        <v>1180</v>
      </c>
      <c r="B272" t="s">
        <v>1235</v>
      </c>
      <c r="C272" t="s">
        <v>1236</v>
      </c>
      <c r="D272" t="s">
        <v>1237</v>
      </c>
      <c r="E272" t="s">
        <v>46</v>
      </c>
      <c r="F272" t="s">
        <v>133</v>
      </c>
      <c r="G272" t="s">
        <v>60</v>
      </c>
      <c r="H272" t="s">
        <v>49</v>
      </c>
      <c r="I272" t="s">
        <v>50</v>
      </c>
      <c r="J272" t="s">
        <v>51</v>
      </c>
      <c r="K272" t="s">
        <v>51</v>
      </c>
      <c r="L272" t="s">
        <v>134</v>
      </c>
      <c r="M272" t="s">
        <v>1238</v>
      </c>
      <c r="N272" t="s">
        <v>54</v>
      </c>
      <c r="O272" t="s">
        <v>54</v>
      </c>
      <c r="P272" t="s">
        <v>54</v>
      </c>
      <c r="Q272" t="s">
        <v>1239</v>
      </c>
      <c r="R272" s="1">
        <v>1676105.32</v>
      </c>
      <c r="S272" s="1">
        <v>12268967.539999999</v>
      </c>
      <c r="T272" s="1">
        <v>13620504.939999999</v>
      </c>
      <c r="U272" s="1">
        <v>225966.04</v>
      </c>
      <c r="V272" t="s">
        <v>51</v>
      </c>
      <c r="W272">
        <v>366323.38</v>
      </c>
      <c r="X272">
        <v>0</v>
      </c>
      <c r="Y272">
        <v>0</v>
      </c>
      <c r="Z272">
        <v>23025716.170000002</v>
      </c>
      <c r="AA272">
        <v>265645884.53999999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4558700.29</v>
      </c>
      <c r="AI272">
        <v>19372673</v>
      </c>
      <c r="AJ272">
        <v>231767692</v>
      </c>
      <c r="AK272">
        <v>251140365</v>
      </c>
      <c r="AL272">
        <v>4558700.29</v>
      </c>
      <c r="AM272">
        <v>19372673</v>
      </c>
      <c r="AN272">
        <v>0</v>
      </c>
      <c r="AO272">
        <v>0</v>
      </c>
      <c r="AP272">
        <f t="shared" si="4"/>
        <v>8.6678234108057008</v>
      </c>
    </row>
    <row r="273" spans="1:42" x14ac:dyDescent="0.3">
      <c r="A273" t="s">
        <v>1240</v>
      </c>
      <c r="B273" t="s">
        <v>1241</v>
      </c>
      <c r="C273" t="s">
        <v>1242</v>
      </c>
      <c r="D273" t="s">
        <v>1243</v>
      </c>
      <c r="E273" t="s">
        <v>46</v>
      </c>
      <c r="F273" t="s">
        <v>93</v>
      </c>
      <c r="G273" t="s">
        <v>60</v>
      </c>
      <c r="H273" t="s">
        <v>49</v>
      </c>
      <c r="I273" t="s">
        <v>373</v>
      </c>
      <c r="J273" t="s">
        <v>51</v>
      </c>
      <c r="K273" t="s">
        <v>51</v>
      </c>
      <c r="L273" t="s">
        <v>52</v>
      </c>
      <c r="M273" t="s">
        <v>108</v>
      </c>
      <c r="N273" t="s">
        <v>54</v>
      </c>
      <c r="O273" t="s">
        <v>54</v>
      </c>
      <c r="P273" t="s">
        <v>51</v>
      </c>
      <c r="Q273" t="s">
        <v>55</v>
      </c>
      <c r="R273" s="1">
        <v>41854042.109999999</v>
      </c>
      <c r="S273" s="1">
        <v>37089430.82</v>
      </c>
      <c r="T273" s="1">
        <v>46818113.979999997</v>
      </c>
      <c r="U273" s="1">
        <v>81443.98</v>
      </c>
      <c r="V273" t="s">
        <v>51</v>
      </c>
      <c r="W273">
        <v>424915.03</v>
      </c>
      <c r="X273">
        <v>0</v>
      </c>
      <c r="Y273">
        <v>0</v>
      </c>
      <c r="Z273">
        <v>-4964071.87</v>
      </c>
      <c r="AA273">
        <v>97712357.120000005</v>
      </c>
      <c r="AB273">
        <v>0</v>
      </c>
      <c r="AC273">
        <v>0</v>
      </c>
      <c r="AD273">
        <v>28966706.260000002</v>
      </c>
      <c r="AE273">
        <v>39425545.789999999</v>
      </c>
      <c r="AF273">
        <v>80795161.310000002</v>
      </c>
      <c r="AG273" s="14">
        <v>90809383.590000004</v>
      </c>
      <c r="AH273">
        <v>0</v>
      </c>
      <c r="AI273">
        <v>0</v>
      </c>
      <c r="AJ273">
        <v>515885165</v>
      </c>
      <c r="AK273">
        <v>515885165</v>
      </c>
      <c r="AL273">
        <v>515936758.60000002</v>
      </c>
      <c r="AM273">
        <v>515936758.60000002</v>
      </c>
      <c r="AN273">
        <v>0</v>
      </c>
      <c r="AO273">
        <v>0</v>
      </c>
      <c r="AP273">
        <f t="shared" si="4"/>
        <v>-5.0802907803192703</v>
      </c>
    </row>
    <row r="274" spans="1:42" x14ac:dyDescent="0.3">
      <c r="A274" t="s">
        <v>1240</v>
      </c>
      <c r="B274" t="s">
        <v>1244</v>
      </c>
      <c r="C274" t="s">
        <v>1245</v>
      </c>
      <c r="D274" t="s">
        <v>1246</v>
      </c>
      <c r="E274" t="s">
        <v>46</v>
      </c>
      <c r="F274" t="s">
        <v>75</v>
      </c>
      <c r="G274" t="s">
        <v>60</v>
      </c>
      <c r="H274" t="s">
        <v>49</v>
      </c>
      <c r="I274" t="s">
        <v>373</v>
      </c>
      <c r="J274" t="s">
        <v>51</v>
      </c>
      <c r="K274" t="s">
        <v>51</v>
      </c>
      <c r="L274" t="s">
        <v>52</v>
      </c>
      <c r="M274" t="s">
        <v>1247</v>
      </c>
      <c r="N274" t="s">
        <v>54</v>
      </c>
      <c r="O274" t="s">
        <v>54</v>
      </c>
      <c r="P274" t="s">
        <v>51</v>
      </c>
      <c r="Q274" t="s">
        <v>55</v>
      </c>
      <c r="R274" s="1">
        <v>4909780.6900000004</v>
      </c>
      <c r="S274" s="1">
        <v>55063965.590000004</v>
      </c>
      <c r="T274" s="1">
        <v>75767208.530000001</v>
      </c>
      <c r="U274" s="1">
        <v>0</v>
      </c>
      <c r="V274" t="s">
        <v>51</v>
      </c>
      <c r="W274">
        <v>265301.78999999998</v>
      </c>
      <c r="X274">
        <v>0</v>
      </c>
      <c r="Y274">
        <v>960020.08</v>
      </c>
      <c r="Z274">
        <v>-452596.22</v>
      </c>
      <c r="AA274">
        <v>2746485.98</v>
      </c>
      <c r="AB274">
        <v>0</v>
      </c>
      <c r="AC274">
        <v>0</v>
      </c>
      <c r="AD274">
        <v>66915177.979999997</v>
      </c>
      <c r="AE274">
        <v>70023781.950000003</v>
      </c>
      <c r="AF274">
        <v>0</v>
      </c>
      <c r="AG274" s="14">
        <v>0</v>
      </c>
      <c r="AH274">
        <v>0</v>
      </c>
      <c r="AI274">
        <v>0</v>
      </c>
      <c r="AJ274">
        <v>55879586.670000002</v>
      </c>
      <c r="AK274">
        <v>55879586.670000002</v>
      </c>
      <c r="AL274">
        <v>96690083.200000003</v>
      </c>
      <c r="AM274">
        <v>96690083.200000003</v>
      </c>
      <c r="AN274">
        <v>0</v>
      </c>
      <c r="AO274">
        <v>0</v>
      </c>
      <c r="AP274">
        <f t="shared" si="4"/>
        <v>-16.479101779358071</v>
      </c>
    </row>
    <row r="275" spans="1:42" x14ac:dyDescent="0.3">
      <c r="A275" t="s">
        <v>1240</v>
      </c>
      <c r="B275" t="s">
        <v>1248</v>
      </c>
      <c r="C275" t="s">
        <v>1249</v>
      </c>
      <c r="D275" t="s">
        <v>1250</v>
      </c>
      <c r="E275" t="s">
        <v>46</v>
      </c>
      <c r="F275" t="s">
        <v>65</v>
      </c>
      <c r="G275" t="s">
        <v>60</v>
      </c>
      <c r="H275" t="s">
        <v>49</v>
      </c>
      <c r="I275" t="s">
        <v>373</v>
      </c>
      <c r="J275" t="s">
        <v>51</v>
      </c>
      <c r="K275" t="s">
        <v>51</v>
      </c>
      <c r="L275" t="s">
        <v>52</v>
      </c>
      <c r="M275" t="s">
        <v>1251</v>
      </c>
      <c r="N275" t="s">
        <v>54</v>
      </c>
      <c r="O275" t="s">
        <v>54</v>
      </c>
      <c r="P275" t="s">
        <v>51</v>
      </c>
      <c r="Q275" t="s">
        <v>55</v>
      </c>
      <c r="R275" s="1">
        <v>49660174.259999998</v>
      </c>
      <c r="S275" s="1">
        <v>31259982.789999999</v>
      </c>
      <c r="T275" s="1">
        <v>53727116.049999997</v>
      </c>
      <c r="U275" s="1">
        <v>2425591.09</v>
      </c>
      <c r="V275" t="s">
        <v>51</v>
      </c>
      <c r="W275">
        <v>461481.86</v>
      </c>
      <c r="X275">
        <v>0</v>
      </c>
      <c r="Y275">
        <v>661550.78</v>
      </c>
      <c r="Z275">
        <v>-4066941.79</v>
      </c>
      <c r="AA275">
        <v>212311284.84999999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117422262</v>
      </c>
      <c r="AK275">
        <v>117422262</v>
      </c>
      <c r="AL275">
        <v>118019938</v>
      </c>
      <c r="AM275">
        <v>118019938</v>
      </c>
      <c r="AN275">
        <v>0</v>
      </c>
      <c r="AO275">
        <v>0</v>
      </c>
      <c r="AP275">
        <f t="shared" si="4"/>
        <v>-1.9155561103939125</v>
      </c>
    </row>
    <row r="276" spans="1:42" x14ac:dyDescent="0.3">
      <c r="A276" t="s">
        <v>1240</v>
      </c>
      <c r="B276" t="s">
        <v>1252</v>
      </c>
      <c r="C276" t="s">
        <v>1253</v>
      </c>
      <c r="D276" t="s">
        <v>1254</v>
      </c>
      <c r="E276" t="s">
        <v>46</v>
      </c>
      <c r="F276" t="s">
        <v>102</v>
      </c>
      <c r="G276" t="s">
        <v>48</v>
      </c>
      <c r="H276" t="s">
        <v>76</v>
      </c>
      <c r="I276" t="s">
        <v>50</v>
      </c>
      <c r="J276" t="s">
        <v>51</v>
      </c>
      <c r="K276" t="s">
        <v>51</v>
      </c>
      <c r="L276" t="s">
        <v>52</v>
      </c>
      <c r="M276" t="s">
        <v>1255</v>
      </c>
      <c r="N276" t="s">
        <v>54</v>
      </c>
      <c r="O276" t="s">
        <v>54</v>
      </c>
      <c r="P276" t="s">
        <v>51</v>
      </c>
      <c r="Q276" t="s">
        <v>1256</v>
      </c>
      <c r="R276" s="1">
        <v>6959001.8200000003</v>
      </c>
      <c r="S276" s="1">
        <v>65033000.490000002</v>
      </c>
      <c r="T276" s="1">
        <v>83665436.25</v>
      </c>
      <c r="U276" s="1">
        <v>1713659.95</v>
      </c>
      <c r="V276" t="s">
        <v>51</v>
      </c>
      <c r="W276">
        <v>291069.59999999998</v>
      </c>
      <c r="X276">
        <v>0</v>
      </c>
      <c r="Y276">
        <v>2266.67</v>
      </c>
      <c r="Z276">
        <v>4571448.83</v>
      </c>
      <c r="AA276">
        <v>-43142226.869999997</v>
      </c>
      <c r="AB276">
        <v>0</v>
      </c>
      <c r="AC276">
        <v>0</v>
      </c>
      <c r="AD276">
        <v>53250877.299999997</v>
      </c>
      <c r="AE276">
        <v>64093517.700000003</v>
      </c>
      <c r="AF276">
        <v>0</v>
      </c>
      <c r="AG276" s="14">
        <v>0</v>
      </c>
      <c r="AH276">
        <v>0</v>
      </c>
      <c r="AI276">
        <v>0</v>
      </c>
      <c r="AJ276">
        <v>0</v>
      </c>
      <c r="AK276">
        <v>0</v>
      </c>
      <c r="AL276">
        <v>37572872.109999999</v>
      </c>
      <c r="AM276">
        <v>37572872.109999999</v>
      </c>
      <c r="AN276">
        <v>0</v>
      </c>
      <c r="AO276">
        <v>0</v>
      </c>
      <c r="AP276">
        <f t="shared" si="4"/>
        <v>-10.596228247037635</v>
      </c>
    </row>
    <row r="277" spans="1:42" x14ac:dyDescent="0.3">
      <c r="A277" t="s">
        <v>1240</v>
      </c>
      <c r="B277" t="s">
        <v>1257</v>
      </c>
      <c r="C277" t="s">
        <v>1258</v>
      </c>
      <c r="D277" t="s">
        <v>1259</v>
      </c>
      <c r="E277" t="s">
        <v>46</v>
      </c>
      <c r="F277" t="s">
        <v>47</v>
      </c>
      <c r="G277" t="s">
        <v>48</v>
      </c>
      <c r="H277" t="s">
        <v>76</v>
      </c>
      <c r="I277" t="s">
        <v>50</v>
      </c>
      <c r="J277" t="s">
        <v>51</v>
      </c>
      <c r="K277" t="s">
        <v>51</v>
      </c>
      <c r="L277" t="s">
        <v>52</v>
      </c>
      <c r="M277" t="s">
        <v>767</v>
      </c>
      <c r="N277" t="s">
        <v>54</v>
      </c>
      <c r="O277" t="s">
        <v>54</v>
      </c>
      <c r="P277" t="s">
        <v>51</v>
      </c>
      <c r="Q277" t="s">
        <v>55</v>
      </c>
      <c r="R277" s="1">
        <v>16685433.67</v>
      </c>
      <c r="S277" s="1">
        <v>10411786.41</v>
      </c>
      <c r="T277" s="1">
        <v>16628194.779999999</v>
      </c>
      <c r="U277" s="1">
        <v>0</v>
      </c>
      <c r="V277" t="s">
        <v>51</v>
      </c>
      <c r="W277">
        <v>344347.47</v>
      </c>
      <c r="X277">
        <v>0</v>
      </c>
      <c r="Y277">
        <v>2016</v>
      </c>
      <c r="Z277">
        <v>57238.89</v>
      </c>
      <c r="AA277">
        <v>8775120.9600000009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8775120.9600000009</v>
      </c>
      <c r="AM277">
        <v>8775120.9600000009</v>
      </c>
      <c r="AN277">
        <v>0</v>
      </c>
      <c r="AO277">
        <v>0</v>
      </c>
      <c r="AP277">
        <f t="shared" si="4"/>
        <v>0.65228605122270578</v>
      </c>
    </row>
    <row r="278" spans="1:42" x14ac:dyDescent="0.3">
      <c r="A278" t="s">
        <v>1240</v>
      </c>
      <c r="B278" t="s">
        <v>1260</v>
      </c>
      <c r="C278" t="s">
        <v>1261</v>
      </c>
      <c r="D278" t="s">
        <v>1262</v>
      </c>
      <c r="E278" t="s">
        <v>46</v>
      </c>
      <c r="F278" t="s">
        <v>162</v>
      </c>
      <c r="G278" t="s">
        <v>60</v>
      </c>
      <c r="H278" t="s">
        <v>49</v>
      </c>
      <c r="I278" t="s">
        <v>50</v>
      </c>
      <c r="J278" t="s">
        <v>51</v>
      </c>
      <c r="K278" t="s">
        <v>51</v>
      </c>
      <c r="L278" t="s">
        <v>52</v>
      </c>
      <c r="M278" t="s">
        <v>754</v>
      </c>
      <c r="N278" t="s">
        <v>54</v>
      </c>
      <c r="O278" t="s">
        <v>54</v>
      </c>
      <c r="P278" t="s">
        <v>51</v>
      </c>
      <c r="Q278" t="s">
        <v>1263</v>
      </c>
      <c r="R278" s="1">
        <v>33670.410000000003</v>
      </c>
      <c r="S278" s="1">
        <v>777408.22</v>
      </c>
      <c r="T278" s="1">
        <v>3502351.34</v>
      </c>
      <c r="U278" s="1">
        <v>0</v>
      </c>
      <c r="V278" t="s">
        <v>51</v>
      </c>
      <c r="W278">
        <v>624933.67000000004</v>
      </c>
      <c r="X278">
        <v>0</v>
      </c>
      <c r="Y278">
        <v>0</v>
      </c>
      <c r="Z278">
        <v>-104097.36</v>
      </c>
      <c r="AA278">
        <v>6609903.0999999996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3025545.3</v>
      </c>
      <c r="AK278">
        <v>3025545.3</v>
      </c>
      <c r="AL278">
        <v>34550951</v>
      </c>
      <c r="AM278">
        <v>34550951</v>
      </c>
      <c r="AN278">
        <v>0</v>
      </c>
      <c r="AO278">
        <v>0</v>
      </c>
      <c r="AP278">
        <f t="shared" si="4"/>
        <v>-1.5748696830366546</v>
      </c>
    </row>
    <row r="279" spans="1:42" x14ac:dyDescent="0.3">
      <c r="A279" t="s">
        <v>1240</v>
      </c>
      <c r="B279" t="s">
        <v>1264</v>
      </c>
      <c r="C279" t="s">
        <v>1265</v>
      </c>
      <c r="D279" t="s">
        <v>1266</v>
      </c>
      <c r="E279" t="s">
        <v>46</v>
      </c>
      <c r="F279" t="s">
        <v>65</v>
      </c>
      <c r="G279" t="s">
        <v>48</v>
      </c>
      <c r="H279" t="s">
        <v>76</v>
      </c>
      <c r="I279" t="s">
        <v>50</v>
      </c>
      <c r="J279" t="s">
        <v>51</v>
      </c>
      <c r="K279" t="s">
        <v>51</v>
      </c>
      <c r="L279" t="s">
        <v>52</v>
      </c>
      <c r="M279" t="s">
        <v>1267</v>
      </c>
      <c r="N279" t="s">
        <v>54</v>
      </c>
      <c r="O279" t="s">
        <v>54</v>
      </c>
      <c r="P279" t="s">
        <v>51</v>
      </c>
      <c r="Q279" t="s">
        <v>1268</v>
      </c>
      <c r="R279" s="1">
        <v>8803791.7400000002</v>
      </c>
      <c r="S279" s="1">
        <v>9425871.8100000005</v>
      </c>
      <c r="T279" s="1">
        <v>9425871.8100000005</v>
      </c>
      <c r="U279" s="1">
        <v>0</v>
      </c>
      <c r="V279" t="s">
        <v>51</v>
      </c>
      <c r="W279">
        <v>428159.33</v>
      </c>
      <c r="X279">
        <v>0</v>
      </c>
      <c r="Y279">
        <v>0</v>
      </c>
      <c r="Z279">
        <v>-622130.69999999995</v>
      </c>
      <c r="AA279">
        <v>-809316.46</v>
      </c>
      <c r="AB279">
        <v>0</v>
      </c>
      <c r="AC279">
        <v>0</v>
      </c>
      <c r="AD279">
        <v>8586982.6999999993</v>
      </c>
      <c r="AE279">
        <v>8803741.7400000002</v>
      </c>
      <c r="AF279">
        <v>0</v>
      </c>
      <c r="AG279" s="14">
        <v>0</v>
      </c>
      <c r="AH279">
        <v>0</v>
      </c>
      <c r="AI279">
        <v>0</v>
      </c>
      <c r="AJ279">
        <v>0</v>
      </c>
      <c r="AK279">
        <v>0</v>
      </c>
      <c r="AL279">
        <v>2395568.41</v>
      </c>
      <c r="AM279">
        <v>2395568.41</v>
      </c>
      <c r="AN279">
        <v>0</v>
      </c>
      <c r="AO279">
        <v>0</v>
      </c>
      <c r="AP279">
        <f t="shared" si="4"/>
        <v>76.871129001873996</v>
      </c>
    </row>
    <row r="280" spans="1:42" x14ac:dyDescent="0.3">
      <c r="A280" t="s">
        <v>1240</v>
      </c>
      <c r="B280" t="s">
        <v>1269</v>
      </c>
      <c r="C280" t="s">
        <v>327</v>
      </c>
      <c r="D280" t="s">
        <v>1270</v>
      </c>
      <c r="E280" t="s">
        <v>46</v>
      </c>
      <c r="F280" t="s">
        <v>65</v>
      </c>
      <c r="G280" t="s">
        <v>60</v>
      </c>
      <c r="H280" t="s">
        <v>49</v>
      </c>
      <c r="I280" t="s">
        <v>50</v>
      </c>
      <c r="J280" t="s">
        <v>51</v>
      </c>
      <c r="K280" t="s">
        <v>51</v>
      </c>
      <c r="L280" t="s">
        <v>52</v>
      </c>
      <c r="M280" t="s">
        <v>66</v>
      </c>
      <c r="N280" t="s">
        <v>54</v>
      </c>
      <c r="O280" t="s">
        <v>54</v>
      </c>
      <c r="P280" t="s">
        <v>51</v>
      </c>
      <c r="Q280" t="s">
        <v>55</v>
      </c>
      <c r="R280" s="1">
        <v>930.9</v>
      </c>
      <c r="S280" s="1">
        <v>0</v>
      </c>
      <c r="T280" s="1">
        <v>124.47</v>
      </c>
      <c r="U280" s="1">
        <v>0</v>
      </c>
      <c r="V280" t="s">
        <v>51</v>
      </c>
      <c r="W280">
        <v>0</v>
      </c>
      <c r="X280">
        <v>0</v>
      </c>
      <c r="Y280">
        <v>0</v>
      </c>
      <c r="Z280">
        <v>806.43</v>
      </c>
      <c r="AA280">
        <v>12608.55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500000</v>
      </c>
      <c r="AK280">
        <v>500000</v>
      </c>
      <c r="AL280">
        <v>83808.72</v>
      </c>
      <c r="AM280">
        <v>84201.71</v>
      </c>
      <c r="AN280">
        <v>416191.28</v>
      </c>
      <c r="AO280">
        <v>415798.29</v>
      </c>
      <c r="AP280">
        <f t="shared" si="4"/>
        <v>6.3958980215805941</v>
      </c>
    </row>
    <row r="281" spans="1:42" x14ac:dyDescent="0.3">
      <c r="A281" t="s">
        <v>1240</v>
      </c>
      <c r="B281" t="s">
        <v>1271</v>
      </c>
      <c r="C281" t="s">
        <v>1272</v>
      </c>
      <c r="D281" t="s">
        <v>1273</v>
      </c>
      <c r="E281" t="s">
        <v>46</v>
      </c>
      <c r="F281" t="s">
        <v>71</v>
      </c>
      <c r="G281" t="s">
        <v>60</v>
      </c>
      <c r="H281" t="s">
        <v>49</v>
      </c>
      <c r="I281" t="s">
        <v>373</v>
      </c>
      <c r="J281" t="s">
        <v>54</v>
      </c>
      <c r="K281" t="s">
        <v>51</v>
      </c>
      <c r="L281" t="s">
        <v>134</v>
      </c>
      <c r="M281" t="s">
        <v>1274</v>
      </c>
      <c r="N281" t="s">
        <v>54</v>
      </c>
      <c r="O281" t="s">
        <v>54</v>
      </c>
      <c r="P281" t="s">
        <v>54</v>
      </c>
      <c r="Q281" t="s">
        <v>1275</v>
      </c>
      <c r="R281" s="1">
        <v>213434642.56999999</v>
      </c>
      <c r="S281" s="1">
        <v>262454580.78999999</v>
      </c>
      <c r="T281" s="1">
        <v>1495156353.78</v>
      </c>
      <c r="U281" s="1">
        <v>35584140</v>
      </c>
      <c r="V281" t="s">
        <v>54</v>
      </c>
      <c r="W281">
        <v>807001.08</v>
      </c>
      <c r="X281">
        <v>19899.45</v>
      </c>
      <c r="Y281">
        <v>29363.08</v>
      </c>
      <c r="Z281">
        <v>146703661.71000001</v>
      </c>
      <c r="AA281">
        <v>810041826.39999998</v>
      </c>
      <c r="AB281">
        <v>477037369.98000002</v>
      </c>
      <c r="AC281">
        <v>40701578.619999997</v>
      </c>
      <c r="AD281">
        <v>0</v>
      </c>
      <c r="AE281">
        <v>0</v>
      </c>
      <c r="AF281">
        <v>0</v>
      </c>
      <c r="AG281">
        <v>0</v>
      </c>
      <c r="AH281">
        <v>56242461.5</v>
      </c>
      <c r="AI281">
        <v>42131126.359999999</v>
      </c>
      <c r="AJ281">
        <v>16205471</v>
      </c>
      <c r="AK281">
        <v>17896581</v>
      </c>
      <c r="AL281">
        <v>519098927.52999997</v>
      </c>
      <c r="AM281">
        <v>561936975.23000002</v>
      </c>
      <c r="AN281">
        <v>0</v>
      </c>
      <c r="AO281">
        <v>0</v>
      </c>
      <c r="AP281">
        <f t="shared" si="4"/>
        <v>18.110627985962481</v>
      </c>
    </row>
    <row r="282" spans="1:42" x14ac:dyDescent="0.3">
      <c r="A282" t="s">
        <v>1240</v>
      </c>
      <c r="B282" t="s">
        <v>1276</v>
      </c>
      <c r="C282" t="s">
        <v>1277</v>
      </c>
      <c r="D282" t="s">
        <v>1278</v>
      </c>
      <c r="E282" t="s">
        <v>46</v>
      </c>
      <c r="F282" t="s">
        <v>65</v>
      </c>
      <c r="G282" t="s">
        <v>60</v>
      </c>
      <c r="H282" t="s">
        <v>49</v>
      </c>
      <c r="I282" t="s">
        <v>50</v>
      </c>
      <c r="J282" t="s">
        <v>51</v>
      </c>
      <c r="K282" t="s">
        <v>51</v>
      </c>
      <c r="L282" t="s">
        <v>134</v>
      </c>
      <c r="M282" t="s">
        <v>1267</v>
      </c>
      <c r="N282" t="s">
        <v>54</v>
      </c>
      <c r="O282" t="s">
        <v>54</v>
      </c>
      <c r="P282" t="s">
        <v>51</v>
      </c>
      <c r="Q282" t="s">
        <v>55</v>
      </c>
      <c r="R282" s="1">
        <v>24751088.140000001</v>
      </c>
      <c r="S282" s="1">
        <v>6197720.4699999997</v>
      </c>
      <c r="T282" s="1">
        <v>15695618.42</v>
      </c>
      <c r="U282" s="1">
        <v>0</v>
      </c>
      <c r="V282" t="s">
        <v>51</v>
      </c>
      <c r="W282">
        <v>240000</v>
      </c>
      <c r="X282">
        <v>0</v>
      </c>
      <c r="Y282">
        <v>0</v>
      </c>
      <c r="Z282">
        <v>6106334.3600000003</v>
      </c>
      <c r="AA282">
        <v>18972574.899999999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7920000</v>
      </c>
      <c r="AK282">
        <v>18000000</v>
      </c>
      <c r="AL282">
        <v>3200000</v>
      </c>
      <c r="AM282">
        <v>12400000</v>
      </c>
      <c r="AN282">
        <v>4720000</v>
      </c>
      <c r="AO282">
        <v>7600000</v>
      </c>
      <c r="AP282">
        <f t="shared" si="4"/>
        <v>32.185058655375244</v>
      </c>
    </row>
    <row r="283" spans="1:42" x14ac:dyDescent="0.3">
      <c r="A283" t="s">
        <v>1240</v>
      </c>
      <c r="B283" t="s">
        <v>1279</v>
      </c>
      <c r="C283" t="s">
        <v>1280</v>
      </c>
      <c r="D283" t="s">
        <v>1281</v>
      </c>
      <c r="E283" t="s">
        <v>46</v>
      </c>
      <c r="F283" t="s">
        <v>107</v>
      </c>
      <c r="G283" t="s">
        <v>60</v>
      </c>
      <c r="H283" t="s">
        <v>49</v>
      </c>
      <c r="I283" t="s">
        <v>50</v>
      </c>
      <c r="J283" t="s">
        <v>51</v>
      </c>
      <c r="K283" t="s">
        <v>51</v>
      </c>
      <c r="L283" t="s">
        <v>134</v>
      </c>
      <c r="M283" t="s">
        <v>1282</v>
      </c>
      <c r="N283" t="s">
        <v>54</v>
      </c>
      <c r="O283" t="s">
        <v>54</v>
      </c>
      <c r="P283" t="s">
        <v>51</v>
      </c>
      <c r="Q283" t="s">
        <v>1283</v>
      </c>
      <c r="R283" s="1">
        <v>862581520</v>
      </c>
      <c r="S283" s="1">
        <v>353715471</v>
      </c>
      <c r="T283" s="1">
        <v>836097071</v>
      </c>
      <c r="U283" s="1">
        <v>172035498</v>
      </c>
      <c r="V283" t="s">
        <v>51</v>
      </c>
      <c r="W283">
        <v>821666.14</v>
      </c>
      <c r="X283">
        <v>0</v>
      </c>
      <c r="Y283">
        <v>26229.29</v>
      </c>
      <c r="Z283">
        <v>10018432</v>
      </c>
      <c r="AA283">
        <v>1999011680</v>
      </c>
      <c r="AB283">
        <v>1302000000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18884886</v>
      </c>
      <c r="AI283">
        <v>58727078</v>
      </c>
      <c r="AJ283">
        <v>14974890260</v>
      </c>
      <c r="AK283">
        <v>14974890260</v>
      </c>
      <c r="AL283">
        <v>1302000000</v>
      </c>
      <c r="AM283">
        <v>1302000000</v>
      </c>
      <c r="AN283">
        <v>680963750</v>
      </c>
      <c r="AO283">
        <v>739690828</v>
      </c>
      <c r="AP283">
        <f t="shared" si="4"/>
        <v>0.50116925780043464</v>
      </c>
    </row>
    <row r="284" spans="1:42" x14ac:dyDescent="0.3">
      <c r="A284" t="s">
        <v>1240</v>
      </c>
      <c r="B284" t="s">
        <v>1284</v>
      </c>
      <c r="C284" t="s">
        <v>1285</v>
      </c>
      <c r="D284" t="s">
        <v>1286</v>
      </c>
      <c r="E284" t="s">
        <v>46</v>
      </c>
      <c r="F284" t="s">
        <v>150</v>
      </c>
      <c r="G284" t="s">
        <v>48</v>
      </c>
      <c r="H284" t="s">
        <v>76</v>
      </c>
      <c r="I284" t="s">
        <v>50</v>
      </c>
      <c r="J284" t="s">
        <v>51</v>
      </c>
      <c r="K284" t="s">
        <v>51</v>
      </c>
      <c r="L284" t="s">
        <v>134</v>
      </c>
      <c r="M284" t="s">
        <v>767</v>
      </c>
      <c r="N284" t="s">
        <v>54</v>
      </c>
      <c r="O284" t="s">
        <v>54</v>
      </c>
      <c r="P284" t="s">
        <v>51</v>
      </c>
      <c r="Q284" t="s">
        <v>55</v>
      </c>
      <c r="R284" s="1">
        <v>7966727.2800000003</v>
      </c>
      <c r="S284" s="1">
        <v>5613146.4299999997</v>
      </c>
      <c r="T284" s="1">
        <v>9234864.2100000009</v>
      </c>
      <c r="U284" s="1">
        <v>0</v>
      </c>
      <c r="V284" t="s">
        <v>51</v>
      </c>
      <c r="W284">
        <v>204999.99</v>
      </c>
      <c r="X284">
        <v>0</v>
      </c>
      <c r="Y284">
        <v>0</v>
      </c>
      <c r="Z284">
        <v>-1268136.93</v>
      </c>
      <c r="AA284">
        <v>480484.25</v>
      </c>
      <c r="AB284">
        <v>0</v>
      </c>
      <c r="AC284">
        <v>0</v>
      </c>
      <c r="AD284">
        <v>0</v>
      </c>
      <c r="AE284">
        <v>0</v>
      </c>
      <c r="AF284">
        <v>1270575.79</v>
      </c>
      <c r="AG284">
        <v>307559.57</v>
      </c>
      <c r="AH284">
        <v>0</v>
      </c>
      <c r="AI284">
        <v>0</v>
      </c>
      <c r="AJ284">
        <v>0</v>
      </c>
      <c r="AK284">
        <v>0</v>
      </c>
      <c r="AL284">
        <v>9000000</v>
      </c>
      <c r="AM284">
        <v>9000000</v>
      </c>
      <c r="AN284">
        <v>0</v>
      </c>
      <c r="AO284">
        <v>0</v>
      </c>
      <c r="AP284">
        <f t="shared" si="4"/>
        <v>-263.92892795133241</v>
      </c>
    </row>
    <row r="285" spans="1:42" x14ac:dyDescent="0.3">
      <c r="A285" t="s">
        <v>1240</v>
      </c>
      <c r="B285" t="s">
        <v>1287</v>
      </c>
      <c r="C285" t="s">
        <v>1288</v>
      </c>
      <c r="D285" t="s">
        <v>1289</v>
      </c>
      <c r="E285" t="s">
        <v>46</v>
      </c>
      <c r="F285" t="s">
        <v>139</v>
      </c>
      <c r="G285" t="s">
        <v>60</v>
      </c>
      <c r="H285" t="s">
        <v>49</v>
      </c>
      <c r="I285" t="s">
        <v>50</v>
      </c>
      <c r="J285" t="s">
        <v>51</v>
      </c>
      <c r="K285" t="s">
        <v>51</v>
      </c>
      <c r="L285" t="s">
        <v>134</v>
      </c>
      <c r="M285" t="s">
        <v>1290</v>
      </c>
      <c r="N285" t="s">
        <v>54</v>
      </c>
      <c r="O285" t="s">
        <v>54</v>
      </c>
      <c r="P285" t="s">
        <v>51</v>
      </c>
      <c r="Q285" t="s">
        <v>1291</v>
      </c>
      <c r="R285" s="1">
        <v>320752760.69</v>
      </c>
      <c r="S285" s="1">
        <v>21014998.030000001</v>
      </c>
      <c r="T285" s="1">
        <v>303508241.69999999</v>
      </c>
      <c r="U285" s="1">
        <v>13266913.619999999</v>
      </c>
      <c r="V285" t="s">
        <v>54</v>
      </c>
      <c r="W285">
        <v>392853.22</v>
      </c>
      <c r="X285">
        <v>30225.24</v>
      </c>
      <c r="Y285">
        <v>0</v>
      </c>
      <c r="Z285">
        <v>28391870.510000002</v>
      </c>
      <c r="AA285">
        <v>193011236.87</v>
      </c>
      <c r="AB285">
        <v>0</v>
      </c>
      <c r="AC285">
        <v>2325260.16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325956.90000000002</v>
      </c>
      <c r="AK285">
        <v>1231139</v>
      </c>
      <c r="AL285">
        <v>45936802.109999999</v>
      </c>
      <c r="AM285">
        <v>50420941.859999999</v>
      </c>
      <c r="AN285">
        <v>0</v>
      </c>
      <c r="AO285">
        <v>0</v>
      </c>
      <c r="AP285">
        <f t="shared" si="4"/>
        <v>14.709957290788694</v>
      </c>
    </row>
    <row r="286" spans="1:42" x14ac:dyDescent="0.3">
      <c r="A286" t="s">
        <v>1292</v>
      </c>
      <c r="B286" t="s">
        <v>1293</v>
      </c>
      <c r="C286" t="s">
        <v>1294</v>
      </c>
      <c r="D286" t="s">
        <v>1295</v>
      </c>
      <c r="E286" t="s">
        <v>46</v>
      </c>
      <c r="F286" t="s">
        <v>314</v>
      </c>
      <c r="G286" t="s">
        <v>48</v>
      </c>
      <c r="H286" t="s">
        <v>49</v>
      </c>
      <c r="I286" t="s">
        <v>50</v>
      </c>
      <c r="J286" t="s">
        <v>51</v>
      </c>
      <c r="K286" t="s">
        <v>51</v>
      </c>
      <c r="L286" t="s">
        <v>52</v>
      </c>
      <c r="M286" t="s">
        <v>1296</v>
      </c>
      <c r="N286" t="s">
        <v>54</v>
      </c>
      <c r="O286" t="s">
        <v>54</v>
      </c>
      <c r="P286" t="s">
        <v>51</v>
      </c>
      <c r="Q286" t="s">
        <v>1297</v>
      </c>
      <c r="R286" s="1">
        <v>48216016</v>
      </c>
      <c r="S286" s="1">
        <v>22163978.370000001</v>
      </c>
      <c r="T286" s="1">
        <v>62798817.689999998</v>
      </c>
      <c r="U286" s="1">
        <v>12560202.73</v>
      </c>
      <c r="V286" t="s">
        <v>51</v>
      </c>
      <c r="W286">
        <v>567131.24</v>
      </c>
      <c r="X286">
        <v>0</v>
      </c>
      <c r="Y286">
        <v>0</v>
      </c>
      <c r="Z286">
        <v>-2544481</v>
      </c>
      <c r="AA286">
        <v>204621432</v>
      </c>
      <c r="AB286">
        <v>0</v>
      </c>
      <c r="AC286">
        <v>0</v>
      </c>
      <c r="AD286">
        <v>8930729</v>
      </c>
      <c r="AE286">
        <v>9360110</v>
      </c>
      <c r="AF286">
        <v>0</v>
      </c>
      <c r="AG286" s="14">
        <v>0</v>
      </c>
      <c r="AH286">
        <v>5434212</v>
      </c>
      <c r="AI286">
        <v>13062155</v>
      </c>
      <c r="AJ286">
        <v>990000</v>
      </c>
      <c r="AK286">
        <v>1000000</v>
      </c>
      <c r="AL286">
        <v>17738161</v>
      </c>
      <c r="AM286">
        <v>309900292.33999997</v>
      </c>
      <c r="AN286">
        <v>292152130.88999999</v>
      </c>
      <c r="AO286">
        <v>13062155</v>
      </c>
      <c r="AP286">
        <f t="shared" si="4"/>
        <v>-1.2435065941675161</v>
      </c>
    </row>
    <row r="287" spans="1:42" x14ac:dyDescent="0.3">
      <c r="A287" t="s">
        <v>1292</v>
      </c>
      <c r="B287" t="s">
        <v>1298</v>
      </c>
      <c r="C287" t="s">
        <v>1299</v>
      </c>
      <c r="D287" t="s">
        <v>1300</v>
      </c>
      <c r="E287" t="s">
        <v>46</v>
      </c>
      <c r="F287" t="s">
        <v>59</v>
      </c>
      <c r="G287" t="s">
        <v>48</v>
      </c>
      <c r="H287" t="s">
        <v>49</v>
      </c>
      <c r="I287" t="s">
        <v>50</v>
      </c>
      <c r="J287" t="s">
        <v>51</v>
      </c>
      <c r="K287" t="s">
        <v>51</v>
      </c>
      <c r="L287" t="s">
        <v>52</v>
      </c>
      <c r="M287" t="s">
        <v>1301</v>
      </c>
      <c r="N287" t="s">
        <v>54</v>
      </c>
      <c r="O287" t="s">
        <v>54</v>
      </c>
      <c r="P287" t="s">
        <v>54</v>
      </c>
      <c r="Q287" t="s">
        <v>1302</v>
      </c>
      <c r="R287" s="1">
        <v>653642847.29999995</v>
      </c>
      <c r="S287" s="1">
        <v>604478647.66999996</v>
      </c>
      <c r="T287" s="1">
        <v>612571124.63</v>
      </c>
      <c r="U287" s="1">
        <v>0</v>
      </c>
      <c r="V287" t="s">
        <v>54</v>
      </c>
      <c r="W287">
        <v>479441.1</v>
      </c>
      <c r="X287">
        <v>13488.35</v>
      </c>
      <c r="Y287">
        <v>16972.62</v>
      </c>
      <c r="Z287">
        <v>40283654.439999998</v>
      </c>
      <c r="AA287">
        <v>97668068.890000001</v>
      </c>
      <c r="AB287">
        <v>0</v>
      </c>
      <c r="AC287">
        <v>0</v>
      </c>
      <c r="AD287">
        <v>123893945</v>
      </c>
      <c r="AE287">
        <v>129056000</v>
      </c>
      <c r="AF287">
        <v>0</v>
      </c>
      <c r="AG287" s="14">
        <v>0</v>
      </c>
      <c r="AH287">
        <v>800000</v>
      </c>
      <c r="AI287">
        <v>0</v>
      </c>
      <c r="AJ287">
        <v>5679213019</v>
      </c>
      <c r="AK287">
        <v>5679213019</v>
      </c>
      <c r="AL287">
        <v>170376390.56</v>
      </c>
      <c r="AM287">
        <v>170376390.56</v>
      </c>
      <c r="AN287">
        <v>0</v>
      </c>
      <c r="AO287">
        <v>0</v>
      </c>
      <c r="AP287">
        <f t="shared" si="4"/>
        <v>41.245470395621332</v>
      </c>
    </row>
    <row r="288" spans="1:42" x14ac:dyDescent="0.3">
      <c r="A288" t="s">
        <v>1292</v>
      </c>
      <c r="B288" t="s">
        <v>1303</v>
      </c>
      <c r="C288" t="s">
        <v>1304</v>
      </c>
      <c r="D288" t="s">
        <v>1305</v>
      </c>
      <c r="E288" t="s">
        <v>46</v>
      </c>
      <c r="F288" t="s">
        <v>240</v>
      </c>
      <c r="G288" t="s">
        <v>48</v>
      </c>
      <c r="H288" t="s">
        <v>49</v>
      </c>
      <c r="I288" t="s">
        <v>50</v>
      </c>
      <c r="J288" t="s">
        <v>51</v>
      </c>
      <c r="K288" t="s">
        <v>51</v>
      </c>
      <c r="L288" t="s">
        <v>52</v>
      </c>
      <c r="M288" t="s">
        <v>1306</v>
      </c>
      <c r="N288" t="s">
        <v>54</v>
      </c>
      <c r="O288" t="s">
        <v>54</v>
      </c>
      <c r="P288" t="s">
        <v>54</v>
      </c>
      <c r="Q288" t="s">
        <v>1307</v>
      </c>
      <c r="R288" s="1">
        <v>2574207735.6199999</v>
      </c>
      <c r="S288" s="1">
        <v>1133074992.8099999</v>
      </c>
      <c r="T288" s="1">
        <v>3147814273.3499999</v>
      </c>
      <c r="U288" s="1">
        <v>372877390.24000001</v>
      </c>
      <c r="V288" t="s">
        <v>54</v>
      </c>
      <c r="W288">
        <v>459552.33</v>
      </c>
      <c r="X288">
        <v>21152.880000000001</v>
      </c>
      <c r="Y288">
        <v>19711.830000000002</v>
      </c>
      <c r="Z288">
        <v>-548444471.86000001</v>
      </c>
      <c r="AA288">
        <v>10592909948.690001</v>
      </c>
      <c r="AB288">
        <v>0</v>
      </c>
      <c r="AC288">
        <v>0</v>
      </c>
      <c r="AD288">
        <v>805279349.66999996</v>
      </c>
      <c r="AE288">
        <v>876529143.13999999</v>
      </c>
      <c r="AF288">
        <v>0</v>
      </c>
      <c r="AG288" s="14">
        <v>0</v>
      </c>
      <c r="AH288">
        <v>851079110.13999999</v>
      </c>
      <c r="AI288">
        <v>627785617.35000002</v>
      </c>
      <c r="AJ288">
        <v>684688052065</v>
      </c>
      <c r="AK288">
        <v>747299728207</v>
      </c>
      <c r="AL288">
        <v>19395132517.889999</v>
      </c>
      <c r="AM288">
        <v>20246211628.029999</v>
      </c>
      <c r="AN288">
        <v>0</v>
      </c>
      <c r="AO288">
        <v>0</v>
      </c>
      <c r="AP288">
        <f t="shared" si="4"/>
        <v>-5.1774675185247352</v>
      </c>
    </row>
    <row r="289" spans="1:42" x14ac:dyDescent="0.3">
      <c r="A289" t="s">
        <v>1292</v>
      </c>
      <c r="B289" t="s">
        <v>1308</v>
      </c>
      <c r="C289" t="s">
        <v>1309</v>
      </c>
      <c r="D289" t="s">
        <v>1310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51</v>
      </c>
      <c r="K289" t="s">
        <v>51</v>
      </c>
      <c r="L289" t="s">
        <v>52</v>
      </c>
      <c r="M289" t="s">
        <v>1311</v>
      </c>
      <c r="N289" t="s">
        <v>54</v>
      </c>
      <c r="O289" t="s">
        <v>54</v>
      </c>
      <c r="P289" t="s">
        <v>54</v>
      </c>
      <c r="Q289" t="s">
        <v>1312</v>
      </c>
      <c r="R289" s="1">
        <v>187183804.68000001</v>
      </c>
      <c r="S289" s="1">
        <v>142332687.44</v>
      </c>
      <c r="T289" s="1">
        <v>203401523.36000001</v>
      </c>
      <c r="U289" s="1">
        <v>16965470.02</v>
      </c>
      <c r="V289" t="s">
        <v>51</v>
      </c>
      <c r="W289">
        <v>631506.31999999995</v>
      </c>
      <c r="X289">
        <v>0</v>
      </c>
      <c r="Y289">
        <v>0</v>
      </c>
      <c r="Z289">
        <v>-6232622.54</v>
      </c>
      <c r="AA289">
        <v>98484869.010000005</v>
      </c>
      <c r="AB289">
        <v>0</v>
      </c>
      <c r="AC289">
        <v>0</v>
      </c>
      <c r="AD289">
        <v>106095097.88</v>
      </c>
      <c r="AE289">
        <v>117606542.15000001</v>
      </c>
      <c r="AF289">
        <v>0</v>
      </c>
      <c r="AG289" s="14">
        <v>0</v>
      </c>
      <c r="AH289">
        <v>13539378.48</v>
      </c>
      <c r="AI289">
        <v>16965470.02</v>
      </c>
      <c r="AJ289">
        <v>28953375559</v>
      </c>
      <c r="AK289">
        <v>30307326683</v>
      </c>
      <c r="AL289">
        <v>289553755.58999997</v>
      </c>
      <c r="AM289">
        <v>303073266.82999998</v>
      </c>
      <c r="AN289">
        <v>0</v>
      </c>
      <c r="AO289">
        <v>0</v>
      </c>
      <c r="AP289">
        <f t="shared" si="4"/>
        <v>-6.3285077216959582</v>
      </c>
    </row>
    <row r="290" spans="1:42" x14ac:dyDescent="0.3">
      <c r="A290" t="s">
        <v>1292</v>
      </c>
      <c r="B290" t="s">
        <v>1313</v>
      </c>
      <c r="C290" t="s">
        <v>1314</v>
      </c>
      <c r="D290" t="s">
        <v>1315</v>
      </c>
      <c r="E290" t="s">
        <v>46</v>
      </c>
      <c r="F290" t="s">
        <v>240</v>
      </c>
      <c r="G290" t="s">
        <v>48</v>
      </c>
      <c r="H290" t="s">
        <v>49</v>
      </c>
      <c r="I290" t="s">
        <v>373</v>
      </c>
      <c r="J290" t="s">
        <v>51</v>
      </c>
      <c r="K290" t="s">
        <v>51</v>
      </c>
      <c r="L290" t="s">
        <v>52</v>
      </c>
      <c r="M290" t="s">
        <v>1316</v>
      </c>
      <c r="N290" t="s">
        <v>54</v>
      </c>
      <c r="O290" t="s">
        <v>54</v>
      </c>
      <c r="P290" t="s">
        <v>54</v>
      </c>
      <c r="Q290" t="s">
        <v>1317</v>
      </c>
      <c r="R290" s="1">
        <v>3019972709.1999998</v>
      </c>
      <c r="S290" s="1">
        <v>1872264068.79</v>
      </c>
      <c r="T290" s="1">
        <v>7522397992.3599997</v>
      </c>
      <c r="U290" s="1">
        <v>4076179000</v>
      </c>
      <c r="V290" t="s">
        <v>54</v>
      </c>
      <c r="W290">
        <v>553664.75</v>
      </c>
      <c r="X290">
        <v>8266.75</v>
      </c>
      <c r="Y290">
        <v>21710.240000000002</v>
      </c>
      <c r="Z290">
        <v>-347519070.47000003</v>
      </c>
      <c r="AA290">
        <v>40829323832.699997</v>
      </c>
      <c r="AB290">
        <v>0</v>
      </c>
      <c r="AC290">
        <v>0</v>
      </c>
      <c r="AD290">
        <v>317976248.06999999</v>
      </c>
      <c r="AE290">
        <v>0</v>
      </c>
      <c r="AF290">
        <v>0</v>
      </c>
      <c r="AG290">
        <v>0</v>
      </c>
      <c r="AH290">
        <v>2713990757.3499999</v>
      </c>
      <c r="AI290">
        <v>4087644406.6500001</v>
      </c>
      <c r="AJ290">
        <v>8906665</v>
      </c>
      <c r="AK290">
        <v>9905781</v>
      </c>
      <c r="AL290">
        <v>47325113492.68</v>
      </c>
      <c r="AM290">
        <v>51412757899.330002</v>
      </c>
      <c r="AN290">
        <v>0</v>
      </c>
      <c r="AO290">
        <v>0</v>
      </c>
      <c r="AP290">
        <f t="shared" si="4"/>
        <v>-0.85115068741763911</v>
      </c>
    </row>
    <row r="291" spans="1:42" x14ac:dyDescent="0.3">
      <c r="A291" t="s">
        <v>1292</v>
      </c>
      <c r="B291" t="s">
        <v>1318</v>
      </c>
      <c r="C291" t="s">
        <v>1319</v>
      </c>
      <c r="D291" t="s">
        <v>1320</v>
      </c>
      <c r="E291" t="s">
        <v>46</v>
      </c>
      <c r="F291" t="s">
        <v>93</v>
      </c>
      <c r="G291" t="s">
        <v>48</v>
      </c>
      <c r="H291" t="s">
        <v>49</v>
      </c>
      <c r="I291" t="s">
        <v>50</v>
      </c>
      <c r="J291" t="s">
        <v>51</v>
      </c>
      <c r="K291" t="s">
        <v>51</v>
      </c>
      <c r="L291" t="s">
        <v>134</v>
      </c>
      <c r="M291" t="s">
        <v>1321</v>
      </c>
      <c r="N291" t="s">
        <v>54</v>
      </c>
      <c r="O291" t="s">
        <v>54</v>
      </c>
      <c r="P291" t="s">
        <v>54</v>
      </c>
      <c r="Q291" t="s">
        <v>55</v>
      </c>
      <c r="R291" s="1">
        <v>2465769000</v>
      </c>
      <c r="S291" s="1">
        <v>131075302.94</v>
      </c>
      <c r="T291" s="1">
        <v>2445126991.0700002</v>
      </c>
      <c r="U291" s="1">
        <v>2110353478.0599999</v>
      </c>
      <c r="V291" t="s">
        <v>54</v>
      </c>
      <c r="W291">
        <v>437269.43</v>
      </c>
      <c r="X291">
        <v>24632.32</v>
      </c>
      <c r="Y291">
        <v>0</v>
      </c>
      <c r="Z291">
        <v>-1046612000</v>
      </c>
      <c r="AA291">
        <v>11985440000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540000000</v>
      </c>
      <c r="AI291">
        <v>1646836915</v>
      </c>
      <c r="AJ291">
        <v>25428041905</v>
      </c>
      <c r="AK291">
        <v>27507202487</v>
      </c>
      <c r="AL291">
        <v>18030419599.810001</v>
      </c>
      <c r="AM291">
        <v>18570419599.91</v>
      </c>
      <c r="AN291">
        <v>540000000</v>
      </c>
      <c r="AO291">
        <v>1646836915</v>
      </c>
      <c r="AP291">
        <f t="shared" si="4"/>
        <v>-8.7323619324780726</v>
      </c>
    </row>
    <row r="292" spans="1:42" x14ac:dyDescent="0.3">
      <c r="A292" t="s">
        <v>1292</v>
      </c>
      <c r="B292" t="s">
        <v>1322</v>
      </c>
      <c r="C292" t="s">
        <v>1323</v>
      </c>
      <c r="D292" t="s">
        <v>1324</v>
      </c>
      <c r="E292" t="s">
        <v>46</v>
      </c>
      <c r="F292" t="s">
        <v>133</v>
      </c>
      <c r="G292" t="s">
        <v>48</v>
      </c>
      <c r="H292" t="s">
        <v>49</v>
      </c>
      <c r="I292" t="s">
        <v>50</v>
      </c>
      <c r="J292" t="s">
        <v>51</v>
      </c>
      <c r="K292" t="s">
        <v>51</v>
      </c>
      <c r="L292" t="s">
        <v>134</v>
      </c>
      <c r="M292" t="s">
        <v>466</v>
      </c>
      <c r="N292" t="s">
        <v>54</v>
      </c>
      <c r="O292" t="s">
        <v>54</v>
      </c>
      <c r="P292" t="s">
        <v>51</v>
      </c>
      <c r="Q292" t="s">
        <v>55</v>
      </c>
      <c r="R292" s="1">
        <v>21610201</v>
      </c>
      <c r="S292" s="1">
        <v>3570902.31</v>
      </c>
      <c r="T292" s="1">
        <v>4342813.1100000003</v>
      </c>
      <c r="U292" s="1">
        <v>0</v>
      </c>
      <c r="V292" t="s">
        <v>54</v>
      </c>
      <c r="W292">
        <v>385400.6</v>
      </c>
      <c r="X292">
        <v>197453.82</v>
      </c>
      <c r="Y292">
        <v>0</v>
      </c>
      <c r="Z292">
        <v>178742070.13999999</v>
      </c>
      <c r="AA292">
        <v>1993027973</v>
      </c>
      <c r="AB292">
        <v>0</v>
      </c>
      <c r="AC292">
        <v>188967896</v>
      </c>
      <c r="AD292">
        <v>0</v>
      </c>
      <c r="AE292">
        <v>0</v>
      </c>
      <c r="AF292">
        <v>0</v>
      </c>
      <c r="AG292">
        <v>0</v>
      </c>
      <c r="AH292">
        <v>30000000</v>
      </c>
      <c r="AI292">
        <v>0</v>
      </c>
      <c r="AJ292">
        <v>1539619815</v>
      </c>
      <c r="AK292">
        <v>1539619815</v>
      </c>
      <c r="AL292">
        <v>1539619815.1900001</v>
      </c>
      <c r="AM292">
        <v>1539619815.1900001</v>
      </c>
      <c r="AN292">
        <v>0</v>
      </c>
      <c r="AO292">
        <v>0</v>
      </c>
      <c r="AP292">
        <f t="shared" si="4"/>
        <v>8.9683673566783408</v>
      </c>
    </row>
    <row r="293" spans="1:42" x14ac:dyDescent="0.3">
      <c r="A293" t="s">
        <v>1292</v>
      </c>
      <c r="B293" t="s">
        <v>1325</v>
      </c>
      <c r="C293" t="s">
        <v>1326</v>
      </c>
      <c r="D293" t="s">
        <v>1327</v>
      </c>
      <c r="E293" t="s">
        <v>46</v>
      </c>
      <c r="F293" t="s">
        <v>71</v>
      </c>
      <c r="G293" t="s">
        <v>48</v>
      </c>
      <c r="H293" t="s">
        <v>49</v>
      </c>
      <c r="I293" t="s">
        <v>373</v>
      </c>
      <c r="J293" t="s">
        <v>51</v>
      </c>
      <c r="K293" t="s">
        <v>51</v>
      </c>
      <c r="L293" t="s">
        <v>134</v>
      </c>
      <c r="M293" t="s">
        <v>125</v>
      </c>
      <c r="N293" t="s">
        <v>54</v>
      </c>
      <c r="O293" t="s">
        <v>54</v>
      </c>
      <c r="P293" t="s">
        <v>51</v>
      </c>
      <c r="Q293" t="s">
        <v>1328</v>
      </c>
      <c r="R293" s="1">
        <v>11073474.119999999</v>
      </c>
      <c r="S293" s="1">
        <v>641663.06000000006</v>
      </c>
      <c r="T293" s="1">
        <v>10525338.32</v>
      </c>
      <c r="U293" s="1">
        <v>0</v>
      </c>
      <c r="V293" t="s">
        <v>54</v>
      </c>
      <c r="W293">
        <v>270127.84999999998</v>
      </c>
      <c r="X293">
        <v>0</v>
      </c>
      <c r="Y293">
        <v>6185.93</v>
      </c>
      <c r="Z293">
        <v>24495157.789999999</v>
      </c>
      <c r="AA293">
        <v>216544888.27000001</v>
      </c>
      <c r="AB293">
        <v>0</v>
      </c>
      <c r="AC293">
        <v>11761704.73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2830121</v>
      </c>
      <c r="AK293">
        <v>1999410</v>
      </c>
      <c r="AL293">
        <v>283012100</v>
      </c>
      <c r="AM293">
        <v>199941000</v>
      </c>
      <c r="AN293">
        <v>0</v>
      </c>
      <c r="AO293">
        <v>0</v>
      </c>
      <c r="AP293">
        <f t="shared" si="4"/>
        <v>11.311815294138043</v>
      </c>
    </row>
    <row r="294" spans="1:42" x14ac:dyDescent="0.3">
      <c r="A294" t="s">
        <v>1292</v>
      </c>
      <c r="B294" t="s">
        <v>1329</v>
      </c>
      <c r="C294" t="s">
        <v>1330</v>
      </c>
      <c r="D294" t="s">
        <v>1331</v>
      </c>
      <c r="E294" t="s">
        <v>46</v>
      </c>
      <c r="F294" t="s">
        <v>71</v>
      </c>
      <c r="G294" t="s">
        <v>48</v>
      </c>
      <c r="H294" t="s">
        <v>49</v>
      </c>
      <c r="I294" t="s">
        <v>50</v>
      </c>
      <c r="J294" t="s">
        <v>51</v>
      </c>
      <c r="K294" t="s">
        <v>51</v>
      </c>
      <c r="L294" t="s">
        <v>134</v>
      </c>
      <c r="M294" t="s">
        <v>103</v>
      </c>
      <c r="N294" t="s">
        <v>54</v>
      </c>
      <c r="O294" t="s">
        <v>54</v>
      </c>
      <c r="P294" t="s">
        <v>54</v>
      </c>
      <c r="Q294" t="s">
        <v>1332</v>
      </c>
      <c r="R294" s="1">
        <v>581666515.64999998</v>
      </c>
      <c r="S294" s="1">
        <v>64705125.450000003</v>
      </c>
      <c r="T294" s="1">
        <v>497429447.92000002</v>
      </c>
      <c r="U294" s="1">
        <v>0</v>
      </c>
      <c r="V294" t="s">
        <v>54</v>
      </c>
      <c r="W294">
        <v>738792.37</v>
      </c>
      <c r="X294">
        <v>53639.88</v>
      </c>
      <c r="Y294">
        <v>111110.37</v>
      </c>
      <c r="Z294">
        <v>186778991.84</v>
      </c>
      <c r="AA294">
        <v>3394687945.1799998</v>
      </c>
      <c r="AB294">
        <v>0</v>
      </c>
      <c r="AC294">
        <v>196376911.72999999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2728157414</v>
      </c>
      <c r="AK294">
        <v>2728157414</v>
      </c>
      <c r="AL294">
        <v>3156469427.02</v>
      </c>
      <c r="AM294">
        <v>3156469427.02</v>
      </c>
      <c r="AN294">
        <v>0</v>
      </c>
      <c r="AO294">
        <v>0</v>
      </c>
      <c r="AP294">
        <f t="shared" si="4"/>
        <v>5.5020960646825001</v>
      </c>
    </row>
    <row r="295" spans="1:42" x14ac:dyDescent="0.3">
      <c r="A295" t="s">
        <v>1292</v>
      </c>
      <c r="B295" t="s">
        <v>1333</v>
      </c>
      <c r="C295" t="s">
        <v>1334</v>
      </c>
      <c r="D295" t="s">
        <v>1335</v>
      </c>
      <c r="E295" t="s">
        <v>46</v>
      </c>
      <c r="F295" t="s">
        <v>240</v>
      </c>
      <c r="G295" t="s">
        <v>48</v>
      </c>
      <c r="H295" t="s">
        <v>49</v>
      </c>
      <c r="I295" t="s">
        <v>50</v>
      </c>
      <c r="J295" t="s">
        <v>51</v>
      </c>
      <c r="K295" t="s">
        <v>51</v>
      </c>
      <c r="L295" t="s">
        <v>134</v>
      </c>
      <c r="M295" t="s">
        <v>1336</v>
      </c>
      <c r="N295" t="s">
        <v>54</v>
      </c>
      <c r="O295" t="s">
        <v>54</v>
      </c>
      <c r="P295" t="s">
        <v>54</v>
      </c>
      <c r="Q295" t="s">
        <v>1337</v>
      </c>
      <c r="R295" s="1">
        <v>154264536.59999999</v>
      </c>
      <c r="S295" s="1">
        <v>750734485.47000003</v>
      </c>
      <c r="T295" s="1">
        <v>1391229735.25</v>
      </c>
      <c r="U295" s="1">
        <v>313998069.75</v>
      </c>
      <c r="V295" t="s">
        <v>54</v>
      </c>
      <c r="W295">
        <v>446329.79</v>
      </c>
      <c r="X295">
        <v>8266.75</v>
      </c>
      <c r="Y295">
        <v>16828.36</v>
      </c>
      <c r="Z295">
        <v>-24968868.98</v>
      </c>
      <c r="AA295">
        <v>2585075816.6399999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63542096.18</v>
      </c>
      <c r="AI295">
        <v>250455905.99000001</v>
      </c>
      <c r="AJ295">
        <v>256655104581</v>
      </c>
      <c r="AK295">
        <v>284502249518</v>
      </c>
      <c r="AL295">
        <v>2566551045.8099999</v>
      </c>
      <c r="AM295">
        <v>2845022494.3800001</v>
      </c>
      <c r="AN295">
        <v>331322181.05000001</v>
      </c>
      <c r="AO295">
        <v>366848802.23000002</v>
      </c>
      <c r="AP295">
        <f t="shared" si="4"/>
        <v>-0.96588536472612052</v>
      </c>
    </row>
    <row r="296" spans="1:42" x14ac:dyDescent="0.3">
      <c r="A296" t="s">
        <v>1292</v>
      </c>
      <c r="B296" t="s">
        <v>1338</v>
      </c>
      <c r="C296" t="s">
        <v>1339</v>
      </c>
      <c r="D296" t="s">
        <v>1340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51</v>
      </c>
      <c r="K296" t="s">
        <v>51</v>
      </c>
      <c r="L296" t="s">
        <v>134</v>
      </c>
      <c r="M296" t="s">
        <v>1341</v>
      </c>
      <c r="N296" t="s">
        <v>54</v>
      </c>
      <c r="O296" t="s">
        <v>54</v>
      </c>
      <c r="P296" t="s">
        <v>54</v>
      </c>
      <c r="Q296" t="s">
        <v>1342</v>
      </c>
      <c r="R296" s="1">
        <v>2231633654.8400002</v>
      </c>
      <c r="S296" s="1">
        <v>564268062.80999994</v>
      </c>
      <c r="T296" s="1">
        <v>2130376083.25</v>
      </c>
      <c r="U296" s="1">
        <v>386699568.70999998</v>
      </c>
      <c r="V296" t="s">
        <v>54</v>
      </c>
      <c r="W296">
        <v>837082.09</v>
      </c>
      <c r="X296">
        <v>44901.96</v>
      </c>
      <c r="Y296">
        <v>0</v>
      </c>
      <c r="Z296">
        <v>101257571.59</v>
      </c>
      <c r="AA296">
        <v>868887186.07000005</v>
      </c>
      <c r="AB296">
        <v>0</v>
      </c>
      <c r="AC296">
        <v>46430210.479999997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12410805</v>
      </c>
      <c r="AK296">
        <v>12410805</v>
      </c>
      <c r="AL296">
        <v>666490179.50999999</v>
      </c>
      <c r="AM296">
        <v>742900565.27999997</v>
      </c>
      <c r="AN296">
        <v>0</v>
      </c>
      <c r="AO296">
        <v>0</v>
      </c>
      <c r="AP296">
        <f t="shared" si="4"/>
        <v>11.653707548386196</v>
      </c>
    </row>
    <row r="297" spans="1:42" x14ac:dyDescent="0.3">
      <c r="A297" t="s">
        <v>1343</v>
      </c>
      <c r="B297" t="s">
        <v>1344</v>
      </c>
      <c r="C297" t="s">
        <v>941</v>
      </c>
      <c r="D297" t="s">
        <v>1345</v>
      </c>
      <c r="E297" t="s">
        <v>46</v>
      </c>
      <c r="F297" t="s">
        <v>71</v>
      </c>
      <c r="G297" t="s">
        <v>60</v>
      </c>
      <c r="H297" t="s">
        <v>49</v>
      </c>
      <c r="I297" t="s">
        <v>50</v>
      </c>
      <c r="J297" t="s">
        <v>51</v>
      </c>
      <c r="K297" t="s">
        <v>51</v>
      </c>
      <c r="L297" t="s">
        <v>134</v>
      </c>
      <c r="M297" t="s">
        <v>1346</v>
      </c>
      <c r="N297" t="s">
        <v>54</v>
      </c>
      <c r="O297" t="s">
        <v>54</v>
      </c>
      <c r="P297" t="s">
        <v>54</v>
      </c>
      <c r="Q297" t="s">
        <v>55</v>
      </c>
      <c r="R297" s="1">
        <v>10831819.5</v>
      </c>
      <c r="S297" s="1">
        <v>4018686.84</v>
      </c>
      <c r="T297" s="1">
        <v>10243241.32</v>
      </c>
      <c r="U297" s="1">
        <v>101000</v>
      </c>
      <c r="V297" t="s">
        <v>51</v>
      </c>
      <c r="W297">
        <v>196989.94</v>
      </c>
      <c r="X297">
        <v>0</v>
      </c>
      <c r="Y297">
        <v>82053.899999999994</v>
      </c>
      <c r="Z297">
        <v>588578.63</v>
      </c>
      <c r="AA297">
        <v>35296986.700000003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1509054.3</v>
      </c>
      <c r="AI297">
        <v>1582604.6</v>
      </c>
      <c r="AJ297">
        <v>5964000</v>
      </c>
      <c r="AK297">
        <v>5964000</v>
      </c>
      <c r="AL297">
        <v>52823857.210000001</v>
      </c>
      <c r="AM297">
        <v>54396966.210000001</v>
      </c>
      <c r="AN297">
        <v>156212.06</v>
      </c>
      <c r="AO297">
        <v>165707.66</v>
      </c>
      <c r="AP297">
        <f t="shared" si="4"/>
        <v>1.6675039005525079</v>
      </c>
    </row>
    <row r="298" spans="1:42" x14ac:dyDescent="0.3">
      <c r="A298" t="s">
        <v>1343</v>
      </c>
      <c r="B298" t="s">
        <v>1347</v>
      </c>
      <c r="C298" t="s">
        <v>1348</v>
      </c>
      <c r="D298" t="s">
        <v>1349</v>
      </c>
      <c r="E298" t="s">
        <v>46</v>
      </c>
      <c r="F298" t="s">
        <v>224</v>
      </c>
      <c r="G298" t="s">
        <v>60</v>
      </c>
      <c r="H298" t="s">
        <v>49</v>
      </c>
      <c r="I298" t="s">
        <v>50</v>
      </c>
      <c r="J298" t="s">
        <v>51</v>
      </c>
      <c r="K298" t="s">
        <v>51</v>
      </c>
      <c r="L298" t="s">
        <v>134</v>
      </c>
      <c r="M298" t="s">
        <v>300</v>
      </c>
      <c r="N298" t="s">
        <v>54</v>
      </c>
      <c r="O298" t="s">
        <v>54</v>
      </c>
      <c r="P298" t="s">
        <v>54</v>
      </c>
      <c r="Q298" t="s">
        <v>55</v>
      </c>
      <c r="R298" s="1">
        <v>4976803.3600000003</v>
      </c>
      <c r="S298" s="1">
        <v>2136852.11</v>
      </c>
      <c r="T298" s="1">
        <v>3918136.07</v>
      </c>
      <c r="U298" s="1">
        <v>1156576.95</v>
      </c>
      <c r="V298" t="s">
        <v>51</v>
      </c>
      <c r="W298">
        <v>327600</v>
      </c>
      <c r="X298">
        <v>0</v>
      </c>
      <c r="Y298">
        <v>0</v>
      </c>
      <c r="Z298">
        <v>465147.98</v>
      </c>
      <c r="AA298">
        <v>2925872.64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800000</v>
      </c>
      <c r="AJ298">
        <v>0</v>
      </c>
      <c r="AK298">
        <v>0</v>
      </c>
      <c r="AL298">
        <v>8406415.0199999996</v>
      </c>
      <c r="AM298">
        <v>9206415.0199999996</v>
      </c>
      <c r="AN298">
        <v>31593584.98</v>
      </c>
      <c r="AO298">
        <v>30793584.98</v>
      </c>
      <c r="AP298">
        <f t="shared" si="4"/>
        <v>15.897752131822115</v>
      </c>
    </row>
    <row r="299" spans="1:42" x14ac:dyDescent="0.3">
      <c r="A299" t="s">
        <v>1343</v>
      </c>
      <c r="B299" t="s">
        <v>1350</v>
      </c>
      <c r="C299" t="s">
        <v>1351</v>
      </c>
      <c r="D299" t="s">
        <v>1352</v>
      </c>
      <c r="E299" t="s">
        <v>46</v>
      </c>
      <c r="F299" t="s">
        <v>93</v>
      </c>
      <c r="G299" t="s">
        <v>60</v>
      </c>
      <c r="H299" t="s">
        <v>49</v>
      </c>
      <c r="I299" t="s">
        <v>50</v>
      </c>
      <c r="J299" t="s">
        <v>51</v>
      </c>
      <c r="K299" t="s">
        <v>51</v>
      </c>
      <c r="L299" t="s">
        <v>134</v>
      </c>
      <c r="M299" t="s">
        <v>1296</v>
      </c>
      <c r="N299" t="s">
        <v>54</v>
      </c>
      <c r="O299" t="s">
        <v>54</v>
      </c>
      <c r="P299" t="s">
        <v>54</v>
      </c>
      <c r="Q299" t="s">
        <v>55</v>
      </c>
      <c r="R299" s="1">
        <v>66262844.329999998</v>
      </c>
      <c r="S299" s="1">
        <v>12141581.460000001</v>
      </c>
      <c r="T299" s="1">
        <v>16183606.23</v>
      </c>
      <c r="U299" s="1">
        <v>853053.33</v>
      </c>
      <c r="V299" t="s">
        <v>54</v>
      </c>
      <c r="W299">
        <v>337459.5</v>
      </c>
      <c r="X299">
        <v>2747064.8</v>
      </c>
      <c r="Y299">
        <v>0</v>
      </c>
      <c r="Z299">
        <v>-6307597.96</v>
      </c>
      <c r="AA299">
        <v>65633651.399999999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33792629.460000001</v>
      </c>
      <c r="AK299">
        <v>33037603.859999999</v>
      </c>
      <c r="AL299">
        <v>33888437.149999999</v>
      </c>
      <c r="AM299">
        <v>33133411.550000001</v>
      </c>
      <c r="AN299">
        <v>35000000</v>
      </c>
      <c r="AO299">
        <v>35000000</v>
      </c>
      <c r="AP299">
        <f t="shared" si="4"/>
        <v>-9.6103109082850757</v>
      </c>
    </row>
    <row r="300" spans="1:42" x14ac:dyDescent="0.3">
      <c r="Z300" s="11"/>
      <c r="AG300" s="14"/>
    </row>
    <row r="301" spans="1:42" x14ac:dyDescent="0.3">
      <c r="AG301" s="14"/>
    </row>
    <row r="302" spans="1:42" x14ac:dyDescent="0.3">
      <c r="Z302" s="14"/>
      <c r="AA302" s="14"/>
      <c r="AG302" s="14"/>
    </row>
    <row r="303" spans="1:42" x14ac:dyDescent="0.3">
      <c r="AG303" s="14"/>
    </row>
    <row r="304" spans="1:42" x14ac:dyDescent="0.3">
      <c r="AG304" s="14"/>
    </row>
    <row r="305" spans="33:33" x14ac:dyDescent="0.3">
      <c r="AG305" s="14"/>
    </row>
    <row r="306" spans="33:33" x14ac:dyDescent="0.3">
      <c r="AG306" s="14"/>
    </row>
    <row r="307" spans="33:33" x14ac:dyDescent="0.3">
      <c r="AG307" s="14"/>
    </row>
    <row r="308" spans="33:33" x14ac:dyDescent="0.3">
      <c r="AG308" s="14"/>
    </row>
    <row r="309" spans="33:33" x14ac:dyDescent="0.3">
      <c r="AG309" s="14"/>
    </row>
    <row r="310" spans="33:33" x14ac:dyDescent="0.3">
      <c r="AG310" s="14"/>
    </row>
    <row r="311" spans="33:33" x14ac:dyDescent="0.3">
      <c r="AG311" s="14"/>
    </row>
    <row r="312" spans="33:33" x14ac:dyDescent="0.3">
      <c r="AG312" s="14"/>
    </row>
    <row r="313" spans="33:33" x14ac:dyDescent="0.3">
      <c r="AG313" s="14"/>
    </row>
    <row r="314" spans="33:33" x14ac:dyDescent="0.3">
      <c r="AG314" s="14"/>
    </row>
    <row r="315" spans="33:33" x14ac:dyDescent="0.3">
      <c r="AG315" s="14"/>
    </row>
    <row r="316" spans="33:33" x14ac:dyDescent="0.3">
      <c r="AG316" s="14"/>
    </row>
    <row r="317" spans="33:33" x14ac:dyDescent="0.3">
      <c r="AG317" s="14"/>
    </row>
    <row r="318" spans="33:33" x14ac:dyDescent="0.3">
      <c r="AG318" s="14"/>
    </row>
    <row r="319" spans="33:33" x14ac:dyDescent="0.3">
      <c r="AG319" s="14"/>
    </row>
    <row r="320" spans="33:33" x14ac:dyDescent="0.3">
      <c r="AG320" s="14"/>
    </row>
    <row r="321" spans="33:33" x14ac:dyDescent="0.3">
      <c r="AG321" s="14"/>
    </row>
  </sheetData>
  <autoFilter ref="L1:L321" xr:uid="{C356B828-FCFB-4DE0-8BF0-1FCEDBB8015D}"/>
  <sortState xmlns:xlrd2="http://schemas.microsoft.com/office/spreadsheetml/2017/richdata2" ref="A2:AO299">
    <sortCondition ref="A1:A299"/>
  </sortState>
  <conditionalFormatting sqref="A1:AO1">
    <cfRule type="cellIs" dxfId="8" priority="1" operator="equal">
      <formula>"nan"</formula>
    </cfRule>
  </conditionalFormatting>
  <conditionalFormatting sqref="Z1">
    <cfRule type="cellIs" dxfId="7" priority="9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9EC-3171-4AFB-9993-7D609BE64E43}">
  <dimension ref="A1:AZ321"/>
  <sheetViews>
    <sheetView tabSelected="1" zoomScale="102" zoomScaleNormal="80" workbookViewId="0">
      <selection activeCell="AZ1" sqref="AZ1"/>
    </sheetView>
  </sheetViews>
  <sheetFormatPr defaultRowHeight="14.4" x14ac:dyDescent="0.3"/>
  <cols>
    <col min="2" max="2" width="3.88671875" bestFit="1" customWidth="1"/>
    <col min="3" max="3" width="61.33203125" customWidth="1"/>
    <col min="4" max="4" width="10.88671875" customWidth="1"/>
    <col min="5" max="5" width="17.5546875" customWidth="1"/>
    <col min="6" max="6" width="14.6640625" customWidth="1"/>
    <col min="7" max="7" width="19.88671875" customWidth="1"/>
    <col min="8" max="8" width="5.33203125" customWidth="1"/>
    <col min="9" max="9" width="4.6640625" customWidth="1"/>
    <col min="10" max="10" width="4.33203125" customWidth="1"/>
    <col min="11" max="11" width="4.6640625" customWidth="1"/>
    <col min="12" max="12" width="5.6640625" customWidth="1"/>
    <col min="13" max="13" width="16.33203125" customWidth="1"/>
    <col min="14" max="14" width="8.44140625" customWidth="1"/>
    <col min="15" max="15" width="10" customWidth="1"/>
    <col min="16" max="18" width="6.6640625" customWidth="1"/>
    <col min="19" max="19" width="25.5546875" customWidth="1"/>
    <col min="20" max="20" width="24.109375" style="1" customWidth="1"/>
    <col min="21" max="21" width="38.5546875" style="1" customWidth="1"/>
    <col min="22" max="22" width="14.109375" bestFit="1" customWidth="1"/>
    <col min="23" max="23" width="30.88671875" style="1" customWidth="1"/>
    <col min="24" max="24" width="30.109375" style="1" customWidth="1"/>
    <col min="25" max="25" width="36.5546875" customWidth="1"/>
    <col min="26" max="26" width="35.88671875" customWidth="1"/>
    <col min="27" max="27" width="25" customWidth="1"/>
    <col min="28" max="28" width="26.44140625" customWidth="1"/>
    <col min="29" max="29" width="34.44140625" customWidth="1"/>
    <col min="30" max="30" width="9.33203125" customWidth="1"/>
    <col min="31" max="31" width="18.88671875" customWidth="1"/>
    <col min="32" max="32" width="18.5546875" customWidth="1"/>
    <col min="33" max="33" width="37.88671875" customWidth="1"/>
    <col min="34" max="34" width="37.109375" customWidth="1"/>
    <col min="35" max="35" width="32.44140625" style="14" customWidth="1"/>
    <col min="36" max="36" width="18.88671875" customWidth="1"/>
    <col min="37" max="37" width="34.88671875" bestFit="1" customWidth="1"/>
    <col min="38" max="38" width="26.109375" bestFit="1" customWidth="1"/>
    <col min="39" max="39" width="33.88671875" bestFit="1" customWidth="1"/>
    <col min="40" max="40" width="26.88671875" bestFit="1" customWidth="1"/>
    <col min="41" max="41" width="33.88671875" customWidth="1"/>
    <col min="42" max="42" width="32.44140625" bestFit="1" customWidth="1"/>
    <col min="43" max="43" width="22.5546875" customWidth="1"/>
    <col min="44" max="44" width="44.44140625" bestFit="1" customWidth="1"/>
    <col min="45" max="45" width="33.5546875" bestFit="1" customWidth="1"/>
    <col min="46" max="46" width="41" bestFit="1" customWidth="1"/>
    <col min="47" max="47" width="33.5546875" bestFit="1" customWidth="1"/>
    <col min="48" max="48" width="18.88671875" bestFit="1" customWidth="1"/>
    <col min="51" max="51" width="10.88671875" customWidth="1"/>
    <col min="52" max="52" width="24.88671875" customWidth="1"/>
  </cols>
  <sheetData>
    <row r="1" spans="1:52" ht="132" x14ac:dyDescent="0.3">
      <c r="A1" t="s">
        <v>1677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 t="s">
        <v>10</v>
      </c>
      <c r="M1" s="3" t="s">
        <v>11</v>
      </c>
      <c r="N1" s="4" t="s">
        <v>12</v>
      </c>
      <c r="O1" s="27" t="s">
        <v>1353</v>
      </c>
      <c r="P1" s="4" t="s">
        <v>13</v>
      </c>
      <c r="Q1" s="4" t="s">
        <v>14</v>
      </c>
      <c r="R1" s="4" t="s">
        <v>15</v>
      </c>
      <c r="S1" s="3" t="s">
        <v>16</v>
      </c>
      <c r="T1" s="5" t="s">
        <v>17</v>
      </c>
      <c r="U1" s="5" t="s">
        <v>18</v>
      </c>
      <c r="V1" s="8" t="s">
        <v>1354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25" t="s">
        <v>25</v>
      </c>
      <c r="AD1" s="8" t="s">
        <v>1355</v>
      </c>
      <c r="AE1" s="5" t="s">
        <v>26</v>
      </c>
      <c r="AF1" s="5" t="s">
        <v>27</v>
      </c>
      <c r="AG1" s="5" t="s">
        <v>28</v>
      </c>
      <c r="AH1" s="5" t="s">
        <v>29</v>
      </c>
      <c r="AI1" s="20" t="s">
        <v>30</v>
      </c>
      <c r="AJ1" s="8" t="s">
        <v>1356</v>
      </c>
      <c r="AK1" s="5" t="s">
        <v>31</v>
      </c>
      <c r="AL1" s="5" t="s">
        <v>32</v>
      </c>
      <c r="AM1" s="25" t="s">
        <v>33</v>
      </c>
      <c r="AN1" s="25" t="s">
        <v>34</v>
      </c>
      <c r="AO1" s="5" t="s">
        <v>35</v>
      </c>
      <c r="AP1" s="5" t="s">
        <v>36</v>
      </c>
      <c r="AQ1" s="8" t="s">
        <v>1357</v>
      </c>
      <c r="AR1" s="5" t="s">
        <v>37</v>
      </c>
      <c r="AS1" s="5" t="s">
        <v>38</v>
      </c>
      <c r="AT1" s="5" t="s">
        <v>39</v>
      </c>
      <c r="AU1" s="5" t="s">
        <v>40</v>
      </c>
      <c r="AV1" s="8" t="s">
        <v>1358</v>
      </c>
      <c r="AW1" s="8" t="s">
        <v>1359</v>
      </c>
      <c r="AX1" s="8" t="s">
        <v>1360</v>
      </c>
      <c r="AY1" s="8" t="s">
        <v>1361</v>
      </c>
      <c r="AZ1" s="28" t="s">
        <v>41</v>
      </c>
    </row>
    <row r="2" spans="1:52" x14ac:dyDescent="0.3"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51</v>
      </c>
      <c r="M2" t="s">
        <v>52</v>
      </c>
      <c r="N2" t="s">
        <v>53</v>
      </c>
      <c r="O2" s="11" t="str">
        <f t="shared" ref="O2:O65" si="0">IF(AND(F2="ATIVA",VALUE(N2)=0),"VERIFICAR","OK")</f>
        <v>OK</v>
      </c>
      <c r="P2" t="s">
        <v>54</v>
      </c>
      <c r="Q2" t="s">
        <v>54</v>
      </c>
      <c r="R2" t="s">
        <v>51</v>
      </c>
      <c r="S2" t="s">
        <v>55</v>
      </c>
      <c r="T2" s="1">
        <v>13107416.33</v>
      </c>
      <c r="U2" s="1">
        <v>6325167.21</v>
      </c>
      <c r="V2" s="13" t="str">
        <f t="shared" ref="V2:V65" si="1">IF(AND(VALUE(N2)=0,VALUE(U2)&gt;0),"VERIFICAR","OK")</f>
        <v>OK</v>
      </c>
      <c r="W2" s="1">
        <v>13107416.33</v>
      </c>
      <c r="X2" s="1">
        <v>0</v>
      </c>
      <c r="Y2" t="s">
        <v>54</v>
      </c>
      <c r="Z2">
        <v>0</v>
      </c>
      <c r="AA2">
        <v>0</v>
      </c>
      <c r="AB2">
        <v>0</v>
      </c>
      <c r="AC2">
        <v>11811971.51</v>
      </c>
      <c r="AD2" s="13" t="str">
        <f t="shared" ref="AD2:AD65" si="2">IF(AND(Y2="SIM",VALUE(AC2)&lt;0),"VERIFICAR","OK")</f>
        <v>OK</v>
      </c>
      <c r="AE2">
        <v>103720301.25</v>
      </c>
      <c r="AF2">
        <v>0</v>
      </c>
      <c r="AG2">
        <v>0</v>
      </c>
      <c r="AH2">
        <v>11684206.5</v>
      </c>
      <c r="AI2">
        <v>13107416.33</v>
      </c>
      <c r="AJ2" s="13" t="str">
        <f t="shared" ref="AJ2:AJ65" si="3">IF(AND(M2="NÃO DEPENDENTE",VALUE(AI2)&gt;0),"INDÍCIO DE DEPENDÊNCIA POR SUBVENÇÃO","OK")</f>
        <v>OK</v>
      </c>
      <c r="AK2">
        <v>0</v>
      </c>
      <c r="AL2" s="14">
        <v>0</v>
      </c>
      <c r="AM2">
        <v>0</v>
      </c>
      <c r="AN2">
        <v>0</v>
      </c>
      <c r="AO2">
        <v>4396687.58</v>
      </c>
      <c r="AP2">
        <v>4396687.58</v>
      </c>
      <c r="AQ2" s="15">
        <f t="shared" ref="AQ2:AQ65" si="4">AP2-AO2</f>
        <v>0</v>
      </c>
      <c r="AR2">
        <v>4396687.58</v>
      </c>
      <c r="AS2">
        <v>4396687.58</v>
      </c>
      <c r="AT2">
        <v>0</v>
      </c>
      <c r="AU2">
        <v>0</v>
      </c>
      <c r="AV2" s="16">
        <f t="shared" ref="AV2:AV65" si="5">(AS2-AR2)+(AU2)</f>
        <v>0</v>
      </c>
      <c r="AW2" s="13" t="str">
        <f t="shared" ref="AW2:AW65" si="6">IF(OR(VALUE(AQ2)&gt;0,VALUE(AV2)&gt;0),"SIM","NÃO")</f>
        <v>NÃO</v>
      </c>
      <c r="AX2" s="13" t="str">
        <f t="shared" ref="AX2:AX65" si="7">IF(AND(M2="NÃO DEPENDENTE",VALUE(AN2)&gt;0),"VER CAPITAL","OK")</f>
        <v>OK</v>
      </c>
      <c r="AY2" s="13" t="str">
        <f t="shared" ref="AY2:AY65" si="8">IF(AND(AX2="VER CAPITAL",AW2="NÃO"),"INDÍCIO DE DEPENDÊNCIA POR CAPITAL","OK")</f>
        <v>OK</v>
      </c>
      <c r="AZ2">
        <f t="shared" ref="AZ2:AZ65" si="9">AC2*100/AE2</f>
        <v>11.388292713814307</v>
      </c>
    </row>
    <row r="3" spans="1:52" x14ac:dyDescent="0.3">
      <c r="B3" t="s">
        <v>42</v>
      </c>
      <c r="C3" t="s">
        <v>56</v>
      </c>
      <c r="D3" t="s">
        <v>57</v>
      </c>
      <c r="E3" t="s">
        <v>58</v>
      </c>
      <c r="F3" t="s">
        <v>46</v>
      </c>
      <c r="G3" t="s">
        <v>59</v>
      </c>
      <c r="H3" t="s">
        <v>60</v>
      </c>
      <c r="I3" t="s">
        <v>49</v>
      </c>
      <c r="J3" t="s">
        <v>50</v>
      </c>
      <c r="K3" t="s">
        <v>51</v>
      </c>
      <c r="L3" t="s">
        <v>51</v>
      </c>
      <c r="M3" t="s">
        <v>52</v>
      </c>
      <c r="N3" t="s">
        <v>61</v>
      </c>
      <c r="O3" s="11" t="str">
        <f t="shared" si="0"/>
        <v>OK</v>
      </c>
      <c r="P3" t="s">
        <v>54</v>
      </c>
      <c r="Q3" t="s">
        <v>54</v>
      </c>
      <c r="R3" t="s">
        <v>51</v>
      </c>
      <c r="S3" t="s">
        <v>55</v>
      </c>
      <c r="T3" s="1">
        <v>8531737.6300000008</v>
      </c>
      <c r="U3" s="1">
        <v>7155806.1900000004</v>
      </c>
      <c r="V3" s="13" t="str">
        <f t="shared" si="1"/>
        <v>OK</v>
      </c>
      <c r="W3" s="1">
        <v>10314427.73</v>
      </c>
      <c r="X3" s="1">
        <v>0</v>
      </c>
      <c r="Y3" t="s">
        <v>51</v>
      </c>
      <c r="Z3">
        <v>407932.32</v>
      </c>
      <c r="AA3">
        <v>0</v>
      </c>
      <c r="AB3">
        <v>99128.6</v>
      </c>
      <c r="AC3">
        <v>-10051185.58</v>
      </c>
      <c r="AD3" s="13" t="str">
        <f t="shared" si="2"/>
        <v>OK</v>
      </c>
      <c r="AE3">
        <v>39712876.009999998</v>
      </c>
      <c r="AF3">
        <v>0</v>
      </c>
      <c r="AG3">
        <v>0</v>
      </c>
      <c r="AH3">
        <v>0</v>
      </c>
      <c r="AI3">
        <v>0</v>
      </c>
      <c r="AJ3" s="13" t="str">
        <f t="shared" si="3"/>
        <v>OK</v>
      </c>
      <c r="AK3">
        <v>0</v>
      </c>
      <c r="AL3">
        <v>0</v>
      </c>
      <c r="AM3">
        <v>5563422.3899999997</v>
      </c>
      <c r="AN3">
        <v>8531737.6300000008</v>
      </c>
      <c r="AO3">
        <v>0</v>
      </c>
      <c r="AP3">
        <v>0</v>
      </c>
      <c r="AQ3" s="15">
        <f t="shared" si="4"/>
        <v>0</v>
      </c>
      <c r="AR3">
        <v>156205481.16</v>
      </c>
      <c r="AS3">
        <v>164737218.78999999</v>
      </c>
      <c r="AT3">
        <v>3794518.84</v>
      </c>
      <c r="AU3">
        <v>9762781.2100000009</v>
      </c>
      <c r="AV3" s="16">
        <f t="shared" si="5"/>
        <v>18294518.839999996</v>
      </c>
      <c r="AW3" s="13" t="str">
        <f t="shared" si="6"/>
        <v>SIM</v>
      </c>
      <c r="AX3" s="13" t="str">
        <f t="shared" si="7"/>
        <v>OK</v>
      </c>
      <c r="AY3" s="13" t="str">
        <f t="shared" si="8"/>
        <v>OK</v>
      </c>
      <c r="AZ3">
        <f t="shared" si="9"/>
        <v>-25.309639063836716</v>
      </c>
    </row>
    <row r="4" spans="1:52" x14ac:dyDescent="0.3">
      <c r="B4" t="s">
        <v>42</v>
      </c>
      <c r="C4" t="s">
        <v>62</v>
      </c>
      <c r="D4" t="s">
        <v>63</v>
      </c>
      <c r="E4" t="s">
        <v>64</v>
      </c>
      <c r="F4" t="s">
        <v>46</v>
      </c>
      <c r="G4" t="s">
        <v>65</v>
      </c>
      <c r="H4" t="s">
        <v>60</v>
      </c>
      <c r="I4" t="s">
        <v>49</v>
      </c>
      <c r="J4" t="s">
        <v>50</v>
      </c>
      <c r="K4" t="s">
        <v>51</v>
      </c>
      <c r="L4" t="s">
        <v>51</v>
      </c>
      <c r="M4" t="s">
        <v>52</v>
      </c>
      <c r="N4">
        <v>0</v>
      </c>
      <c r="O4" s="11" t="str">
        <f t="shared" si="0"/>
        <v>VERIFICAR</v>
      </c>
      <c r="P4" t="s">
        <v>54</v>
      </c>
      <c r="Q4" t="s">
        <v>54</v>
      </c>
      <c r="R4" t="s">
        <v>51</v>
      </c>
      <c r="S4" t="s">
        <v>55</v>
      </c>
      <c r="T4" s="1">
        <v>0</v>
      </c>
      <c r="U4" s="1">
        <v>0</v>
      </c>
      <c r="V4" s="13" t="str">
        <f t="shared" si="1"/>
        <v>OK</v>
      </c>
      <c r="W4" s="1">
        <v>0</v>
      </c>
      <c r="X4" s="1">
        <v>0</v>
      </c>
      <c r="Y4" t="s">
        <v>51</v>
      </c>
      <c r="Z4">
        <v>0</v>
      </c>
      <c r="AA4">
        <v>0</v>
      </c>
      <c r="AB4">
        <v>0</v>
      </c>
      <c r="AC4">
        <v>0</v>
      </c>
      <c r="AD4" s="13" t="str">
        <f t="shared" si="2"/>
        <v>OK</v>
      </c>
      <c r="AE4">
        <v>0</v>
      </c>
      <c r="AF4">
        <v>0</v>
      </c>
      <c r="AG4">
        <v>0</v>
      </c>
      <c r="AH4">
        <v>0</v>
      </c>
      <c r="AI4">
        <v>0</v>
      </c>
      <c r="AJ4" s="13" t="str">
        <f t="shared" si="3"/>
        <v>OK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s="15">
        <f t="shared" si="4"/>
        <v>0</v>
      </c>
      <c r="AR4">
        <v>0</v>
      </c>
      <c r="AS4">
        <v>0</v>
      </c>
      <c r="AT4">
        <v>0</v>
      </c>
      <c r="AU4">
        <v>0</v>
      </c>
      <c r="AV4" s="16">
        <f t="shared" si="5"/>
        <v>0</v>
      </c>
      <c r="AW4" s="13" t="str">
        <f t="shared" si="6"/>
        <v>NÃO</v>
      </c>
      <c r="AX4" s="13" t="str">
        <f t="shared" si="7"/>
        <v>OK</v>
      </c>
      <c r="AY4" s="13" t="str">
        <f t="shared" si="8"/>
        <v>OK</v>
      </c>
      <c r="AZ4" t="e">
        <f t="shared" si="9"/>
        <v>#DIV/0!</v>
      </c>
    </row>
    <row r="5" spans="1:52" x14ac:dyDescent="0.3">
      <c r="B5" t="s">
        <v>42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60</v>
      </c>
      <c r="I5" t="s">
        <v>49</v>
      </c>
      <c r="J5" t="s">
        <v>50</v>
      </c>
      <c r="K5" t="s">
        <v>51</v>
      </c>
      <c r="L5" t="s">
        <v>51</v>
      </c>
      <c r="M5" t="s">
        <v>52</v>
      </c>
      <c r="N5" t="s">
        <v>61</v>
      </c>
      <c r="O5" s="11" t="str">
        <f t="shared" si="0"/>
        <v>OK</v>
      </c>
      <c r="P5" t="s">
        <v>54</v>
      </c>
      <c r="Q5" t="s">
        <v>54</v>
      </c>
      <c r="R5" t="s">
        <v>51</v>
      </c>
      <c r="S5" t="s">
        <v>55</v>
      </c>
      <c r="T5" s="1">
        <v>1776184.34</v>
      </c>
      <c r="U5" s="1">
        <v>1444341.25</v>
      </c>
      <c r="V5" s="13" t="str">
        <f t="shared" si="1"/>
        <v>OK</v>
      </c>
      <c r="W5" s="1">
        <v>1643842.5</v>
      </c>
      <c r="X5" s="1">
        <v>2348.39</v>
      </c>
      <c r="Y5" t="s">
        <v>51</v>
      </c>
      <c r="Z5">
        <v>109184.47</v>
      </c>
      <c r="AA5">
        <v>0</v>
      </c>
      <c r="AB5">
        <v>0</v>
      </c>
      <c r="AC5">
        <v>-2514600.66</v>
      </c>
      <c r="AD5" s="13" t="str">
        <f t="shared" si="2"/>
        <v>OK</v>
      </c>
      <c r="AE5">
        <v>-199341952.72</v>
      </c>
      <c r="AF5">
        <v>0</v>
      </c>
      <c r="AG5">
        <v>0</v>
      </c>
      <c r="AH5">
        <v>1780362.81</v>
      </c>
      <c r="AI5">
        <v>1774048.96</v>
      </c>
      <c r="AJ5" s="13" t="str">
        <f t="shared" si="3"/>
        <v>OK</v>
      </c>
      <c r="AK5">
        <v>0</v>
      </c>
      <c r="AL5" s="14">
        <v>0</v>
      </c>
      <c r="AM5">
        <v>0</v>
      </c>
      <c r="AN5">
        <v>0</v>
      </c>
      <c r="AO5">
        <v>0</v>
      </c>
      <c r="AP5">
        <v>0</v>
      </c>
      <c r="AQ5" s="15">
        <f t="shared" si="4"/>
        <v>0</v>
      </c>
      <c r="AR5">
        <v>24365820.859999999</v>
      </c>
      <c r="AS5">
        <v>24365820.859999999</v>
      </c>
      <c r="AT5">
        <v>0</v>
      </c>
      <c r="AU5">
        <v>0</v>
      </c>
      <c r="AV5" s="16">
        <f t="shared" si="5"/>
        <v>0</v>
      </c>
      <c r="AW5" s="13" t="str">
        <f t="shared" si="6"/>
        <v>NÃO</v>
      </c>
      <c r="AX5" s="13" t="str">
        <f t="shared" si="7"/>
        <v>OK</v>
      </c>
      <c r="AY5" s="13" t="str">
        <f t="shared" si="8"/>
        <v>OK</v>
      </c>
      <c r="AZ5">
        <f t="shared" si="9"/>
        <v>1.2614508013433892</v>
      </c>
    </row>
    <row r="6" spans="1:52" x14ac:dyDescent="0.3">
      <c r="B6" t="s">
        <v>42</v>
      </c>
      <c r="C6" t="s">
        <v>72</v>
      </c>
      <c r="D6" t="s">
        <v>73</v>
      </c>
      <c r="E6" t="s">
        <v>74</v>
      </c>
      <c r="F6" t="s">
        <v>46</v>
      </c>
      <c r="G6" t="s">
        <v>75</v>
      </c>
      <c r="H6" t="s">
        <v>48</v>
      </c>
      <c r="I6" t="s">
        <v>76</v>
      </c>
      <c r="J6" t="s">
        <v>50</v>
      </c>
      <c r="K6" t="s">
        <v>51</v>
      </c>
      <c r="L6" t="s">
        <v>51</v>
      </c>
      <c r="M6" t="s">
        <v>52</v>
      </c>
      <c r="N6" t="s">
        <v>77</v>
      </c>
      <c r="O6" s="11" t="str">
        <f t="shared" si="0"/>
        <v>OK</v>
      </c>
      <c r="P6" t="s">
        <v>51</v>
      </c>
      <c r="Q6" t="s">
        <v>54</v>
      </c>
      <c r="R6" t="s">
        <v>51</v>
      </c>
      <c r="S6" t="s">
        <v>55</v>
      </c>
      <c r="T6" s="1">
        <v>14729465.32</v>
      </c>
      <c r="U6" s="1">
        <v>13419884.01</v>
      </c>
      <c r="V6" s="13" t="str">
        <f t="shared" si="1"/>
        <v>OK</v>
      </c>
      <c r="W6" s="1">
        <v>14759181.5</v>
      </c>
      <c r="X6" s="1">
        <v>0</v>
      </c>
      <c r="Y6" t="s">
        <v>51</v>
      </c>
      <c r="Z6">
        <v>215350.25</v>
      </c>
      <c r="AA6">
        <v>0</v>
      </c>
      <c r="AB6">
        <v>548258.13</v>
      </c>
      <c r="AC6">
        <v>678045.71</v>
      </c>
      <c r="AD6" s="13" t="str">
        <f t="shared" si="2"/>
        <v>OK</v>
      </c>
      <c r="AE6">
        <v>7447035.2199999997</v>
      </c>
      <c r="AF6">
        <v>0</v>
      </c>
      <c r="AG6">
        <v>0</v>
      </c>
      <c r="AH6">
        <v>19543507.280000001</v>
      </c>
      <c r="AI6">
        <v>14729465.32</v>
      </c>
      <c r="AJ6" s="13" t="str">
        <f t="shared" si="3"/>
        <v>OK</v>
      </c>
      <c r="AK6">
        <v>305753.42</v>
      </c>
      <c r="AL6" s="14">
        <v>170846.03</v>
      </c>
      <c r="AM6">
        <v>0</v>
      </c>
      <c r="AN6">
        <v>0</v>
      </c>
      <c r="AO6">
        <v>727.45</v>
      </c>
      <c r="AP6">
        <v>727.45</v>
      </c>
      <c r="AQ6" s="15">
        <f t="shared" si="4"/>
        <v>0</v>
      </c>
      <c r="AR6">
        <v>8219090.9900000002</v>
      </c>
      <c r="AS6">
        <v>8219090.9900000002</v>
      </c>
      <c r="AT6">
        <v>0</v>
      </c>
      <c r="AU6">
        <v>0</v>
      </c>
      <c r="AV6" s="16">
        <f t="shared" si="5"/>
        <v>0</v>
      </c>
      <c r="AW6" s="13" t="str">
        <f t="shared" si="6"/>
        <v>NÃO</v>
      </c>
      <c r="AX6" s="13" t="str">
        <f t="shared" si="7"/>
        <v>OK</v>
      </c>
      <c r="AY6" s="13" t="str">
        <f t="shared" si="8"/>
        <v>OK</v>
      </c>
      <c r="AZ6">
        <f t="shared" si="9"/>
        <v>9.1049080603112813</v>
      </c>
    </row>
    <row r="7" spans="1:52" x14ac:dyDescent="0.3">
      <c r="B7" t="s">
        <v>42</v>
      </c>
      <c r="C7" t="s">
        <v>78</v>
      </c>
      <c r="D7" t="s">
        <v>79</v>
      </c>
      <c r="E7" t="s">
        <v>80</v>
      </c>
      <c r="F7" t="s">
        <v>46</v>
      </c>
      <c r="G7" t="s">
        <v>65</v>
      </c>
      <c r="H7" t="s">
        <v>60</v>
      </c>
      <c r="I7" t="s">
        <v>49</v>
      </c>
      <c r="J7" t="s">
        <v>50</v>
      </c>
      <c r="K7" t="s">
        <v>51</v>
      </c>
      <c r="L7" t="s">
        <v>51</v>
      </c>
      <c r="M7" t="s">
        <v>52</v>
      </c>
      <c r="N7" t="s">
        <v>81</v>
      </c>
      <c r="O7" s="11" t="str">
        <f t="shared" si="0"/>
        <v>OK</v>
      </c>
      <c r="P7" t="s">
        <v>54</v>
      </c>
      <c r="Q7" t="s">
        <v>54</v>
      </c>
      <c r="R7" t="s">
        <v>51</v>
      </c>
      <c r="S7" t="s">
        <v>55</v>
      </c>
      <c r="T7" s="1">
        <v>1521026.97</v>
      </c>
      <c r="U7" s="1">
        <v>1483226.97</v>
      </c>
      <c r="V7" s="13" t="str">
        <f t="shared" si="1"/>
        <v>OK</v>
      </c>
      <c r="W7" s="1">
        <v>1483226.97</v>
      </c>
      <c r="X7" s="1">
        <v>0</v>
      </c>
      <c r="Y7" t="s">
        <v>51</v>
      </c>
      <c r="Z7">
        <v>233705.73</v>
      </c>
      <c r="AA7">
        <v>0</v>
      </c>
      <c r="AB7">
        <v>0</v>
      </c>
      <c r="AC7">
        <v>-24631.91</v>
      </c>
      <c r="AD7" s="13" t="str">
        <f t="shared" si="2"/>
        <v>OK</v>
      </c>
      <c r="AE7">
        <v>3005608118.6599998</v>
      </c>
      <c r="AF7">
        <v>0</v>
      </c>
      <c r="AG7">
        <v>0</v>
      </c>
      <c r="AH7">
        <v>957768.34</v>
      </c>
      <c r="AI7">
        <v>1521026.97</v>
      </c>
      <c r="AJ7" s="13" t="str">
        <f t="shared" si="3"/>
        <v>OK</v>
      </c>
      <c r="AK7">
        <v>973545.94</v>
      </c>
      <c r="AL7" s="14">
        <v>1483226.97</v>
      </c>
      <c r="AM7">
        <v>2447100</v>
      </c>
      <c r="AN7">
        <v>2400000</v>
      </c>
      <c r="AO7">
        <v>3003209100</v>
      </c>
      <c r="AP7">
        <v>3005609100</v>
      </c>
      <c r="AQ7" s="15">
        <f t="shared" si="4"/>
        <v>2400000</v>
      </c>
      <c r="AR7">
        <v>3003209100</v>
      </c>
      <c r="AS7">
        <v>3005609100</v>
      </c>
      <c r="AT7">
        <v>3397100</v>
      </c>
      <c r="AU7">
        <v>997100</v>
      </c>
      <c r="AV7" s="16">
        <f t="shared" si="5"/>
        <v>3397100</v>
      </c>
      <c r="AW7" s="13" t="str">
        <f t="shared" si="6"/>
        <v>SIM</v>
      </c>
      <c r="AX7" s="13" t="str">
        <f t="shared" si="7"/>
        <v>OK</v>
      </c>
      <c r="AY7" s="13" t="str">
        <f t="shared" si="8"/>
        <v>OK</v>
      </c>
      <c r="AZ7">
        <f t="shared" si="9"/>
        <v>-8.1953165640841175E-4</v>
      </c>
    </row>
    <row r="8" spans="1:52" ht="43.2" x14ac:dyDescent="0.3">
      <c r="B8" t="s">
        <v>42</v>
      </c>
      <c r="C8" t="s">
        <v>82</v>
      </c>
      <c r="D8" t="s">
        <v>83</v>
      </c>
      <c r="E8" t="s">
        <v>84</v>
      </c>
      <c r="F8" t="s">
        <v>46</v>
      </c>
      <c r="G8" s="6" t="s">
        <v>75</v>
      </c>
      <c r="H8" t="s">
        <v>48</v>
      </c>
      <c r="I8" t="s">
        <v>49</v>
      </c>
      <c r="J8" t="s">
        <v>50</v>
      </c>
      <c r="K8" t="s">
        <v>51</v>
      </c>
      <c r="L8" t="s">
        <v>54</v>
      </c>
      <c r="M8" t="s">
        <v>52</v>
      </c>
      <c r="N8" t="s">
        <v>85</v>
      </c>
      <c r="O8" s="11" t="str">
        <f t="shared" si="0"/>
        <v>OK</v>
      </c>
      <c r="P8" t="s">
        <v>54</v>
      </c>
      <c r="Q8" t="s">
        <v>54</v>
      </c>
      <c r="R8" t="s">
        <v>51</v>
      </c>
      <c r="S8" t="s">
        <v>55</v>
      </c>
      <c r="T8" s="1">
        <v>2820871.21</v>
      </c>
      <c r="U8" s="1">
        <v>2497093.7799999998</v>
      </c>
      <c r="V8" s="13" t="str">
        <f t="shared" si="1"/>
        <v>OK</v>
      </c>
      <c r="W8" s="1">
        <v>2820871.21</v>
      </c>
      <c r="X8" s="1">
        <v>1686.87</v>
      </c>
      <c r="Y8" t="s">
        <v>51</v>
      </c>
      <c r="Z8">
        <v>2183003.7400000002</v>
      </c>
      <c r="AA8">
        <v>0</v>
      </c>
      <c r="AB8">
        <v>0</v>
      </c>
      <c r="AC8">
        <v>142443.37</v>
      </c>
      <c r="AD8" s="13" t="str">
        <f t="shared" si="2"/>
        <v>OK</v>
      </c>
      <c r="AE8">
        <v>-88773662.590000004</v>
      </c>
      <c r="AF8">
        <v>0</v>
      </c>
      <c r="AG8">
        <v>0</v>
      </c>
      <c r="AH8">
        <v>2317412.3199999998</v>
      </c>
      <c r="AI8">
        <v>2820871.21</v>
      </c>
      <c r="AJ8" s="13" t="str">
        <f t="shared" si="3"/>
        <v>OK</v>
      </c>
      <c r="AK8">
        <v>2147999.34</v>
      </c>
      <c r="AL8" s="14">
        <v>1996951.83</v>
      </c>
      <c r="AM8">
        <v>0</v>
      </c>
      <c r="AN8">
        <v>0</v>
      </c>
      <c r="AO8">
        <v>0</v>
      </c>
      <c r="AP8">
        <v>0</v>
      </c>
      <c r="AQ8" s="15">
        <f t="shared" si="4"/>
        <v>0</v>
      </c>
      <c r="AR8">
        <v>416.44</v>
      </c>
      <c r="AS8">
        <v>416.44</v>
      </c>
      <c r="AT8">
        <v>0</v>
      </c>
      <c r="AU8">
        <v>0</v>
      </c>
      <c r="AV8" s="16">
        <f t="shared" si="5"/>
        <v>0</v>
      </c>
      <c r="AW8" s="13" t="str">
        <f t="shared" si="6"/>
        <v>NÃO</v>
      </c>
      <c r="AX8" s="13" t="str">
        <f t="shared" si="7"/>
        <v>OK</v>
      </c>
      <c r="AY8" s="13" t="str">
        <f t="shared" si="8"/>
        <v>OK</v>
      </c>
      <c r="AZ8">
        <f t="shared" si="9"/>
        <v>-0.16045679072392544</v>
      </c>
    </row>
    <row r="9" spans="1:52" x14ac:dyDescent="0.3">
      <c r="B9" t="s">
        <v>42</v>
      </c>
      <c r="C9" t="s">
        <v>86</v>
      </c>
      <c r="D9" t="s">
        <v>87</v>
      </c>
      <c r="E9" t="s">
        <v>88</v>
      </c>
      <c r="F9" t="s">
        <v>46</v>
      </c>
      <c r="G9" t="s">
        <v>65</v>
      </c>
      <c r="H9" t="s">
        <v>48</v>
      </c>
      <c r="I9" t="s">
        <v>76</v>
      </c>
      <c r="J9" t="s">
        <v>50</v>
      </c>
      <c r="K9" t="s">
        <v>51</v>
      </c>
      <c r="L9" t="s">
        <v>54</v>
      </c>
      <c r="M9" t="s">
        <v>52</v>
      </c>
      <c r="N9" t="s">
        <v>89</v>
      </c>
      <c r="O9" s="11" t="str">
        <f t="shared" si="0"/>
        <v>OK</v>
      </c>
      <c r="P9" t="s">
        <v>54</v>
      </c>
      <c r="Q9" t="s">
        <v>54</v>
      </c>
      <c r="R9" t="s">
        <v>51</v>
      </c>
      <c r="S9" t="s">
        <v>55</v>
      </c>
      <c r="T9" s="1">
        <v>5026604.34</v>
      </c>
      <c r="U9" s="1">
        <v>3944525.12</v>
      </c>
      <c r="V9" s="13" t="str">
        <f t="shared" si="1"/>
        <v>OK</v>
      </c>
      <c r="W9" s="1">
        <v>5010920.96</v>
      </c>
      <c r="X9" s="1">
        <v>244185.81</v>
      </c>
      <c r="Y9" t="s">
        <v>51</v>
      </c>
      <c r="Z9">
        <v>198405.6</v>
      </c>
      <c r="AA9">
        <v>0</v>
      </c>
      <c r="AB9">
        <v>0</v>
      </c>
      <c r="AC9">
        <v>693377.74</v>
      </c>
      <c r="AD9" s="13" t="str">
        <f t="shared" si="2"/>
        <v>OK</v>
      </c>
      <c r="AE9">
        <v>6665321.5899999999</v>
      </c>
      <c r="AF9">
        <v>0</v>
      </c>
      <c r="AG9">
        <v>0</v>
      </c>
      <c r="AH9">
        <v>4779201.42</v>
      </c>
      <c r="AI9">
        <v>5010920.96</v>
      </c>
      <c r="AJ9" s="13" t="str">
        <f t="shared" si="3"/>
        <v>OK</v>
      </c>
      <c r="AK9">
        <v>410259.38</v>
      </c>
      <c r="AL9" s="14">
        <v>397316.62</v>
      </c>
      <c r="AM9">
        <v>0</v>
      </c>
      <c r="AN9">
        <v>0</v>
      </c>
      <c r="AO9">
        <v>0</v>
      </c>
      <c r="AP9">
        <v>0</v>
      </c>
      <c r="AQ9" s="15">
        <f t="shared" si="4"/>
        <v>0</v>
      </c>
      <c r="AR9">
        <v>3791691</v>
      </c>
      <c r="AS9">
        <v>3791691</v>
      </c>
      <c r="AT9">
        <v>0</v>
      </c>
      <c r="AU9">
        <v>0</v>
      </c>
      <c r="AV9" s="16">
        <f t="shared" si="5"/>
        <v>0</v>
      </c>
      <c r="AW9" s="13" t="str">
        <f t="shared" si="6"/>
        <v>NÃO</v>
      </c>
      <c r="AX9" s="13" t="str">
        <f t="shared" si="7"/>
        <v>OK</v>
      </c>
      <c r="AY9" s="13" t="str">
        <f t="shared" si="8"/>
        <v>OK</v>
      </c>
      <c r="AZ9">
        <f t="shared" si="9"/>
        <v>10.402764977466001</v>
      </c>
    </row>
    <row r="10" spans="1:52" x14ac:dyDescent="0.3">
      <c r="B10" t="s">
        <v>42</v>
      </c>
      <c r="C10" t="s">
        <v>90</v>
      </c>
      <c r="D10" t="s">
        <v>91</v>
      </c>
      <c r="E10" t="s">
        <v>92</v>
      </c>
      <c r="F10" t="s">
        <v>46</v>
      </c>
      <c r="G10" t="s">
        <v>93</v>
      </c>
      <c r="H10" t="s">
        <v>60</v>
      </c>
      <c r="I10" t="s">
        <v>76</v>
      </c>
      <c r="J10" t="s">
        <v>50</v>
      </c>
      <c r="K10" t="s">
        <v>51</v>
      </c>
      <c r="L10" t="s">
        <v>51</v>
      </c>
      <c r="M10" t="s">
        <v>52</v>
      </c>
      <c r="N10" t="s">
        <v>94</v>
      </c>
      <c r="O10" s="11" t="str">
        <f t="shared" si="0"/>
        <v>OK</v>
      </c>
      <c r="P10" t="s">
        <v>54</v>
      </c>
      <c r="Q10" t="s">
        <v>54</v>
      </c>
      <c r="R10" t="s">
        <v>51</v>
      </c>
      <c r="S10" t="s">
        <v>55</v>
      </c>
      <c r="T10" s="1">
        <v>7431327.0999999996</v>
      </c>
      <c r="U10" s="1">
        <v>6325167.21</v>
      </c>
      <c r="V10" s="13" t="str">
        <f t="shared" si="1"/>
        <v>OK</v>
      </c>
      <c r="W10" s="1">
        <v>9499084.5800000001</v>
      </c>
      <c r="X10" s="1">
        <v>0</v>
      </c>
      <c r="Y10" t="s">
        <v>51</v>
      </c>
      <c r="Z10">
        <v>270124.92</v>
      </c>
      <c r="AA10">
        <v>0</v>
      </c>
      <c r="AB10">
        <v>0</v>
      </c>
      <c r="AC10">
        <v>3953141.14</v>
      </c>
      <c r="AD10" s="13" t="str">
        <f t="shared" si="2"/>
        <v>OK</v>
      </c>
      <c r="AE10">
        <v>79307669.340000004</v>
      </c>
      <c r="AF10">
        <v>0</v>
      </c>
      <c r="AG10">
        <v>0</v>
      </c>
      <c r="AH10">
        <v>6949505.2199999997</v>
      </c>
      <c r="AI10">
        <v>8771679.8800000008</v>
      </c>
      <c r="AJ10" s="13" t="str">
        <f t="shared" si="3"/>
        <v>OK</v>
      </c>
      <c r="AK10">
        <v>8064674.3700000001</v>
      </c>
      <c r="AL10" s="14">
        <v>7204783.3300000001</v>
      </c>
      <c r="AM10">
        <v>0</v>
      </c>
      <c r="AN10">
        <v>0</v>
      </c>
      <c r="AO10">
        <v>0.99</v>
      </c>
      <c r="AP10">
        <v>0.99</v>
      </c>
      <c r="AQ10" s="15">
        <f t="shared" si="4"/>
        <v>0</v>
      </c>
      <c r="AR10">
        <v>62840607.310000002</v>
      </c>
      <c r="AS10">
        <v>62840607.310000002</v>
      </c>
      <c r="AT10">
        <v>0</v>
      </c>
      <c r="AU10">
        <v>0</v>
      </c>
      <c r="AV10" s="16">
        <f t="shared" si="5"/>
        <v>0</v>
      </c>
      <c r="AW10" s="13" t="str">
        <f t="shared" si="6"/>
        <v>NÃO</v>
      </c>
      <c r="AX10" s="13" t="str">
        <f t="shared" si="7"/>
        <v>OK</v>
      </c>
      <c r="AY10" s="13" t="str">
        <f t="shared" si="8"/>
        <v>OK</v>
      </c>
      <c r="AZ10">
        <f t="shared" si="9"/>
        <v>4.984563501737119</v>
      </c>
    </row>
    <row r="11" spans="1:52" x14ac:dyDescent="0.3">
      <c r="B11" t="s">
        <v>42</v>
      </c>
      <c r="C11" t="s">
        <v>95</v>
      </c>
      <c r="D11" t="s">
        <v>96</v>
      </c>
      <c r="E11" t="s">
        <v>97</v>
      </c>
      <c r="F11" t="s">
        <v>70</v>
      </c>
      <c r="G11" t="s">
        <v>65</v>
      </c>
      <c r="H11" t="s">
        <v>48</v>
      </c>
      <c r="I11" t="s">
        <v>76</v>
      </c>
      <c r="J11" t="s">
        <v>50</v>
      </c>
      <c r="K11" t="s">
        <v>51</v>
      </c>
      <c r="L11" t="s">
        <v>54</v>
      </c>
      <c r="M11" t="s">
        <v>52</v>
      </c>
      <c r="N11" t="s">
        <v>98</v>
      </c>
      <c r="O11" s="11" t="str">
        <f t="shared" si="0"/>
        <v>OK</v>
      </c>
      <c r="P11" t="s">
        <v>51</v>
      </c>
      <c r="Q11" t="s">
        <v>54</v>
      </c>
      <c r="R11" t="s">
        <v>51</v>
      </c>
      <c r="S11" t="s">
        <v>55</v>
      </c>
      <c r="T11" s="1">
        <v>1705223.56</v>
      </c>
      <c r="U11" s="1">
        <v>1658046.44</v>
      </c>
      <c r="V11" s="13" t="str">
        <f t="shared" si="1"/>
        <v>OK</v>
      </c>
      <c r="W11" s="1">
        <v>1658621.44</v>
      </c>
      <c r="X11" s="1">
        <v>0</v>
      </c>
      <c r="Y11" t="s">
        <v>51</v>
      </c>
      <c r="Z11">
        <v>1040941.44</v>
      </c>
      <c r="AA11">
        <v>0</v>
      </c>
      <c r="AB11">
        <v>0</v>
      </c>
      <c r="AC11">
        <v>46963.39</v>
      </c>
      <c r="AD11" s="13" t="str">
        <f t="shared" si="2"/>
        <v>OK</v>
      </c>
      <c r="AE11">
        <v>5690130.8300000001</v>
      </c>
      <c r="AF11">
        <v>0</v>
      </c>
      <c r="AG11">
        <v>0</v>
      </c>
      <c r="AH11">
        <v>1397964.12</v>
      </c>
      <c r="AI11">
        <v>1705223.56</v>
      </c>
      <c r="AJ11" s="13" t="str">
        <f t="shared" si="3"/>
        <v>OK</v>
      </c>
      <c r="AK11">
        <v>0</v>
      </c>
      <c r="AL11" s="14">
        <v>0</v>
      </c>
      <c r="AM11">
        <v>0</v>
      </c>
      <c r="AN11">
        <v>0</v>
      </c>
      <c r="AO11">
        <v>3958917.22</v>
      </c>
      <c r="AP11">
        <v>3595917.22</v>
      </c>
      <c r="AQ11" s="15">
        <f t="shared" si="4"/>
        <v>-363000</v>
      </c>
      <c r="AR11">
        <v>3598917.22</v>
      </c>
      <c r="AS11">
        <v>3598917.22</v>
      </c>
      <c r="AT11">
        <v>0</v>
      </c>
      <c r="AU11">
        <v>0</v>
      </c>
      <c r="AV11" s="16">
        <f t="shared" si="5"/>
        <v>0</v>
      </c>
      <c r="AW11" s="13" t="str">
        <f t="shared" si="6"/>
        <v>NÃO</v>
      </c>
      <c r="AX11" s="13" t="str">
        <f t="shared" si="7"/>
        <v>OK</v>
      </c>
      <c r="AY11" s="13" t="str">
        <f t="shared" si="8"/>
        <v>OK</v>
      </c>
      <c r="AZ11">
        <f t="shared" si="9"/>
        <v>0.82534815811959106</v>
      </c>
    </row>
    <row r="12" spans="1:52" x14ac:dyDescent="0.3">
      <c r="B12" t="s">
        <v>42</v>
      </c>
      <c r="C12" t="s">
        <v>99</v>
      </c>
      <c r="D12" t="s">
        <v>100</v>
      </c>
      <c r="E12" t="s">
        <v>101</v>
      </c>
      <c r="F12" t="s">
        <v>46</v>
      </c>
      <c r="G12" t="s">
        <v>102</v>
      </c>
      <c r="H12" t="s">
        <v>48</v>
      </c>
      <c r="I12" t="s">
        <v>76</v>
      </c>
      <c r="J12" t="s">
        <v>50</v>
      </c>
      <c r="K12" t="s">
        <v>51</v>
      </c>
      <c r="L12" t="s">
        <v>51</v>
      </c>
      <c r="M12" t="s">
        <v>52</v>
      </c>
      <c r="N12" t="s">
        <v>103</v>
      </c>
      <c r="O12" s="11" t="str">
        <f t="shared" si="0"/>
        <v>OK</v>
      </c>
      <c r="P12" t="s">
        <v>54</v>
      </c>
      <c r="Q12" t="s">
        <v>54</v>
      </c>
      <c r="R12" t="s">
        <v>51</v>
      </c>
      <c r="S12" t="s">
        <v>55</v>
      </c>
      <c r="T12" s="1">
        <v>23737120.780000001</v>
      </c>
      <c r="U12" s="1">
        <v>18707804.190000001</v>
      </c>
      <c r="V12" s="13" t="str">
        <f t="shared" si="1"/>
        <v>OK</v>
      </c>
      <c r="W12" s="1">
        <v>22994300.600000001</v>
      </c>
      <c r="X12" s="1">
        <v>0</v>
      </c>
      <c r="Y12" t="s">
        <v>51</v>
      </c>
      <c r="Z12">
        <v>349852.72</v>
      </c>
      <c r="AA12">
        <v>0</v>
      </c>
      <c r="AB12">
        <v>5040</v>
      </c>
      <c r="AC12">
        <v>167735.67999999999</v>
      </c>
      <c r="AD12" s="13" t="str">
        <f t="shared" si="2"/>
        <v>OK</v>
      </c>
      <c r="AE12">
        <v>-8249.7900000000009</v>
      </c>
      <c r="AF12">
        <v>0</v>
      </c>
      <c r="AG12">
        <v>0</v>
      </c>
      <c r="AH12">
        <v>21676919.109999999</v>
      </c>
      <c r="AI12">
        <v>23737120.780000001</v>
      </c>
      <c r="AJ12" s="13" t="str">
        <f t="shared" si="3"/>
        <v>OK</v>
      </c>
      <c r="AK12">
        <v>0</v>
      </c>
      <c r="AL12" s="14">
        <v>0</v>
      </c>
      <c r="AM12">
        <v>2052870.8</v>
      </c>
      <c r="AN12">
        <v>2149510.2400000002</v>
      </c>
      <c r="AO12">
        <v>0</v>
      </c>
      <c r="AP12">
        <v>0</v>
      </c>
      <c r="AQ12" s="15">
        <f t="shared" si="4"/>
        <v>0</v>
      </c>
      <c r="AR12">
        <v>0</v>
      </c>
      <c r="AS12">
        <v>0</v>
      </c>
      <c r="AT12">
        <v>0</v>
      </c>
      <c r="AU12">
        <v>0</v>
      </c>
      <c r="AV12" s="16">
        <f t="shared" si="5"/>
        <v>0</v>
      </c>
      <c r="AW12" s="13" t="str">
        <f t="shared" si="6"/>
        <v>NÃO</v>
      </c>
      <c r="AX12" s="13" t="str">
        <f t="shared" si="7"/>
        <v>OK</v>
      </c>
      <c r="AY12" s="13" t="str">
        <f t="shared" si="8"/>
        <v>OK</v>
      </c>
      <c r="AZ12">
        <f t="shared" si="9"/>
        <v>-2033.2115120506096</v>
      </c>
    </row>
    <row r="13" spans="1:52" x14ac:dyDescent="0.3">
      <c r="B13" t="s">
        <v>42</v>
      </c>
      <c r="C13" t="s">
        <v>104</v>
      </c>
      <c r="D13" t="s">
        <v>105</v>
      </c>
      <c r="E13" t="s">
        <v>106</v>
      </c>
      <c r="F13" t="s">
        <v>46</v>
      </c>
      <c r="G13" t="s">
        <v>107</v>
      </c>
      <c r="H13" t="s">
        <v>60</v>
      </c>
      <c r="I13" t="s">
        <v>76</v>
      </c>
      <c r="J13" t="s">
        <v>50</v>
      </c>
      <c r="K13" t="s">
        <v>51</v>
      </c>
      <c r="L13" t="s">
        <v>51</v>
      </c>
      <c r="M13" t="s">
        <v>52</v>
      </c>
      <c r="N13" t="s">
        <v>108</v>
      </c>
      <c r="O13" s="11" t="str">
        <f t="shared" si="0"/>
        <v>OK</v>
      </c>
      <c r="P13" t="s">
        <v>54</v>
      </c>
      <c r="Q13" t="s">
        <v>54</v>
      </c>
      <c r="R13" t="s">
        <v>51</v>
      </c>
      <c r="S13" t="s">
        <v>55</v>
      </c>
      <c r="T13" s="1">
        <v>0</v>
      </c>
      <c r="U13" s="1">
        <v>22880993.43</v>
      </c>
      <c r="V13" s="13" t="str">
        <f t="shared" si="1"/>
        <v>OK</v>
      </c>
      <c r="W13" s="1">
        <v>22972685.960000001</v>
      </c>
      <c r="X13" s="1">
        <v>0</v>
      </c>
      <c r="Y13" t="s">
        <v>51</v>
      </c>
      <c r="Z13">
        <v>0</v>
      </c>
      <c r="AA13">
        <v>0</v>
      </c>
      <c r="AB13">
        <v>0</v>
      </c>
      <c r="AC13">
        <v>91692.53</v>
      </c>
      <c r="AD13" s="13" t="str">
        <f t="shared" si="2"/>
        <v>OK</v>
      </c>
      <c r="AE13">
        <v>19805480.949999999</v>
      </c>
      <c r="AF13">
        <v>0</v>
      </c>
      <c r="AG13">
        <v>0</v>
      </c>
      <c r="AH13">
        <v>3364776.23</v>
      </c>
      <c r="AI13">
        <v>3547857.37</v>
      </c>
      <c r="AJ13" s="13" t="str">
        <f t="shared" si="3"/>
        <v>OK</v>
      </c>
      <c r="AK13">
        <v>0</v>
      </c>
      <c r="AL13" s="14">
        <v>0</v>
      </c>
      <c r="AM13">
        <v>0</v>
      </c>
      <c r="AN13">
        <v>0</v>
      </c>
      <c r="AO13">
        <v>0</v>
      </c>
      <c r="AP13">
        <v>0</v>
      </c>
      <c r="AQ13" s="15">
        <f t="shared" si="4"/>
        <v>0</v>
      </c>
      <c r="AR13">
        <v>0</v>
      </c>
      <c r="AS13">
        <v>0</v>
      </c>
      <c r="AT13">
        <v>0</v>
      </c>
      <c r="AU13">
        <v>0</v>
      </c>
      <c r="AV13" s="16">
        <f t="shared" si="5"/>
        <v>0</v>
      </c>
      <c r="AW13" s="13" t="str">
        <f t="shared" si="6"/>
        <v>NÃO</v>
      </c>
      <c r="AX13" s="13" t="str">
        <f t="shared" si="7"/>
        <v>OK</v>
      </c>
      <c r="AY13" s="13" t="str">
        <f t="shared" si="8"/>
        <v>OK</v>
      </c>
      <c r="AZ13">
        <f t="shared" si="9"/>
        <v>0.46296542977917438</v>
      </c>
    </row>
    <row r="14" spans="1:52" x14ac:dyDescent="0.3">
      <c r="B14" t="s">
        <v>109</v>
      </c>
      <c r="C14" t="s">
        <v>110</v>
      </c>
      <c r="D14" t="s">
        <v>111</v>
      </c>
      <c r="E14" t="s">
        <v>112</v>
      </c>
      <c r="F14" t="s">
        <v>46</v>
      </c>
      <c r="G14" t="s">
        <v>71</v>
      </c>
      <c r="H14" t="s">
        <v>60</v>
      </c>
      <c r="I14" t="s">
        <v>49</v>
      </c>
      <c r="J14" t="s">
        <v>50</v>
      </c>
      <c r="K14" t="s">
        <v>51</v>
      </c>
      <c r="L14" t="s">
        <v>54</v>
      </c>
      <c r="M14" t="s">
        <v>52</v>
      </c>
      <c r="N14" t="s">
        <v>113</v>
      </c>
      <c r="O14" s="11" t="str">
        <f t="shared" si="0"/>
        <v>OK</v>
      </c>
      <c r="P14" t="s">
        <v>54</v>
      </c>
      <c r="Q14" t="s">
        <v>54</v>
      </c>
      <c r="R14" t="s">
        <v>51</v>
      </c>
      <c r="S14" t="s">
        <v>55</v>
      </c>
      <c r="T14" s="1">
        <v>-7615000</v>
      </c>
      <c r="U14" s="1">
        <v>651000</v>
      </c>
      <c r="V14" s="13" t="str">
        <f t="shared" si="1"/>
        <v>OK</v>
      </c>
      <c r="W14" s="1">
        <v>8475000</v>
      </c>
      <c r="X14" s="1">
        <v>0</v>
      </c>
      <c r="Y14" t="s">
        <v>51</v>
      </c>
      <c r="Z14">
        <v>119587</v>
      </c>
      <c r="AA14">
        <v>0</v>
      </c>
      <c r="AB14">
        <v>0</v>
      </c>
      <c r="AC14">
        <v>-7444000</v>
      </c>
      <c r="AD14" s="13" t="str">
        <f t="shared" si="2"/>
        <v>OK</v>
      </c>
      <c r="AE14">
        <v>45079000</v>
      </c>
      <c r="AG14">
        <v>0</v>
      </c>
      <c r="AH14">
        <v>0</v>
      </c>
      <c r="AI14">
        <v>0</v>
      </c>
      <c r="AJ14" s="13" t="str">
        <f t="shared" si="3"/>
        <v>OK</v>
      </c>
      <c r="AK14">
        <v>0</v>
      </c>
      <c r="AL14">
        <v>0</v>
      </c>
      <c r="AM14">
        <v>0</v>
      </c>
      <c r="AN14">
        <v>0</v>
      </c>
      <c r="AO14">
        <v>8041</v>
      </c>
      <c r="AP14">
        <v>8041</v>
      </c>
      <c r="AQ14" s="15">
        <f t="shared" si="4"/>
        <v>0</v>
      </c>
      <c r="AR14">
        <v>80414000</v>
      </c>
      <c r="AS14">
        <v>80414000</v>
      </c>
      <c r="AT14">
        <v>0</v>
      </c>
      <c r="AU14">
        <v>0</v>
      </c>
      <c r="AV14" s="16">
        <f t="shared" si="5"/>
        <v>0</v>
      </c>
      <c r="AW14" s="13" t="str">
        <f t="shared" si="6"/>
        <v>NÃO</v>
      </c>
      <c r="AX14" s="13" t="str">
        <f t="shared" si="7"/>
        <v>OK</v>
      </c>
      <c r="AY14" s="13" t="str">
        <f t="shared" si="8"/>
        <v>OK</v>
      </c>
      <c r="AZ14">
        <f t="shared" si="9"/>
        <v>-16.513232325473059</v>
      </c>
    </row>
    <row r="15" spans="1:52" x14ac:dyDescent="0.3">
      <c r="B15" t="s">
        <v>109</v>
      </c>
      <c r="C15" t="s">
        <v>130</v>
      </c>
      <c r="D15" t="s">
        <v>131</v>
      </c>
      <c r="E15" t="s">
        <v>132</v>
      </c>
      <c r="F15" t="s">
        <v>46</v>
      </c>
      <c r="G15" t="s">
        <v>133</v>
      </c>
      <c r="H15" t="s">
        <v>48</v>
      </c>
      <c r="I15" t="s">
        <v>49</v>
      </c>
      <c r="J15" t="s">
        <v>50</v>
      </c>
      <c r="K15" t="s">
        <v>51</v>
      </c>
      <c r="L15" t="s">
        <v>51</v>
      </c>
      <c r="M15" t="s">
        <v>134</v>
      </c>
      <c r="N15" t="s">
        <v>135</v>
      </c>
      <c r="O15" s="11" t="str">
        <f t="shared" si="0"/>
        <v>OK</v>
      </c>
      <c r="P15" t="s">
        <v>54</v>
      </c>
      <c r="Q15" t="s">
        <v>54</v>
      </c>
      <c r="R15" t="s">
        <v>51</v>
      </c>
      <c r="S15" t="s">
        <v>55</v>
      </c>
      <c r="T15" s="1">
        <v>5313174.59</v>
      </c>
      <c r="U15" s="1">
        <v>2192507.7200000002</v>
      </c>
      <c r="V15" s="13" t="str">
        <f t="shared" si="1"/>
        <v>OK</v>
      </c>
      <c r="W15" s="1">
        <v>7586434.21</v>
      </c>
      <c r="X15" s="1">
        <v>0</v>
      </c>
      <c r="Y15" t="s">
        <v>51</v>
      </c>
      <c r="Z15">
        <v>405711.63</v>
      </c>
      <c r="AA15">
        <v>0</v>
      </c>
      <c r="AB15">
        <v>0</v>
      </c>
      <c r="AC15">
        <v>646243.59</v>
      </c>
      <c r="AD15" s="13" t="str">
        <f t="shared" si="2"/>
        <v>OK</v>
      </c>
      <c r="AE15">
        <v>1354881.68</v>
      </c>
      <c r="AG15">
        <v>0</v>
      </c>
      <c r="AH15">
        <v>0</v>
      </c>
      <c r="AI15">
        <v>0</v>
      </c>
      <c r="AJ15" s="13" t="str">
        <f t="shared" si="3"/>
        <v>OK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15">
        <f t="shared" si="4"/>
        <v>0</v>
      </c>
      <c r="AR15">
        <v>10000000</v>
      </c>
      <c r="AS15">
        <v>0</v>
      </c>
      <c r="AT15">
        <v>0</v>
      </c>
      <c r="AU15">
        <v>0</v>
      </c>
      <c r="AV15" s="16">
        <f t="shared" si="5"/>
        <v>-10000000</v>
      </c>
      <c r="AW15" s="13" t="str">
        <f t="shared" si="6"/>
        <v>NÃO</v>
      </c>
      <c r="AX15" s="13" t="str">
        <f t="shared" si="7"/>
        <v>OK</v>
      </c>
      <c r="AY15" s="13" t="str">
        <f t="shared" si="8"/>
        <v>OK</v>
      </c>
      <c r="AZ15">
        <f t="shared" si="9"/>
        <v>47.697418862435285</v>
      </c>
    </row>
    <row r="16" spans="1:52" x14ac:dyDescent="0.3">
      <c r="B16" t="s">
        <v>109</v>
      </c>
      <c r="C16" t="s">
        <v>136</v>
      </c>
      <c r="D16" t="s">
        <v>137</v>
      </c>
      <c r="E16" t="s">
        <v>138</v>
      </c>
      <c r="F16" t="s">
        <v>46</v>
      </c>
      <c r="G16" t="s">
        <v>139</v>
      </c>
      <c r="H16" t="s">
        <v>60</v>
      </c>
      <c r="I16" t="s">
        <v>49</v>
      </c>
      <c r="J16" t="s">
        <v>50</v>
      </c>
      <c r="K16" t="s">
        <v>51</v>
      </c>
      <c r="L16" t="s">
        <v>51</v>
      </c>
      <c r="M16" t="s">
        <v>134</v>
      </c>
      <c r="N16" t="s">
        <v>140</v>
      </c>
      <c r="O16" s="11" t="str">
        <f t="shared" si="0"/>
        <v>OK</v>
      </c>
      <c r="P16" t="s">
        <v>54</v>
      </c>
      <c r="Q16" t="s">
        <v>54</v>
      </c>
      <c r="R16" t="s">
        <v>54</v>
      </c>
      <c r="S16" t="s">
        <v>141</v>
      </c>
      <c r="T16" s="1">
        <v>452797131.62</v>
      </c>
      <c r="U16" s="1">
        <v>25539770.41</v>
      </c>
      <c r="V16" s="13" t="str">
        <f t="shared" si="1"/>
        <v>OK</v>
      </c>
      <c r="W16" s="1">
        <v>457193681.31</v>
      </c>
      <c r="X16" s="1">
        <v>34430657.700000003</v>
      </c>
      <c r="Y16" t="s">
        <v>51</v>
      </c>
      <c r="Z16">
        <v>398267.27</v>
      </c>
      <c r="AA16">
        <v>0</v>
      </c>
      <c r="AB16">
        <v>0</v>
      </c>
      <c r="AC16">
        <v>40882909.780000001</v>
      </c>
      <c r="AD16" s="13" t="str">
        <f t="shared" si="2"/>
        <v>OK</v>
      </c>
      <c r="AE16">
        <v>140652177.31</v>
      </c>
      <c r="AG16">
        <v>10638724.09</v>
      </c>
      <c r="AH16">
        <v>0</v>
      </c>
      <c r="AI16">
        <v>0</v>
      </c>
      <c r="AJ16" s="13" t="str">
        <f t="shared" si="3"/>
        <v>OK</v>
      </c>
      <c r="AK16">
        <v>0</v>
      </c>
      <c r="AL16">
        <v>0</v>
      </c>
      <c r="AM16">
        <v>0</v>
      </c>
      <c r="AN16">
        <v>0</v>
      </c>
      <c r="AO16">
        <v>2873892.97</v>
      </c>
      <c r="AP16">
        <v>3212493.37</v>
      </c>
      <c r="AQ16" s="15">
        <f t="shared" si="4"/>
        <v>338600.39999999991</v>
      </c>
      <c r="AR16">
        <v>23729600.300000001</v>
      </c>
      <c r="AS16">
        <v>26525400.059999999</v>
      </c>
      <c r="AT16">
        <v>0</v>
      </c>
      <c r="AU16">
        <v>0</v>
      </c>
      <c r="AV16" s="16">
        <f t="shared" si="5"/>
        <v>2795799.7599999979</v>
      </c>
      <c r="AW16" s="13" t="str">
        <f t="shared" si="6"/>
        <v>SIM</v>
      </c>
      <c r="AX16" s="13" t="str">
        <f t="shared" si="7"/>
        <v>OK</v>
      </c>
      <c r="AY16" s="13" t="str">
        <f t="shared" si="8"/>
        <v>OK</v>
      </c>
      <c r="AZ16">
        <f t="shared" si="9"/>
        <v>29.066673948383542</v>
      </c>
    </row>
    <row r="17" spans="2:52" x14ac:dyDescent="0.3">
      <c r="B17" t="s">
        <v>109</v>
      </c>
      <c r="C17" t="s">
        <v>114</v>
      </c>
      <c r="D17" t="s">
        <v>115</v>
      </c>
      <c r="E17" t="s">
        <v>116</v>
      </c>
      <c r="F17" t="s">
        <v>70</v>
      </c>
      <c r="G17" t="s">
        <v>93</v>
      </c>
      <c r="H17" t="s">
        <v>60</v>
      </c>
      <c r="I17" t="s">
        <v>49</v>
      </c>
      <c r="J17" t="s">
        <v>50</v>
      </c>
      <c r="K17" t="s">
        <v>51</v>
      </c>
      <c r="L17" t="s">
        <v>51</v>
      </c>
      <c r="M17" t="s">
        <v>52</v>
      </c>
      <c r="N17" t="s">
        <v>117</v>
      </c>
      <c r="O17" s="11" t="str">
        <f t="shared" si="0"/>
        <v>OK</v>
      </c>
      <c r="P17" t="s">
        <v>51</v>
      </c>
      <c r="Q17" t="s">
        <v>54</v>
      </c>
      <c r="R17" t="s">
        <v>51</v>
      </c>
      <c r="S17" t="s">
        <v>55</v>
      </c>
      <c r="T17" s="1">
        <v>918583.9</v>
      </c>
      <c r="U17" s="1">
        <v>16778.87</v>
      </c>
      <c r="V17" s="13" t="str">
        <f t="shared" si="1"/>
        <v>OK</v>
      </c>
      <c r="W17" s="1">
        <v>376826.32</v>
      </c>
      <c r="X17" s="1">
        <v>323632.27</v>
      </c>
      <c r="Y17" t="s">
        <v>51</v>
      </c>
      <c r="Z17">
        <v>218125.31</v>
      </c>
      <c r="AA17">
        <v>0</v>
      </c>
      <c r="AB17">
        <v>0</v>
      </c>
      <c r="AC17">
        <v>-22558097.949999999</v>
      </c>
      <c r="AD17" s="13" t="str">
        <f t="shared" si="2"/>
        <v>OK</v>
      </c>
      <c r="AE17">
        <v>19491992.390000001</v>
      </c>
      <c r="AG17">
        <v>0</v>
      </c>
      <c r="AH17">
        <v>5776972.8600000003</v>
      </c>
      <c r="AI17">
        <v>2734521.95</v>
      </c>
      <c r="AJ17" s="13" t="str">
        <f t="shared" si="3"/>
        <v>OK</v>
      </c>
      <c r="AK17">
        <v>109554974.48</v>
      </c>
      <c r="AL17" s="14">
        <v>109619225.59</v>
      </c>
      <c r="AM17">
        <v>0</v>
      </c>
      <c r="AN17">
        <v>0</v>
      </c>
      <c r="AO17">
        <v>0</v>
      </c>
      <c r="AP17">
        <v>0</v>
      </c>
      <c r="AQ17" s="15">
        <f t="shared" si="4"/>
        <v>0</v>
      </c>
      <c r="AR17">
        <v>20251520.620000001</v>
      </c>
      <c r="AS17">
        <v>20251520.620000001</v>
      </c>
      <c r="AT17">
        <v>0</v>
      </c>
      <c r="AU17">
        <v>0</v>
      </c>
      <c r="AV17" s="16">
        <f t="shared" si="5"/>
        <v>0</v>
      </c>
      <c r="AW17" s="13" t="str">
        <f t="shared" si="6"/>
        <v>NÃO</v>
      </c>
      <c r="AX17" s="13" t="str">
        <f t="shared" si="7"/>
        <v>OK</v>
      </c>
      <c r="AY17" s="13" t="str">
        <f t="shared" si="8"/>
        <v>OK</v>
      </c>
      <c r="AZ17">
        <f t="shared" si="9"/>
        <v>-115.73007776040897</v>
      </c>
    </row>
    <row r="18" spans="2:52" x14ac:dyDescent="0.3">
      <c r="B18" t="s">
        <v>109</v>
      </c>
      <c r="C18" t="s">
        <v>142</v>
      </c>
      <c r="D18" t="s">
        <v>143</v>
      </c>
      <c r="E18" t="s">
        <v>144</v>
      </c>
      <c r="F18" t="s">
        <v>46</v>
      </c>
      <c r="G18" t="s">
        <v>107</v>
      </c>
      <c r="H18" t="s">
        <v>60</v>
      </c>
      <c r="I18" t="s">
        <v>49</v>
      </c>
      <c r="J18" t="s">
        <v>50</v>
      </c>
      <c r="K18" t="s">
        <v>51</v>
      </c>
      <c r="L18" t="s">
        <v>51</v>
      </c>
      <c r="M18" t="s">
        <v>134</v>
      </c>
      <c r="N18" t="s">
        <v>145</v>
      </c>
      <c r="O18" s="11" t="str">
        <f t="shared" si="0"/>
        <v>OK</v>
      </c>
      <c r="P18" t="s">
        <v>54</v>
      </c>
      <c r="Q18" t="s">
        <v>54</v>
      </c>
      <c r="R18" t="s">
        <v>54</v>
      </c>
      <c r="S18" t="s">
        <v>146</v>
      </c>
      <c r="T18" s="1">
        <v>464911233</v>
      </c>
      <c r="U18" s="1">
        <v>109360615</v>
      </c>
      <c r="V18" s="13" t="str">
        <f t="shared" si="1"/>
        <v>OK</v>
      </c>
      <c r="W18" s="1">
        <v>543831809.48000002</v>
      </c>
      <c r="X18" s="1">
        <v>11453707.220000001</v>
      </c>
      <c r="Y18" t="s">
        <v>51</v>
      </c>
      <c r="Z18">
        <v>475077.99</v>
      </c>
      <c r="AA18">
        <v>0</v>
      </c>
      <c r="AB18">
        <v>23628.57</v>
      </c>
      <c r="AC18">
        <v>76660074</v>
      </c>
      <c r="AD18" s="13" t="str">
        <f t="shared" si="2"/>
        <v>OK</v>
      </c>
      <c r="AE18">
        <v>6571826958</v>
      </c>
      <c r="AG18">
        <v>0</v>
      </c>
      <c r="AH18">
        <v>0</v>
      </c>
      <c r="AI18">
        <v>0</v>
      </c>
      <c r="AJ18" s="13" t="str">
        <f t="shared" si="3"/>
        <v>OK</v>
      </c>
      <c r="AK18">
        <v>0</v>
      </c>
      <c r="AL18">
        <v>0</v>
      </c>
      <c r="AM18">
        <v>44880272.469999999</v>
      </c>
      <c r="AN18">
        <v>51271902.340000004</v>
      </c>
      <c r="AO18">
        <v>1364435968.8099999</v>
      </c>
      <c r="AP18">
        <v>1364435968.8099999</v>
      </c>
      <c r="AQ18" s="15">
        <f t="shared" si="4"/>
        <v>0</v>
      </c>
      <c r="AR18">
        <v>469681938.81</v>
      </c>
      <c r="AS18">
        <v>525570038.81</v>
      </c>
      <c r="AT18">
        <v>287699727.52999997</v>
      </c>
      <c r="AU18">
        <v>231811627.53</v>
      </c>
      <c r="AV18" s="16">
        <f t="shared" si="5"/>
        <v>287699727.52999997</v>
      </c>
      <c r="AW18" s="13" t="str">
        <f t="shared" si="6"/>
        <v>SIM</v>
      </c>
      <c r="AX18" s="13" t="str">
        <f t="shared" si="7"/>
        <v>VER CAPITAL</v>
      </c>
      <c r="AY18" s="13" t="str">
        <f t="shared" si="8"/>
        <v>OK</v>
      </c>
      <c r="AZ18">
        <f t="shared" si="9"/>
        <v>1.1664956257967254</v>
      </c>
    </row>
    <row r="19" spans="2:52" x14ac:dyDescent="0.3">
      <c r="B19" t="s">
        <v>109</v>
      </c>
      <c r="C19" t="s">
        <v>147</v>
      </c>
      <c r="D19" t="s">
        <v>148</v>
      </c>
      <c r="E19" t="s">
        <v>149</v>
      </c>
      <c r="F19" t="s">
        <v>46</v>
      </c>
      <c r="G19" t="s">
        <v>150</v>
      </c>
      <c r="H19" t="s">
        <v>60</v>
      </c>
      <c r="I19" t="s">
        <v>49</v>
      </c>
      <c r="J19" t="s">
        <v>50</v>
      </c>
      <c r="K19" t="s">
        <v>51</v>
      </c>
      <c r="L19" t="s">
        <v>51</v>
      </c>
      <c r="M19" t="s">
        <v>134</v>
      </c>
      <c r="N19" t="s">
        <v>151</v>
      </c>
      <c r="O19" s="11" t="str">
        <f t="shared" si="0"/>
        <v>OK</v>
      </c>
      <c r="P19" t="s">
        <v>54</v>
      </c>
      <c r="Q19" t="s">
        <v>54</v>
      </c>
      <c r="R19" t="s">
        <v>51</v>
      </c>
      <c r="S19" t="s">
        <v>152</v>
      </c>
      <c r="T19" s="1">
        <v>17985777.949999999</v>
      </c>
      <c r="U19" s="1">
        <v>12885085.75</v>
      </c>
      <c r="V19" s="13" t="str">
        <f t="shared" si="1"/>
        <v>OK</v>
      </c>
      <c r="W19" s="1">
        <v>20957137.050000001</v>
      </c>
      <c r="X19" s="1">
        <v>0</v>
      </c>
      <c r="Y19" t="s">
        <v>51</v>
      </c>
      <c r="Z19">
        <v>298779.51</v>
      </c>
      <c r="AA19">
        <v>0</v>
      </c>
      <c r="AB19">
        <v>0</v>
      </c>
      <c r="AC19">
        <v>-5899240.4000000004</v>
      </c>
      <c r="AD19" s="13" t="str">
        <f t="shared" si="2"/>
        <v>OK</v>
      </c>
      <c r="AE19">
        <v>217370.56</v>
      </c>
      <c r="AG19">
        <v>0</v>
      </c>
      <c r="AH19">
        <v>0</v>
      </c>
      <c r="AI19">
        <v>0</v>
      </c>
      <c r="AJ19" s="13" t="str">
        <f t="shared" si="3"/>
        <v>OK</v>
      </c>
      <c r="AK19">
        <v>0</v>
      </c>
      <c r="AL19">
        <v>0</v>
      </c>
      <c r="AM19">
        <v>0</v>
      </c>
      <c r="AN19">
        <v>0</v>
      </c>
      <c r="AO19">
        <v>10083000</v>
      </c>
      <c r="AP19">
        <v>10083000</v>
      </c>
      <c r="AQ19" s="15">
        <f t="shared" si="4"/>
        <v>0</v>
      </c>
      <c r="AR19">
        <v>10083000</v>
      </c>
      <c r="AS19">
        <v>10083000</v>
      </c>
      <c r="AT19">
        <v>0</v>
      </c>
      <c r="AU19">
        <v>0</v>
      </c>
      <c r="AV19" s="16">
        <f t="shared" si="5"/>
        <v>0</v>
      </c>
      <c r="AW19" s="13" t="str">
        <f t="shared" si="6"/>
        <v>NÃO</v>
      </c>
      <c r="AX19" s="13" t="str">
        <f t="shared" si="7"/>
        <v>OK</v>
      </c>
      <c r="AY19" s="13" t="str">
        <f t="shared" si="8"/>
        <v>OK</v>
      </c>
      <c r="AZ19">
        <f t="shared" si="9"/>
        <v>-2713.9095561054819</v>
      </c>
    </row>
    <row r="20" spans="2:52" x14ac:dyDescent="0.3">
      <c r="B20" t="s">
        <v>109</v>
      </c>
      <c r="C20" t="s">
        <v>118</v>
      </c>
      <c r="D20" t="s">
        <v>119</v>
      </c>
      <c r="E20" t="s">
        <v>120</v>
      </c>
      <c r="F20" t="s">
        <v>70</v>
      </c>
      <c r="G20" t="s">
        <v>121</v>
      </c>
      <c r="H20" t="s">
        <v>60</v>
      </c>
      <c r="I20" t="s">
        <v>49</v>
      </c>
      <c r="J20" t="s">
        <v>50</v>
      </c>
      <c r="K20" t="s">
        <v>51</v>
      </c>
      <c r="L20" t="s">
        <v>51</v>
      </c>
      <c r="M20" t="s">
        <v>52</v>
      </c>
      <c r="N20" t="s">
        <v>66</v>
      </c>
      <c r="O20" s="11" t="str">
        <f t="shared" si="0"/>
        <v>OK</v>
      </c>
      <c r="P20" t="s">
        <v>51</v>
      </c>
      <c r="Q20" t="s">
        <v>54</v>
      </c>
      <c r="R20" t="s">
        <v>51</v>
      </c>
      <c r="S20" t="s">
        <v>55</v>
      </c>
      <c r="T20" s="1">
        <v>416573.91</v>
      </c>
      <c r="U20" s="1">
        <v>4793.9399999999996</v>
      </c>
      <c r="V20" s="13" t="str">
        <f t="shared" si="1"/>
        <v>VERIFICAR</v>
      </c>
      <c r="W20" s="1">
        <v>4793.9399999999996</v>
      </c>
      <c r="X20" s="1">
        <v>0</v>
      </c>
      <c r="Y20" t="s">
        <v>51</v>
      </c>
      <c r="Z20">
        <v>62321.22</v>
      </c>
      <c r="AA20">
        <v>0</v>
      </c>
      <c r="AB20">
        <v>152320.29</v>
      </c>
      <c r="AC20">
        <v>86544.66</v>
      </c>
      <c r="AD20" s="13" t="str">
        <f t="shared" si="2"/>
        <v>OK</v>
      </c>
      <c r="AE20">
        <v>-50970.82</v>
      </c>
      <c r="AG20">
        <v>0</v>
      </c>
      <c r="AH20">
        <v>354932.54</v>
      </c>
      <c r="AI20">
        <v>430375.27</v>
      </c>
      <c r="AJ20" s="13" t="str">
        <f t="shared" si="3"/>
        <v>OK</v>
      </c>
      <c r="AK20">
        <v>837615.8</v>
      </c>
      <c r="AL20" s="14">
        <v>837615.8</v>
      </c>
      <c r="AM20">
        <v>0</v>
      </c>
      <c r="AN20">
        <v>0</v>
      </c>
      <c r="AO20">
        <v>0</v>
      </c>
      <c r="AP20">
        <v>0</v>
      </c>
      <c r="AQ20" s="15">
        <f t="shared" si="4"/>
        <v>0</v>
      </c>
      <c r="AR20">
        <v>0</v>
      </c>
      <c r="AS20">
        <v>0</v>
      </c>
      <c r="AT20">
        <v>0</v>
      </c>
      <c r="AU20">
        <v>0</v>
      </c>
      <c r="AV20" s="16">
        <f t="shared" si="5"/>
        <v>0</v>
      </c>
      <c r="AW20" s="13" t="str">
        <f t="shared" si="6"/>
        <v>NÃO</v>
      </c>
      <c r="AX20" s="13" t="str">
        <f t="shared" si="7"/>
        <v>OK</v>
      </c>
      <c r="AY20" s="13" t="str">
        <f t="shared" si="8"/>
        <v>OK</v>
      </c>
      <c r="AZ20">
        <f t="shared" si="9"/>
        <v>-169.79255974300591</v>
      </c>
    </row>
    <row r="21" spans="2:52" x14ac:dyDescent="0.3">
      <c r="B21" t="s">
        <v>109</v>
      </c>
      <c r="C21" t="s">
        <v>122</v>
      </c>
      <c r="D21" t="s">
        <v>123</v>
      </c>
      <c r="E21" t="s">
        <v>124</v>
      </c>
      <c r="F21" t="s">
        <v>70</v>
      </c>
      <c r="G21" t="s">
        <v>71</v>
      </c>
      <c r="H21" t="s">
        <v>60</v>
      </c>
      <c r="I21" t="s">
        <v>49</v>
      </c>
      <c r="J21" t="s">
        <v>50</v>
      </c>
      <c r="K21" t="s">
        <v>51</v>
      </c>
      <c r="L21" t="s">
        <v>51</v>
      </c>
      <c r="M21" t="s">
        <v>52</v>
      </c>
      <c r="N21" t="s">
        <v>125</v>
      </c>
      <c r="O21" s="11" t="str">
        <f t="shared" si="0"/>
        <v>OK</v>
      </c>
      <c r="P21" t="s">
        <v>51</v>
      </c>
      <c r="Q21" t="s">
        <v>54</v>
      </c>
      <c r="R21" t="s">
        <v>51</v>
      </c>
      <c r="S21" t="s">
        <v>55</v>
      </c>
      <c r="T21" s="1">
        <v>538686.31999999995</v>
      </c>
      <c r="U21" s="1">
        <v>554179.85</v>
      </c>
      <c r="V21" s="13" t="str">
        <f t="shared" si="1"/>
        <v>OK</v>
      </c>
      <c r="W21" s="1">
        <v>20349597.219999999</v>
      </c>
      <c r="X21" s="1">
        <v>0</v>
      </c>
      <c r="Y21" t="s">
        <v>51</v>
      </c>
      <c r="Z21">
        <v>325324.89</v>
      </c>
      <c r="AA21">
        <v>0</v>
      </c>
      <c r="AB21">
        <v>0</v>
      </c>
      <c r="AC21">
        <v>-20349597.219999999</v>
      </c>
      <c r="AD21" s="13" t="str">
        <f t="shared" si="2"/>
        <v>OK</v>
      </c>
      <c r="AE21">
        <v>120732790.76000001</v>
      </c>
      <c r="AG21">
        <v>0</v>
      </c>
      <c r="AH21">
        <v>100000</v>
      </c>
      <c r="AI21">
        <v>100000</v>
      </c>
      <c r="AJ21" s="13" t="str">
        <f t="shared" si="3"/>
        <v>OK</v>
      </c>
      <c r="AK21">
        <v>0</v>
      </c>
      <c r="AL21" s="14">
        <v>0</v>
      </c>
      <c r="AM21">
        <v>0</v>
      </c>
      <c r="AN21">
        <v>16000000</v>
      </c>
      <c r="AO21">
        <v>6750</v>
      </c>
      <c r="AP21">
        <v>6750</v>
      </c>
      <c r="AQ21" s="15">
        <f t="shared" si="4"/>
        <v>0</v>
      </c>
      <c r="AR21">
        <v>499811100.00999999</v>
      </c>
      <c r="AS21">
        <v>499811100.00999999</v>
      </c>
      <c r="AT21">
        <v>0</v>
      </c>
      <c r="AU21">
        <v>0</v>
      </c>
      <c r="AV21" s="16">
        <f t="shared" si="5"/>
        <v>0</v>
      </c>
      <c r="AW21" s="13" t="str">
        <f t="shared" si="6"/>
        <v>NÃO</v>
      </c>
      <c r="AX21" s="13" t="str">
        <f t="shared" si="7"/>
        <v>OK</v>
      </c>
      <c r="AY21" s="13" t="str">
        <f t="shared" si="8"/>
        <v>OK</v>
      </c>
      <c r="AZ21">
        <f t="shared" si="9"/>
        <v>-16.85507068287038</v>
      </c>
    </row>
    <row r="22" spans="2:52" x14ac:dyDescent="0.3">
      <c r="B22" t="s">
        <v>109</v>
      </c>
      <c r="C22" t="s">
        <v>126</v>
      </c>
      <c r="D22" t="s">
        <v>127</v>
      </c>
      <c r="E22" t="s">
        <v>128</v>
      </c>
      <c r="F22" t="s">
        <v>70</v>
      </c>
      <c r="G22" t="s">
        <v>59</v>
      </c>
      <c r="H22" t="s">
        <v>60</v>
      </c>
      <c r="I22" t="s">
        <v>49</v>
      </c>
      <c r="J22" t="s">
        <v>50</v>
      </c>
      <c r="K22" t="s">
        <v>51</v>
      </c>
      <c r="L22" t="s">
        <v>51</v>
      </c>
      <c r="M22" t="s">
        <v>52</v>
      </c>
      <c r="N22" t="s">
        <v>129</v>
      </c>
      <c r="O22" s="11" t="str">
        <f t="shared" si="0"/>
        <v>OK</v>
      </c>
      <c r="P22" t="s">
        <v>51</v>
      </c>
      <c r="Q22" t="s">
        <v>54</v>
      </c>
      <c r="R22" t="s">
        <v>51</v>
      </c>
      <c r="S22" t="s">
        <v>55</v>
      </c>
      <c r="T22" s="1">
        <v>539804.76</v>
      </c>
      <c r="U22" s="1">
        <v>41523.440000000002</v>
      </c>
      <c r="V22" s="13" t="str">
        <f t="shared" si="1"/>
        <v>OK</v>
      </c>
      <c r="W22" s="1">
        <v>42358.91</v>
      </c>
      <c r="X22" s="1">
        <v>0</v>
      </c>
      <c r="Y22" t="s">
        <v>51</v>
      </c>
      <c r="Z22">
        <v>539804.72</v>
      </c>
      <c r="AA22">
        <v>0</v>
      </c>
      <c r="AB22">
        <v>0</v>
      </c>
      <c r="AC22">
        <v>0</v>
      </c>
      <c r="AD22" s="13" t="str">
        <f t="shared" si="2"/>
        <v>OK</v>
      </c>
      <c r="AE22">
        <v>-1653049.78</v>
      </c>
      <c r="AG22">
        <v>0</v>
      </c>
      <c r="AH22">
        <v>1018063.95</v>
      </c>
      <c r="AI22">
        <v>387314.54</v>
      </c>
      <c r="AJ22" s="13" t="str">
        <f t="shared" si="3"/>
        <v>OK</v>
      </c>
      <c r="AK22">
        <v>3889423.1</v>
      </c>
      <c r="AL22" s="14">
        <v>3855251.38</v>
      </c>
      <c r="AM22">
        <v>0</v>
      </c>
      <c r="AN22">
        <v>0</v>
      </c>
      <c r="AO22">
        <v>0</v>
      </c>
      <c r="AP22">
        <v>0</v>
      </c>
      <c r="AQ22" s="15">
        <f t="shared" si="4"/>
        <v>0</v>
      </c>
      <c r="AR22">
        <v>-505486.95</v>
      </c>
      <c r="AS22">
        <v>-505486.95</v>
      </c>
      <c r="AT22">
        <v>0</v>
      </c>
      <c r="AU22">
        <v>0</v>
      </c>
      <c r="AV22" s="16">
        <f t="shared" si="5"/>
        <v>0</v>
      </c>
      <c r="AW22" s="13" t="str">
        <f t="shared" si="6"/>
        <v>NÃO</v>
      </c>
      <c r="AX22" s="13" t="str">
        <f t="shared" si="7"/>
        <v>OK</v>
      </c>
      <c r="AY22" s="13" t="str">
        <f t="shared" si="8"/>
        <v>OK</v>
      </c>
      <c r="AZ22">
        <f t="shared" si="9"/>
        <v>0</v>
      </c>
    </row>
    <row r="23" spans="2:52" x14ac:dyDescent="0.3">
      <c r="B23" t="s">
        <v>153</v>
      </c>
      <c r="C23" t="s">
        <v>154</v>
      </c>
      <c r="D23" t="s">
        <v>155</v>
      </c>
      <c r="E23" t="s">
        <v>156</v>
      </c>
      <c r="F23" t="s">
        <v>46</v>
      </c>
      <c r="G23" t="s">
        <v>65</v>
      </c>
      <c r="H23" t="s">
        <v>48</v>
      </c>
      <c r="I23" t="s">
        <v>49</v>
      </c>
      <c r="J23" t="s">
        <v>50</v>
      </c>
      <c r="K23" t="s">
        <v>51</v>
      </c>
      <c r="L23" t="s">
        <v>51</v>
      </c>
      <c r="M23" t="s">
        <v>52</v>
      </c>
      <c r="N23" t="s">
        <v>157</v>
      </c>
      <c r="O23" s="11" t="str">
        <f t="shared" si="0"/>
        <v>OK</v>
      </c>
      <c r="P23" t="s">
        <v>54</v>
      </c>
      <c r="Q23" t="s">
        <v>54</v>
      </c>
      <c r="R23" t="s">
        <v>51</v>
      </c>
      <c r="S23" t="s">
        <v>158</v>
      </c>
      <c r="T23" s="1">
        <v>1890024.01</v>
      </c>
      <c r="U23" s="1">
        <v>4164370.39</v>
      </c>
      <c r="V23" s="13" t="str">
        <f t="shared" si="1"/>
        <v>OK</v>
      </c>
      <c r="W23" s="1">
        <v>135665693.66999999</v>
      </c>
      <c r="X23" s="1">
        <v>0</v>
      </c>
      <c r="Y23" t="s">
        <v>51</v>
      </c>
      <c r="Z23">
        <v>180416.58</v>
      </c>
      <c r="AA23">
        <v>0</v>
      </c>
      <c r="AB23">
        <v>133966.39999999999</v>
      </c>
      <c r="AC23">
        <v>-4743532.0199999996</v>
      </c>
      <c r="AD23" s="13" t="str">
        <f t="shared" si="2"/>
        <v>OK</v>
      </c>
      <c r="AE23">
        <v>795178.7</v>
      </c>
      <c r="AF23">
        <v>0</v>
      </c>
      <c r="AG23">
        <v>0</v>
      </c>
      <c r="AH23">
        <v>102148016.19</v>
      </c>
      <c r="AI23">
        <v>125829889.81999999</v>
      </c>
      <c r="AJ23" s="13" t="str">
        <f t="shared" si="3"/>
        <v>OK</v>
      </c>
      <c r="AK23">
        <v>0</v>
      </c>
      <c r="AL23" s="14">
        <v>0</v>
      </c>
      <c r="AM23">
        <v>0</v>
      </c>
      <c r="AN23">
        <v>0</v>
      </c>
      <c r="AO23">
        <v>0</v>
      </c>
      <c r="AP23">
        <v>0</v>
      </c>
      <c r="AQ23" s="15">
        <f t="shared" si="4"/>
        <v>0</v>
      </c>
      <c r="AR23">
        <v>10000000</v>
      </c>
      <c r="AS23">
        <v>10000000</v>
      </c>
      <c r="AT23">
        <v>0</v>
      </c>
      <c r="AU23">
        <v>0</v>
      </c>
      <c r="AV23" s="16">
        <f t="shared" si="5"/>
        <v>0</v>
      </c>
      <c r="AW23" s="13" t="str">
        <f t="shared" si="6"/>
        <v>NÃO</v>
      </c>
      <c r="AX23" s="13" t="str">
        <f t="shared" si="7"/>
        <v>OK</v>
      </c>
      <c r="AY23" s="13" t="str">
        <f t="shared" si="8"/>
        <v>OK</v>
      </c>
      <c r="AZ23">
        <f t="shared" si="9"/>
        <v>-596.53660491660548</v>
      </c>
    </row>
    <row r="24" spans="2:52" x14ac:dyDescent="0.3">
      <c r="B24" t="s">
        <v>153</v>
      </c>
      <c r="C24" t="s">
        <v>175</v>
      </c>
      <c r="D24" t="s">
        <v>176</v>
      </c>
      <c r="E24" t="s">
        <v>177</v>
      </c>
      <c r="F24" t="s">
        <v>46</v>
      </c>
      <c r="G24" t="s">
        <v>71</v>
      </c>
      <c r="H24" t="s">
        <v>48</v>
      </c>
      <c r="I24" t="s">
        <v>49</v>
      </c>
      <c r="J24" t="s">
        <v>50</v>
      </c>
      <c r="K24" t="s">
        <v>51</v>
      </c>
      <c r="L24" t="s">
        <v>51</v>
      </c>
      <c r="M24" t="s">
        <v>134</v>
      </c>
      <c r="N24" t="s">
        <v>178</v>
      </c>
      <c r="O24" s="11" t="str">
        <f t="shared" si="0"/>
        <v>OK</v>
      </c>
      <c r="P24" t="s">
        <v>54</v>
      </c>
      <c r="Q24" t="s">
        <v>54</v>
      </c>
      <c r="R24" t="s">
        <v>54</v>
      </c>
      <c r="S24" t="s">
        <v>179</v>
      </c>
      <c r="T24" s="1">
        <v>26835089</v>
      </c>
      <c r="U24" s="1">
        <v>50347132.960000001</v>
      </c>
      <c r="V24" s="13" t="str">
        <f t="shared" si="1"/>
        <v>OK</v>
      </c>
      <c r="W24" s="1">
        <v>372372597.11000001</v>
      </c>
      <c r="X24" s="1">
        <v>322025464.14999998</v>
      </c>
      <c r="Y24" t="s">
        <v>51</v>
      </c>
      <c r="Z24">
        <v>567085.72</v>
      </c>
      <c r="AA24">
        <v>0</v>
      </c>
      <c r="AB24">
        <v>34305.43</v>
      </c>
      <c r="AC24">
        <v>14463129.66</v>
      </c>
      <c r="AD24" s="13" t="str">
        <f t="shared" si="2"/>
        <v>OK</v>
      </c>
      <c r="AE24">
        <v>125785991.54000001</v>
      </c>
      <c r="AF24">
        <v>0</v>
      </c>
      <c r="AG24">
        <v>0</v>
      </c>
      <c r="AH24">
        <v>0</v>
      </c>
      <c r="AI24">
        <v>0</v>
      </c>
      <c r="AJ24" s="13" t="str">
        <f t="shared" si="3"/>
        <v>OK</v>
      </c>
      <c r="AK24">
        <v>0</v>
      </c>
      <c r="AL24">
        <v>0</v>
      </c>
      <c r="AM24">
        <v>0</v>
      </c>
      <c r="AN24">
        <v>0</v>
      </c>
      <c r="AO24">
        <v>103963256</v>
      </c>
      <c r="AP24">
        <v>106465046</v>
      </c>
      <c r="AQ24" s="15">
        <f t="shared" si="4"/>
        <v>2501790</v>
      </c>
      <c r="AR24">
        <v>103963256</v>
      </c>
      <c r="AS24">
        <v>106465046</v>
      </c>
      <c r="AT24">
        <v>0</v>
      </c>
      <c r="AU24">
        <v>0</v>
      </c>
      <c r="AV24" s="16">
        <f t="shared" si="5"/>
        <v>2501790</v>
      </c>
      <c r="AW24" s="13" t="str">
        <f t="shared" si="6"/>
        <v>SIM</v>
      </c>
      <c r="AX24" s="13" t="str">
        <f t="shared" si="7"/>
        <v>OK</v>
      </c>
      <c r="AY24" s="13" t="str">
        <f t="shared" si="8"/>
        <v>OK</v>
      </c>
      <c r="AZ24">
        <f t="shared" si="9"/>
        <v>11.498203800699633</v>
      </c>
    </row>
    <row r="25" spans="2:52" x14ac:dyDescent="0.3">
      <c r="B25" t="s">
        <v>153</v>
      </c>
      <c r="C25" t="s">
        <v>159</v>
      </c>
      <c r="D25" t="s">
        <v>160</v>
      </c>
      <c r="E25" t="s">
        <v>161</v>
      </c>
      <c r="F25" t="s">
        <v>46</v>
      </c>
      <c r="G25" t="s">
        <v>162</v>
      </c>
      <c r="H25" t="s">
        <v>48</v>
      </c>
      <c r="I25" t="s">
        <v>76</v>
      </c>
      <c r="J25" t="s">
        <v>50</v>
      </c>
      <c r="K25" t="s">
        <v>51</v>
      </c>
      <c r="L25" t="s">
        <v>51</v>
      </c>
      <c r="M25" t="s">
        <v>52</v>
      </c>
      <c r="N25" t="s">
        <v>163</v>
      </c>
      <c r="O25" s="11" t="str">
        <f t="shared" si="0"/>
        <v>OK</v>
      </c>
      <c r="P25" t="s">
        <v>54</v>
      </c>
      <c r="Q25" t="s">
        <v>54</v>
      </c>
      <c r="R25" t="s">
        <v>54</v>
      </c>
      <c r="S25" t="s">
        <v>164</v>
      </c>
      <c r="T25" s="1">
        <v>631607.64</v>
      </c>
      <c r="U25" s="1">
        <v>13648434.779999999</v>
      </c>
      <c r="V25" s="13" t="str">
        <f t="shared" si="1"/>
        <v>OK</v>
      </c>
      <c r="W25" s="1">
        <v>104858079.98999999</v>
      </c>
      <c r="X25" s="1">
        <v>38772283</v>
      </c>
      <c r="Y25" t="s">
        <v>51</v>
      </c>
      <c r="Z25">
        <v>407740</v>
      </c>
      <c r="AA25">
        <v>0</v>
      </c>
      <c r="AB25">
        <v>0</v>
      </c>
      <c r="AC25">
        <v>-803617.85</v>
      </c>
      <c r="AD25" s="13" t="str">
        <f t="shared" si="2"/>
        <v>OK</v>
      </c>
      <c r="AE25">
        <v>4189166.07</v>
      </c>
      <c r="AF25">
        <v>0</v>
      </c>
      <c r="AG25">
        <v>0</v>
      </c>
      <c r="AH25">
        <v>71978545.769999996</v>
      </c>
      <c r="AI25">
        <v>104258633.95999999</v>
      </c>
      <c r="AJ25" s="13" t="str">
        <f t="shared" si="3"/>
        <v>OK</v>
      </c>
      <c r="AK25">
        <v>2807045.37</v>
      </c>
      <c r="AL25" s="14">
        <v>6734566.1699999999</v>
      </c>
      <c r="AM25">
        <v>0</v>
      </c>
      <c r="AN25">
        <v>0</v>
      </c>
      <c r="AO25">
        <v>1</v>
      </c>
      <c r="AP25">
        <v>1</v>
      </c>
      <c r="AQ25" s="15">
        <f t="shared" si="4"/>
        <v>0</v>
      </c>
      <c r="AR25">
        <v>27123375.379999999</v>
      </c>
      <c r="AS25">
        <v>27123375.379999999</v>
      </c>
      <c r="AT25">
        <v>0</v>
      </c>
      <c r="AU25">
        <v>0</v>
      </c>
      <c r="AV25" s="16">
        <f t="shared" si="5"/>
        <v>0</v>
      </c>
      <c r="AW25" s="13" t="str">
        <f t="shared" si="6"/>
        <v>NÃO</v>
      </c>
      <c r="AX25" s="13" t="str">
        <f t="shared" si="7"/>
        <v>OK</v>
      </c>
      <c r="AY25" s="13" t="str">
        <f t="shared" si="8"/>
        <v>OK</v>
      </c>
      <c r="AZ25">
        <f t="shared" si="9"/>
        <v>-19.183241642172472</v>
      </c>
    </row>
    <row r="26" spans="2:52" x14ac:dyDescent="0.3">
      <c r="B26" t="s">
        <v>153</v>
      </c>
      <c r="C26" t="s">
        <v>180</v>
      </c>
      <c r="D26" t="s">
        <v>181</v>
      </c>
      <c r="E26" t="s">
        <v>182</v>
      </c>
      <c r="F26" t="s">
        <v>46</v>
      </c>
      <c r="G26" t="s">
        <v>133</v>
      </c>
      <c r="H26" t="s">
        <v>48</v>
      </c>
      <c r="I26" t="s">
        <v>49</v>
      </c>
      <c r="J26" t="s">
        <v>50</v>
      </c>
      <c r="K26" t="s">
        <v>51</v>
      </c>
      <c r="L26" t="s">
        <v>51</v>
      </c>
      <c r="M26" t="s">
        <v>134</v>
      </c>
      <c r="N26" t="s">
        <v>183</v>
      </c>
      <c r="O26" s="11" t="str">
        <f t="shared" si="0"/>
        <v>OK</v>
      </c>
      <c r="P26" t="s">
        <v>54</v>
      </c>
      <c r="Q26" t="s">
        <v>54</v>
      </c>
      <c r="R26" t="s">
        <v>54</v>
      </c>
      <c r="S26" t="s">
        <v>184</v>
      </c>
      <c r="T26" s="1">
        <v>765121</v>
      </c>
      <c r="U26" s="1">
        <v>4383063</v>
      </c>
      <c r="V26" s="13" t="str">
        <f t="shared" si="1"/>
        <v>OK</v>
      </c>
      <c r="W26" s="1">
        <v>4974652</v>
      </c>
      <c r="X26" s="1">
        <v>0</v>
      </c>
      <c r="Y26" t="s">
        <v>51</v>
      </c>
      <c r="Z26">
        <v>439200</v>
      </c>
      <c r="AA26">
        <v>0</v>
      </c>
      <c r="AB26">
        <v>6500</v>
      </c>
      <c r="AC26">
        <v>6811743</v>
      </c>
      <c r="AD26" s="13" t="str">
        <f t="shared" si="2"/>
        <v>OK</v>
      </c>
      <c r="AE26">
        <v>153408</v>
      </c>
      <c r="AF26">
        <v>0</v>
      </c>
      <c r="AG26">
        <v>0</v>
      </c>
      <c r="AH26">
        <v>0</v>
      </c>
      <c r="AI26">
        <v>0</v>
      </c>
      <c r="AJ26" s="13" t="str">
        <f t="shared" si="3"/>
        <v>OK</v>
      </c>
      <c r="AK26">
        <v>0</v>
      </c>
      <c r="AL26">
        <v>0</v>
      </c>
      <c r="AM26">
        <v>6000000</v>
      </c>
      <c r="AN26">
        <v>4000000</v>
      </c>
      <c r="AO26">
        <v>15000000</v>
      </c>
      <c r="AP26">
        <v>19000000</v>
      </c>
      <c r="AQ26" s="15">
        <f t="shared" si="4"/>
        <v>4000000</v>
      </c>
      <c r="AR26">
        <v>15000000</v>
      </c>
      <c r="AS26">
        <v>19000000</v>
      </c>
      <c r="AT26">
        <v>0</v>
      </c>
      <c r="AU26">
        <v>0</v>
      </c>
      <c r="AV26" s="16">
        <f t="shared" si="5"/>
        <v>4000000</v>
      </c>
      <c r="AW26" s="13" t="str">
        <f t="shared" si="6"/>
        <v>SIM</v>
      </c>
      <c r="AX26" s="13" t="str">
        <f t="shared" si="7"/>
        <v>VER CAPITAL</v>
      </c>
      <c r="AY26" s="13" t="str">
        <f t="shared" si="8"/>
        <v>OK</v>
      </c>
      <c r="AZ26">
        <f t="shared" si="9"/>
        <v>4440.2788642052565</v>
      </c>
    </row>
    <row r="27" spans="2:52" x14ac:dyDescent="0.3">
      <c r="B27" t="s">
        <v>153</v>
      </c>
      <c r="C27" t="s">
        <v>165</v>
      </c>
      <c r="D27" t="s">
        <v>166</v>
      </c>
      <c r="E27" t="s">
        <v>167</v>
      </c>
      <c r="F27" t="s">
        <v>46</v>
      </c>
      <c r="G27" t="s">
        <v>65</v>
      </c>
      <c r="H27" t="s">
        <v>60</v>
      </c>
      <c r="I27" t="s">
        <v>49</v>
      </c>
      <c r="J27" t="s">
        <v>50</v>
      </c>
      <c r="K27" t="s">
        <v>51</v>
      </c>
      <c r="L27" t="s">
        <v>51</v>
      </c>
      <c r="M27" t="s">
        <v>52</v>
      </c>
      <c r="N27" t="s">
        <v>168</v>
      </c>
      <c r="O27" s="11" t="str">
        <f t="shared" si="0"/>
        <v>OK</v>
      </c>
      <c r="P27" t="s">
        <v>54</v>
      </c>
      <c r="Q27" t="s">
        <v>54</v>
      </c>
      <c r="R27" t="s">
        <v>51</v>
      </c>
      <c r="S27" t="s">
        <v>169</v>
      </c>
      <c r="T27" s="1">
        <v>0</v>
      </c>
      <c r="U27" s="1">
        <v>30883606.66</v>
      </c>
      <c r="V27" s="13" t="str">
        <f t="shared" si="1"/>
        <v>OK</v>
      </c>
      <c r="W27" s="1">
        <v>35833133.880000003</v>
      </c>
      <c r="X27" s="1">
        <v>0</v>
      </c>
      <c r="Y27" t="s">
        <v>51</v>
      </c>
      <c r="Z27">
        <v>758106.55</v>
      </c>
      <c r="AA27">
        <v>0</v>
      </c>
      <c r="AB27">
        <v>6500</v>
      </c>
      <c r="AC27">
        <v>-18991278.859999999</v>
      </c>
      <c r="AD27" s="13" t="str">
        <f t="shared" si="2"/>
        <v>OK</v>
      </c>
      <c r="AE27">
        <v>53266635.340000004</v>
      </c>
      <c r="AF27">
        <v>0</v>
      </c>
      <c r="AG27">
        <v>0</v>
      </c>
      <c r="AH27">
        <v>30817836.329999998</v>
      </c>
      <c r="AI27">
        <v>17074546.300000001</v>
      </c>
      <c r="AJ27" s="13" t="str">
        <f t="shared" si="3"/>
        <v>OK</v>
      </c>
      <c r="AK27">
        <v>0</v>
      </c>
      <c r="AL27" s="14">
        <v>0</v>
      </c>
      <c r="AM27">
        <v>0</v>
      </c>
      <c r="AN27">
        <v>16526312.359999999</v>
      </c>
      <c r="AO27">
        <v>62880631</v>
      </c>
      <c r="AP27">
        <v>66058773</v>
      </c>
      <c r="AQ27" s="15">
        <f t="shared" si="4"/>
        <v>3178142</v>
      </c>
      <c r="AR27">
        <v>326979280.27999997</v>
      </c>
      <c r="AS27">
        <v>343505592.63999999</v>
      </c>
      <c r="AT27">
        <v>49020719.719999999</v>
      </c>
      <c r="AU27">
        <v>32494407.359999999</v>
      </c>
      <c r="AV27" s="16">
        <f t="shared" si="5"/>
        <v>49020719.720000014</v>
      </c>
      <c r="AW27" s="13" t="str">
        <f t="shared" si="6"/>
        <v>SIM</v>
      </c>
      <c r="AX27" s="13" t="str">
        <f t="shared" si="7"/>
        <v>OK</v>
      </c>
      <c r="AY27" s="13" t="str">
        <f t="shared" si="8"/>
        <v>OK</v>
      </c>
      <c r="AZ27">
        <f t="shared" si="9"/>
        <v>-35.653235348504744</v>
      </c>
    </row>
    <row r="28" spans="2:52" x14ac:dyDescent="0.3">
      <c r="B28" t="s">
        <v>153</v>
      </c>
      <c r="C28" t="s">
        <v>185</v>
      </c>
      <c r="D28" t="s">
        <v>186</v>
      </c>
      <c r="E28" t="s">
        <v>187</v>
      </c>
      <c r="F28" t="s">
        <v>46</v>
      </c>
      <c r="G28" t="s">
        <v>139</v>
      </c>
      <c r="H28" t="s">
        <v>60</v>
      </c>
      <c r="I28" t="s">
        <v>49</v>
      </c>
      <c r="J28" t="s">
        <v>50</v>
      </c>
      <c r="K28" t="s">
        <v>51</v>
      </c>
      <c r="L28" t="s">
        <v>51</v>
      </c>
      <c r="M28" t="s">
        <v>134</v>
      </c>
      <c r="N28" t="s">
        <v>188</v>
      </c>
      <c r="O28" s="11" t="str">
        <f t="shared" si="0"/>
        <v>OK</v>
      </c>
      <c r="P28" t="s">
        <v>54</v>
      </c>
      <c r="Q28" t="s">
        <v>54</v>
      </c>
      <c r="R28" t="s">
        <v>51</v>
      </c>
      <c r="S28" t="s">
        <v>189</v>
      </c>
      <c r="T28" s="1">
        <v>3553037371.2399998</v>
      </c>
      <c r="U28" s="1">
        <v>2056766.34</v>
      </c>
      <c r="V28" s="13" t="str">
        <f t="shared" si="1"/>
        <v>OK</v>
      </c>
      <c r="W28" s="1">
        <v>3376108206.3499999</v>
      </c>
      <c r="X28" s="1">
        <v>22339239.859999999</v>
      </c>
      <c r="Y28" t="s">
        <v>54</v>
      </c>
      <c r="Z28">
        <v>765000</v>
      </c>
      <c r="AA28">
        <v>45000</v>
      </c>
      <c r="AB28">
        <v>14048</v>
      </c>
      <c r="AC28">
        <v>197284083.28999999</v>
      </c>
      <c r="AD28" s="13" t="str">
        <f t="shared" si="2"/>
        <v>OK</v>
      </c>
      <c r="AE28">
        <v>505089714.62</v>
      </c>
      <c r="AF28">
        <v>0</v>
      </c>
      <c r="AG28">
        <v>11365846.16</v>
      </c>
      <c r="AH28">
        <v>0</v>
      </c>
      <c r="AI28">
        <v>0</v>
      </c>
      <c r="AJ28" s="13" t="str">
        <f t="shared" si="3"/>
        <v>OK</v>
      </c>
      <c r="AK28">
        <v>0</v>
      </c>
      <c r="AL28">
        <v>0</v>
      </c>
      <c r="AM28">
        <v>0</v>
      </c>
      <c r="AN28">
        <v>0</v>
      </c>
      <c r="AO28">
        <v>12059543</v>
      </c>
      <c r="AP28">
        <v>12059543</v>
      </c>
      <c r="AQ28" s="15">
        <f t="shared" si="4"/>
        <v>0</v>
      </c>
      <c r="AR28">
        <v>45042129.149999999</v>
      </c>
      <c r="AS28">
        <v>58100044.649999999</v>
      </c>
      <c r="AT28">
        <v>0</v>
      </c>
      <c r="AU28">
        <v>0</v>
      </c>
      <c r="AV28" s="16">
        <f t="shared" si="5"/>
        <v>13057915.5</v>
      </c>
      <c r="AW28" s="13" t="str">
        <f t="shared" si="6"/>
        <v>SIM</v>
      </c>
      <c r="AX28" s="13" t="str">
        <f t="shared" si="7"/>
        <v>OK</v>
      </c>
      <c r="AY28" s="13" t="str">
        <f t="shared" si="8"/>
        <v>OK</v>
      </c>
      <c r="AZ28">
        <f t="shared" si="9"/>
        <v>39.059216131222357</v>
      </c>
    </row>
    <row r="29" spans="2:52" x14ac:dyDescent="0.3">
      <c r="B29" t="s">
        <v>153</v>
      </c>
      <c r="C29" t="s">
        <v>170</v>
      </c>
      <c r="D29" t="s">
        <v>171</v>
      </c>
      <c r="E29" t="s">
        <v>172</v>
      </c>
      <c r="F29" t="s">
        <v>46</v>
      </c>
      <c r="G29" t="s">
        <v>107</v>
      </c>
      <c r="H29" t="s">
        <v>60</v>
      </c>
      <c r="I29" t="s">
        <v>49</v>
      </c>
      <c r="J29" t="s">
        <v>50</v>
      </c>
      <c r="K29" t="s">
        <v>51</v>
      </c>
      <c r="L29" t="s">
        <v>51</v>
      </c>
      <c r="M29" t="s">
        <v>52</v>
      </c>
      <c r="N29" t="s">
        <v>173</v>
      </c>
      <c r="O29" s="11" t="str">
        <f t="shared" si="0"/>
        <v>OK</v>
      </c>
      <c r="P29" t="s">
        <v>54</v>
      </c>
      <c r="Q29" t="s">
        <v>54</v>
      </c>
      <c r="R29" t="s">
        <v>51</v>
      </c>
      <c r="S29" t="s">
        <v>174</v>
      </c>
      <c r="T29" s="1">
        <v>73990520.629999995</v>
      </c>
      <c r="U29" s="1">
        <v>45340671.369999997</v>
      </c>
      <c r="V29" s="13" t="str">
        <f t="shared" si="1"/>
        <v>OK</v>
      </c>
      <c r="W29" s="1">
        <v>83896774.049999997</v>
      </c>
      <c r="X29" s="1">
        <v>4303097.24</v>
      </c>
      <c r="Y29" t="s">
        <v>51</v>
      </c>
      <c r="Z29">
        <v>469688.87</v>
      </c>
      <c r="AA29">
        <v>0</v>
      </c>
      <c r="AB29">
        <v>4525.34</v>
      </c>
      <c r="AC29">
        <v>-8231341.8700000001</v>
      </c>
      <c r="AD29" s="13" t="str">
        <f t="shared" si="2"/>
        <v>OK</v>
      </c>
      <c r="AE29">
        <v>-22972208.93</v>
      </c>
      <c r="AF29">
        <v>0</v>
      </c>
      <c r="AG29">
        <v>0</v>
      </c>
      <c r="AH29">
        <v>47283701.479999997</v>
      </c>
      <c r="AI29">
        <v>49576265.740000002</v>
      </c>
      <c r="AJ29" s="13" t="str">
        <f t="shared" si="3"/>
        <v>OK</v>
      </c>
      <c r="AK29">
        <v>0</v>
      </c>
      <c r="AL29" s="14">
        <v>0</v>
      </c>
      <c r="AM29">
        <v>4042877.04</v>
      </c>
      <c r="AN29">
        <v>1290000</v>
      </c>
      <c r="AO29">
        <v>22094870827</v>
      </c>
      <c r="AP29">
        <v>22094870827</v>
      </c>
      <c r="AQ29" s="15">
        <f t="shared" si="4"/>
        <v>0</v>
      </c>
      <c r="AR29">
        <v>533862739.94999999</v>
      </c>
      <c r="AS29">
        <v>533862739.94999999</v>
      </c>
      <c r="AT29">
        <v>0</v>
      </c>
      <c r="AU29">
        <v>0</v>
      </c>
      <c r="AV29" s="16">
        <f t="shared" si="5"/>
        <v>0</v>
      </c>
      <c r="AW29" s="13" t="str">
        <f t="shared" si="6"/>
        <v>NÃO</v>
      </c>
      <c r="AX29" s="13" t="str">
        <f t="shared" si="7"/>
        <v>OK</v>
      </c>
      <c r="AY29" s="13" t="str">
        <f t="shared" si="8"/>
        <v>OK</v>
      </c>
      <c r="AZ29">
        <f t="shared" si="9"/>
        <v>35.831738667718966</v>
      </c>
    </row>
    <row r="30" spans="2:52" x14ac:dyDescent="0.3">
      <c r="B30" t="s">
        <v>153</v>
      </c>
      <c r="C30" t="s">
        <v>190</v>
      </c>
      <c r="D30" t="s">
        <v>191</v>
      </c>
      <c r="E30" t="s">
        <v>192</v>
      </c>
      <c r="F30" t="s">
        <v>46</v>
      </c>
      <c r="G30" t="s">
        <v>47</v>
      </c>
      <c r="H30" t="s">
        <v>60</v>
      </c>
      <c r="I30" t="s">
        <v>49</v>
      </c>
      <c r="J30" t="s">
        <v>50</v>
      </c>
      <c r="K30" t="s">
        <v>51</v>
      </c>
      <c r="L30" t="s">
        <v>51</v>
      </c>
      <c r="M30" t="s">
        <v>134</v>
      </c>
      <c r="N30" t="s">
        <v>193</v>
      </c>
      <c r="O30" s="11" t="str">
        <f t="shared" si="0"/>
        <v>OK</v>
      </c>
      <c r="P30" t="s">
        <v>54</v>
      </c>
      <c r="Q30" t="s">
        <v>54</v>
      </c>
      <c r="R30" t="s">
        <v>54</v>
      </c>
      <c r="S30" t="s">
        <v>194</v>
      </c>
      <c r="T30" s="1">
        <v>136009915</v>
      </c>
      <c r="U30" s="1">
        <v>69725561</v>
      </c>
      <c r="V30" s="13" t="str">
        <f t="shared" si="1"/>
        <v>OK</v>
      </c>
      <c r="W30" s="1">
        <v>78824023</v>
      </c>
      <c r="X30" s="1">
        <v>9098462</v>
      </c>
      <c r="Y30" t="s">
        <v>51</v>
      </c>
      <c r="Z30">
        <v>730797.6</v>
      </c>
      <c r="AA30">
        <v>0</v>
      </c>
      <c r="AB30">
        <v>23926.98</v>
      </c>
      <c r="AC30">
        <v>9749845</v>
      </c>
      <c r="AD30" s="13" t="str">
        <f t="shared" si="2"/>
        <v>OK</v>
      </c>
      <c r="AE30">
        <v>25157069</v>
      </c>
      <c r="AF30">
        <v>0</v>
      </c>
      <c r="AG30">
        <v>0</v>
      </c>
      <c r="AH30">
        <v>0</v>
      </c>
      <c r="AI30">
        <v>0</v>
      </c>
      <c r="AJ30" s="13" t="str">
        <f t="shared" si="3"/>
        <v>OK</v>
      </c>
      <c r="AK30">
        <v>0</v>
      </c>
      <c r="AL30">
        <v>0</v>
      </c>
      <c r="AM30">
        <v>0</v>
      </c>
      <c r="AN30">
        <v>0</v>
      </c>
      <c r="AO30">
        <v>99.89</v>
      </c>
      <c r="AP30">
        <v>99.89</v>
      </c>
      <c r="AQ30" s="15">
        <f t="shared" si="4"/>
        <v>0</v>
      </c>
      <c r="AR30">
        <v>45193991</v>
      </c>
      <c r="AS30">
        <v>45193991</v>
      </c>
      <c r="AT30">
        <v>0</v>
      </c>
      <c r="AU30">
        <v>0</v>
      </c>
      <c r="AV30" s="16">
        <f t="shared" si="5"/>
        <v>0</v>
      </c>
      <c r="AW30" s="13" t="str">
        <f t="shared" si="6"/>
        <v>NÃO</v>
      </c>
      <c r="AX30" s="13" t="str">
        <f t="shared" si="7"/>
        <v>OK</v>
      </c>
      <c r="AY30" s="13" t="str">
        <f t="shared" si="8"/>
        <v>OK</v>
      </c>
      <c r="AZ30">
        <f t="shared" si="9"/>
        <v>38.755886069239622</v>
      </c>
    </row>
    <row r="31" spans="2:52" x14ac:dyDescent="0.3">
      <c r="B31" t="s">
        <v>195</v>
      </c>
      <c r="C31" t="s">
        <v>201</v>
      </c>
      <c r="D31" t="s">
        <v>202</v>
      </c>
      <c r="E31" t="s">
        <v>203</v>
      </c>
      <c r="F31" t="s">
        <v>46</v>
      </c>
      <c r="G31" t="s">
        <v>71</v>
      </c>
      <c r="H31" t="s">
        <v>48</v>
      </c>
      <c r="I31" t="s">
        <v>49</v>
      </c>
      <c r="J31" t="s">
        <v>50</v>
      </c>
      <c r="K31" t="s">
        <v>51</v>
      </c>
      <c r="L31" t="s">
        <v>51</v>
      </c>
      <c r="M31" t="s">
        <v>134</v>
      </c>
      <c r="N31" t="s">
        <v>204</v>
      </c>
      <c r="O31" s="11" t="str">
        <f t="shared" si="0"/>
        <v>OK</v>
      </c>
      <c r="P31" t="s">
        <v>54</v>
      </c>
      <c r="Q31" t="s">
        <v>54</v>
      </c>
      <c r="R31" t="s">
        <v>51</v>
      </c>
      <c r="S31" t="s">
        <v>55</v>
      </c>
      <c r="T31" s="1">
        <v>11665247.24</v>
      </c>
      <c r="U31" s="1">
        <v>4546633.3600000003</v>
      </c>
      <c r="V31" s="13" t="str">
        <f t="shared" si="1"/>
        <v>OK</v>
      </c>
      <c r="W31" s="1">
        <v>13015640.720000001</v>
      </c>
      <c r="X31" s="1">
        <v>0</v>
      </c>
      <c r="Y31" t="s">
        <v>51</v>
      </c>
      <c r="Z31">
        <v>204363.69</v>
      </c>
      <c r="AA31">
        <v>0</v>
      </c>
      <c r="AB31">
        <v>63428.18</v>
      </c>
      <c r="AC31">
        <v>-1045966.91</v>
      </c>
      <c r="AD31" s="13" t="str">
        <f t="shared" si="2"/>
        <v>OK</v>
      </c>
      <c r="AE31">
        <v>16811613.52</v>
      </c>
      <c r="AF31">
        <v>0</v>
      </c>
      <c r="AG31">
        <v>0</v>
      </c>
      <c r="AH31">
        <v>0</v>
      </c>
      <c r="AI31">
        <v>0</v>
      </c>
      <c r="AJ31" s="13" t="str">
        <f t="shared" si="3"/>
        <v>OK</v>
      </c>
      <c r="AK31">
        <v>0</v>
      </c>
      <c r="AL31">
        <v>0</v>
      </c>
      <c r="AM31">
        <v>0</v>
      </c>
      <c r="AN31">
        <v>0</v>
      </c>
      <c r="AO31">
        <v>39255740</v>
      </c>
      <c r="AP31">
        <v>39255740</v>
      </c>
      <c r="AQ31" s="15">
        <f t="shared" si="4"/>
        <v>0</v>
      </c>
      <c r="AR31">
        <v>34455740.380000003</v>
      </c>
      <c r="AS31">
        <v>39255740.079999998</v>
      </c>
      <c r="AT31">
        <v>34455740</v>
      </c>
      <c r="AU31">
        <v>39255740.079999998</v>
      </c>
      <c r="AV31" s="16">
        <f t="shared" si="5"/>
        <v>44055739.779999994</v>
      </c>
      <c r="AW31" s="13" t="str">
        <f t="shared" si="6"/>
        <v>SIM</v>
      </c>
      <c r="AX31" s="13" t="str">
        <f t="shared" si="7"/>
        <v>OK</v>
      </c>
      <c r="AY31" s="13" t="str">
        <f t="shared" si="8"/>
        <v>OK</v>
      </c>
      <c r="AZ31">
        <f t="shared" si="9"/>
        <v>-6.2216925743365534</v>
      </c>
    </row>
    <row r="32" spans="2:52" x14ac:dyDescent="0.3">
      <c r="B32" t="s">
        <v>195</v>
      </c>
      <c r="C32" t="s">
        <v>196</v>
      </c>
      <c r="D32" t="s">
        <v>197</v>
      </c>
      <c r="E32" t="s">
        <v>198</v>
      </c>
      <c r="F32" t="s">
        <v>46</v>
      </c>
      <c r="G32" t="s">
        <v>107</v>
      </c>
      <c r="H32" t="s">
        <v>60</v>
      </c>
      <c r="I32" t="s">
        <v>49</v>
      </c>
      <c r="J32" t="s">
        <v>50</v>
      </c>
      <c r="K32" t="s">
        <v>51</v>
      </c>
      <c r="L32" t="s">
        <v>51</v>
      </c>
      <c r="M32" t="s">
        <v>52</v>
      </c>
      <c r="N32" t="s">
        <v>199</v>
      </c>
      <c r="O32" s="11" t="str">
        <f t="shared" si="0"/>
        <v>OK</v>
      </c>
      <c r="P32" t="s">
        <v>54</v>
      </c>
      <c r="Q32" t="s">
        <v>54</v>
      </c>
      <c r="R32" t="s">
        <v>51</v>
      </c>
      <c r="S32" t="s">
        <v>200</v>
      </c>
      <c r="T32" s="1">
        <v>2764377.26</v>
      </c>
      <c r="U32" s="1">
        <v>45689257.880000003</v>
      </c>
      <c r="V32" s="13" t="str">
        <f t="shared" si="1"/>
        <v>OK</v>
      </c>
      <c r="W32" s="1">
        <v>126082680.95999999</v>
      </c>
      <c r="X32" s="1">
        <v>519101.98</v>
      </c>
      <c r="Y32" t="s">
        <v>51</v>
      </c>
      <c r="Z32">
        <v>284698.07</v>
      </c>
      <c r="AA32">
        <v>0</v>
      </c>
      <c r="AB32">
        <v>200076.6</v>
      </c>
      <c r="AC32">
        <v>-123318303.7</v>
      </c>
      <c r="AD32" s="13" t="str">
        <f t="shared" si="2"/>
        <v>OK</v>
      </c>
      <c r="AE32">
        <v>121298484.36</v>
      </c>
      <c r="AF32">
        <v>0</v>
      </c>
      <c r="AG32">
        <v>0</v>
      </c>
      <c r="AH32">
        <v>51326172.649999999</v>
      </c>
      <c r="AI32">
        <v>51535694.859999999</v>
      </c>
      <c r="AJ32" s="13" t="str">
        <f t="shared" si="3"/>
        <v>OK</v>
      </c>
      <c r="AK32">
        <v>158572310.09999999</v>
      </c>
      <c r="AL32" s="14">
        <v>111865380.09999999</v>
      </c>
      <c r="AM32">
        <v>51326172.649999999</v>
      </c>
      <c r="AN32">
        <v>51535694.859999999</v>
      </c>
      <c r="AO32">
        <v>5245225458</v>
      </c>
      <c r="AP32">
        <v>5245225458</v>
      </c>
      <c r="AQ32" s="15">
        <f t="shared" si="4"/>
        <v>0</v>
      </c>
      <c r="AR32">
        <v>506959171.86000001</v>
      </c>
      <c r="AS32">
        <v>559820138.57000005</v>
      </c>
      <c r="AT32">
        <v>52860966.710000001</v>
      </c>
      <c r="AU32">
        <v>52607136.350000001</v>
      </c>
      <c r="AV32" s="16">
        <f t="shared" si="5"/>
        <v>105468103.06000003</v>
      </c>
      <c r="AW32" s="13" t="str">
        <f t="shared" si="6"/>
        <v>SIM</v>
      </c>
      <c r="AX32" s="13" t="str">
        <f t="shared" si="7"/>
        <v>OK</v>
      </c>
      <c r="AY32" s="13" t="str">
        <f t="shared" si="8"/>
        <v>OK</v>
      </c>
      <c r="AZ32">
        <f t="shared" si="9"/>
        <v>-101.66516453248121</v>
      </c>
    </row>
    <row r="33" spans="2:52" x14ac:dyDescent="0.3">
      <c r="B33" t="s">
        <v>195</v>
      </c>
      <c r="C33" t="s">
        <v>205</v>
      </c>
      <c r="D33" t="s">
        <v>206</v>
      </c>
      <c r="E33" t="s">
        <v>207</v>
      </c>
      <c r="F33" t="s">
        <v>46</v>
      </c>
      <c r="G33" t="s">
        <v>139</v>
      </c>
      <c r="H33" t="s">
        <v>60</v>
      </c>
      <c r="I33" t="s">
        <v>49</v>
      </c>
      <c r="J33" t="s">
        <v>50</v>
      </c>
      <c r="K33" t="s">
        <v>51</v>
      </c>
      <c r="L33" t="s">
        <v>51</v>
      </c>
      <c r="M33" t="s">
        <v>134</v>
      </c>
      <c r="N33" t="s">
        <v>208</v>
      </c>
      <c r="O33" s="11" t="str">
        <f t="shared" si="0"/>
        <v>OK</v>
      </c>
      <c r="P33" t="s">
        <v>54</v>
      </c>
      <c r="Q33" t="s">
        <v>54</v>
      </c>
      <c r="R33" t="s">
        <v>51</v>
      </c>
      <c r="S33" t="s">
        <v>209</v>
      </c>
      <c r="T33" s="1">
        <v>0</v>
      </c>
      <c r="U33" s="1">
        <v>169282.13</v>
      </c>
      <c r="V33" s="13" t="str">
        <f t="shared" si="1"/>
        <v>OK</v>
      </c>
      <c r="W33" s="1">
        <v>312664.81</v>
      </c>
      <c r="X33" s="1">
        <v>0</v>
      </c>
      <c r="Y33" t="s">
        <v>51</v>
      </c>
      <c r="Z33">
        <v>58275</v>
      </c>
      <c r="AA33">
        <v>0</v>
      </c>
      <c r="AB33">
        <v>0</v>
      </c>
      <c r="AC33">
        <v>332463.03000000003</v>
      </c>
      <c r="AD33" s="13" t="str">
        <f t="shared" si="2"/>
        <v>OK</v>
      </c>
      <c r="AE33">
        <v>135120.81</v>
      </c>
      <c r="AF33">
        <v>0</v>
      </c>
      <c r="AG33">
        <v>0</v>
      </c>
      <c r="AH33">
        <v>0</v>
      </c>
      <c r="AI33">
        <v>0</v>
      </c>
      <c r="AJ33" s="13" t="str">
        <f t="shared" si="3"/>
        <v>OK</v>
      </c>
      <c r="AK33">
        <v>0</v>
      </c>
      <c r="AL33">
        <v>0</v>
      </c>
      <c r="AM33">
        <v>0</v>
      </c>
      <c r="AN33">
        <v>0</v>
      </c>
      <c r="AO33">
        <v>790500</v>
      </c>
      <c r="AP33">
        <v>790500</v>
      </c>
      <c r="AQ33" s="15">
        <f t="shared" si="4"/>
        <v>0</v>
      </c>
      <c r="AR33">
        <v>2999000</v>
      </c>
      <c r="AS33">
        <v>31000</v>
      </c>
      <c r="AT33">
        <v>101000</v>
      </c>
      <c r="AU33">
        <v>0</v>
      </c>
      <c r="AV33" s="16">
        <f t="shared" si="5"/>
        <v>-2968000</v>
      </c>
      <c r="AW33" s="13" t="str">
        <f t="shared" si="6"/>
        <v>NÃO</v>
      </c>
      <c r="AX33" s="13" t="str">
        <f t="shared" si="7"/>
        <v>OK</v>
      </c>
      <c r="AY33" s="13" t="str">
        <f t="shared" si="8"/>
        <v>OK</v>
      </c>
      <c r="AZ33">
        <f t="shared" si="9"/>
        <v>246.04872484112553</v>
      </c>
    </row>
    <row r="34" spans="2:52" x14ac:dyDescent="0.3">
      <c r="B34" t="s">
        <v>210</v>
      </c>
      <c r="C34" t="s">
        <v>242</v>
      </c>
      <c r="D34" t="s">
        <v>243</v>
      </c>
      <c r="E34" t="s">
        <v>244</v>
      </c>
      <c r="F34" t="s">
        <v>46</v>
      </c>
      <c r="G34" t="s">
        <v>139</v>
      </c>
      <c r="H34" t="s">
        <v>60</v>
      </c>
      <c r="I34" t="s">
        <v>49</v>
      </c>
      <c r="J34" t="s">
        <v>50</v>
      </c>
      <c r="K34" t="s">
        <v>51</v>
      </c>
      <c r="L34" t="s">
        <v>51</v>
      </c>
      <c r="M34" t="s">
        <v>134</v>
      </c>
      <c r="N34" t="s">
        <v>245</v>
      </c>
      <c r="O34" s="11" t="str">
        <f t="shared" si="0"/>
        <v>OK</v>
      </c>
      <c r="P34" t="s">
        <v>54</v>
      </c>
      <c r="Q34" t="s">
        <v>54</v>
      </c>
      <c r="R34" t="s">
        <v>54</v>
      </c>
      <c r="S34" t="s">
        <v>246</v>
      </c>
      <c r="T34" s="1">
        <v>3128385341.6500001</v>
      </c>
      <c r="U34" s="1">
        <v>103012287.98</v>
      </c>
      <c r="V34" s="13" t="str">
        <f t="shared" si="1"/>
        <v>OK</v>
      </c>
      <c r="W34" s="1">
        <v>552970028.78999996</v>
      </c>
      <c r="X34" s="1">
        <v>236254413.09999999</v>
      </c>
      <c r="Y34" t="s">
        <v>54</v>
      </c>
      <c r="Z34">
        <v>560751.35999999999</v>
      </c>
      <c r="AA34">
        <v>103582.81</v>
      </c>
      <c r="AB34">
        <v>0</v>
      </c>
      <c r="AC34">
        <v>197681366.03999999</v>
      </c>
      <c r="AD34" s="13" t="str">
        <f t="shared" si="2"/>
        <v>OK</v>
      </c>
      <c r="AE34">
        <v>1137863930.4300001</v>
      </c>
      <c r="AF34">
        <v>0</v>
      </c>
      <c r="AG34">
        <v>66931377.329999998</v>
      </c>
      <c r="AH34">
        <v>0</v>
      </c>
      <c r="AI34">
        <v>0</v>
      </c>
      <c r="AJ34" s="13" t="str">
        <f t="shared" si="3"/>
        <v>OK</v>
      </c>
      <c r="AK34">
        <v>0</v>
      </c>
      <c r="AL34">
        <v>0</v>
      </c>
      <c r="AM34">
        <v>0</v>
      </c>
      <c r="AN34">
        <v>0</v>
      </c>
      <c r="AO34">
        <v>13490874</v>
      </c>
      <c r="AP34">
        <v>15162188</v>
      </c>
      <c r="AQ34" s="15">
        <f t="shared" si="4"/>
        <v>1671314</v>
      </c>
      <c r="AR34">
        <v>316726740.44999999</v>
      </c>
      <c r="AS34">
        <v>355964332.77999997</v>
      </c>
      <c r="AT34">
        <v>0</v>
      </c>
      <c r="AU34">
        <v>0</v>
      </c>
      <c r="AV34" s="16">
        <f t="shared" si="5"/>
        <v>39237592.329999983</v>
      </c>
      <c r="AW34" s="13" t="str">
        <f t="shared" si="6"/>
        <v>SIM</v>
      </c>
      <c r="AX34" s="13" t="str">
        <f t="shared" si="7"/>
        <v>OK</v>
      </c>
      <c r="AY34" s="13" t="str">
        <f t="shared" si="8"/>
        <v>OK</v>
      </c>
      <c r="AZ34">
        <f t="shared" si="9"/>
        <v>17.373023324967861</v>
      </c>
    </row>
    <row r="35" spans="2:52" x14ac:dyDescent="0.3">
      <c r="B35" t="s">
        <v>210</v>
      </c>
      <c r="C35" t="s">
        <v>247</v>
      </c>
      <c r="D35" t="s">
        <v>248</v>
      </c>
      <c r="E35" t="s">
        <v>249</v>
      </c>
      <c r="F35" t="s">
        <v>46</v>
      </c>
      <c r="G35" t="s">
        <v>133</v>
      </c>
      <c r="H35" t="s">
        <v>60</v>
      </c>
      <c r="I35" t="s">
        <v>49</v>
      </c>
      <c r="J35" t="s">
        <v>50</v>
      </c>
      <c r="K35" t="s">
        <v>51</v>
      </c>
      <c r="L35" t="s">
        <v>51</v>
      </c>
      <c r="M35" t="s">
        <v>134</v>
      </c>
      <c r="N35" t="s">
        <v>250</v>
      </c>
      <c r="O35" s="11" t="str">
        <f t="shared" si="0"/>
        <v>OK</v>
      </c>
      <c r="P35" t="s">
        <v>54</v>
      </c>
      <c r="Q35" t="s">
        <v>54</v>
      </c>
      <c r="R35" t="s">
        <v>51</v>
      </c>
      <c r="S35" t="s">
        <v>251</v>
      </c>
      <c r="T35" s="1">
        <v>6063811.6399999997</v>
      </c>
      <c r="U35" s="1">
        <v>7903369.4699999997</v>
      </c>
      <c r="V35" s="13" t="str">
        <f t="shared" si="1"/>
        <v>OK</v>
      </c>
      <c r="W35" s="1">
        <v>10655650.75</v>
      </c>
      <c r="X35" s="1">
        <v>204804.5</v>
      </c>
      <c r="Y35" t="s">
        <v>51</v>
      </c>
      <c r="Z35">
        <v>506760.26</v>
      </c>
      <c r="AA35">
        <v>0</v>
      </c>
      <c r="AB35">
        <v>14325.42</v>
      </c>
      <c r="AC35">
        <v>-7564609.4500000002</v>
      </c>
      <c r="AD35" s="13" t="str">
        <f t="shared" si="2"/>
        <v>OK</v>
      </c>
      <c r="AE35">
        <v>64281864.259999998</v>
      </c>
      <c r="AF35">
        <v>0</v>
      </c>
      <c r="AG35">
        <v>0</v>
      </c>
      <c r="AH35">
        <v>0</v>
      </c>
      <c r="AI35">
        <v>0</v>
      </c>
      <c r="AJ35" s="13" t="str">
        <f t="shared" si="3"/>
        <v>OK</v>
      </c>
      <c r="AK35">
        <v>0</v>
      </c>
      <c r="AL35">
        <v>0</v>
      </c>
      <c r="AM35">
        <v>8545000</v>
      </c>
      <c r="AN35">
        <v>5000000</v>
      </c>
      <c r="AO35">
        <v>80735673.400000006</v>
      </c>
      <c r="AP35">
        <v>92280673.400000006</v>
      </c>
      <c r="AQ35" s="15">
        <f t="shared" si="4"/>
        <v>11545000</v>
      </c>
      <c r="AR35">
        <v>80735673</v>
      </c>
      <c r="AS35">
        <v>92280673.400000006</v>
      </c>
      <c r="AT35">
        <v>0</v>
      </c>
      <c r="AU35">
        <v>2000000</v>
      </c>
      <c r="AV35" s="16">
        <f t="shared" si="5"/>
        <v>13545000.400000006</v>
      </c>
      <c r="AW35" s="13" t="str">
        <f t="shared" si="6"/>
        <v>SIM</v>
      </c>
      <c r="AX35" s="13" t="str">
        <f t="shared" si="7"/>
        <v>VER CAPITAL</v>
      </c>
      <c r="AY35" s="13" t="str">
        <f t="shared" si="8"/>
        <v>OK</v>
      </c>
      <c r="AZ35">
        <f t="shared" si="9"/>
        <v>-11.767875025222549</v>
      </c>
    </row>
    <row r="36" spans="2:52" ht="43.2" x14ac:dyDescent="0.3">
      <c r="B36" t="s">
        <v>210</v>
      </c>
      <c r="C36" t="s">
        <v>211</v>
      </c>
      <c r="D36" t="s">
        <v>212</v>
      </c>
      <c r="E36" t="s">
        <v>213</v>
      </c>
      <c r="F36" t="s">
        <v>46</v>
      </c>
      <c r="G36" s="6" t="s">
        <v>75</v>
      </c>
      <c r="H36" t="s">
        <v>60</v>
      </c>
      <c r="I36" t="s">
        <v>49</v>
      </c>
      <c r="J36" t="s">
        <v>50</v>
      </c>
      <c r="K36" t="s">
        <v>51</v>
      </c>
      <c r="L36" t="s">
        <v>51</v>
      </c>
      <c r="M36" t="s">
        <v>52</v>
      </c>
      <c r="N36" t="s">
        <v>214</v>
      </c>
      <c r="O36" s="11" t="str">
        <f t="shared" si="0"/>
        <v>OK</v>
      </c>
      <c r="P36" t="s">
        <v>54</v>
      </c>
      <c r="Q36" t="s">
        <v>54</v>
      </c>
      <c r="R36" t="s">
        <v>51</v>
      </c>
      <c r="S36" t="s">
        <v>215</v>
      </c>
      <c r="T36" s="1">
        <v>83617</v>
      </c>
      <c r="U36" s="1">
        <v>13857900</v>
      </c>
      <c r="V36" s="13" t="str">
        <f t="shared" si="1"/>
        <v>OK</v>
      </c>
      <c r="W36" s="1">
        <v>28561677.5</v>
      </c>
      <c r="X36" s="1">
        <v>865276</v>
      </c>
      <c r="Y36" t="s">
        <v>51</v>
      </c>
      <c r="Z36">
        <v>379709.85</v>
      </c>
      <c r="AA36">
        <v>0</v>
      </c>
      <c r="AB36">
        <v>0</v>
      </c>
      <c r="AC36">
        <v>3377901</v>
      </c>
      <c r="AD36" s="13" t="str">
        <f t="shared" si="2"/>
        <v>OK</v>
      </c>
      <c r="AE36">
        <v>-3362003</v>
      </c>
      <c r="AF36">
        <v>0</v>
      </c>
      <c r="AG36">
        <v>0</v>
      </c>
      <c r="AH36">
        <v>5400883</v>
      </c>
      <c r="AI36">
        <v>6890791.4100000001</v>
      </c>
      <c r="AJ36" s="13" t="str">
        <f t="shared" si="3"/>
        <v>OK</v>
      </c>
      <c r="AK36">
        <v>2558600</v>
      </c>
      <c r="AL36" s="14">
        <v>2762929</v>
      </c>
      <c r="AM36">
        <v>0</v>
      </c>
      <c r="AN36">
        <v>0</v>
      </c>
      <c r="AO36">
        <v>16079007</v>
      </c>
      <c r="AP36">
        <v>16079007</v>
      </c>
      <c r="AQ36" s="15">
        <f t="shared" si="4"/>
        <v>0</v>
      </c>
      <c r="AR36">
        <v>4824688.6399999997</v>
      </c>
      <c r="AS36">
        <v>4824688.6399999997</v>
      </c>
      <c r="AT36">
        <v>0</v>
      </c>
      <c r="AU36">
        <v>0</v>
      </c>
      <c r="AV36" s="16">
        <f t="shared" si="5"/>
        <v>0</v>
      </c>
      <c r="AW36" s="13" t="str">
        <f t="shared" si="6"/>
        <v>NÃO</v>
      </c>
      <c r="AX36" s="13" t="str">
        <f t="shared" si="7"/>
        <v>OK</v>
      </c>
      <c r="AY36" s="13" t="str">
        <f t="shared" si="8"/>
        <v>OK</v>
      </c>
      <c r="AZ36">
        <f t="shared" si="9"/>
        <v>-100.47287286775176</v>
      </c>
    </row>
    <row r="37" spans="2:52" x14ac:dyDescent="0.3">
      <c r="B37" t="s">
        <v>210</v>
      </c>
      <c r="C37" t="s">
        <v>216</v>
      </c>
      <c r="D37" t="s">
        <v>217</v>
      </c>
      <c r="E37" t="s">
        <v>218</v>
      </c>
      <c r="F37" t="s">
        <v>46</v>
      </c>
      <c r="G37" t="s">
        <v>65</v>
      </c>
      <c r="H37" t="s">
        <v>48</v>
      </c>
      <c r="I37" t="s">
        <v>49</v>
      </c>
      <c r="J37" t="s">
        <v>50</v>
      </c>
      <c r="K37" t="s">
        <v>51</v>
      </c>
      <c r="L37" t="s">
        <v>51</v>
      </c>
      <c r="M37" t="s">
        <v>52</v>
      </c>
      <c r="N37" t="s">
        <v>219</v>
      </c>
      <c r="O37" s="11" t="str">
        <f t="shared" si="0"/>
        <v>OK</v>
      </c>
      <c r="P37" t="s">
        <v>54</v>
      </c>
      <c r="Q37" t="s">
        <v>54</v>
      </c>
      <c r="R37" t="s">
        <v>51</v>
      </c>
      <c r="S37" t="s">
        <v>220</v>
      </c>
      <c r="T37" s="1">
        <v>63124352</v>
      </c>
      <c r="U37" s="1">
        <v>43114341.420000002</v>
      </c>
      <c r="V37" s="13" t="str">
        <f t="shared" si="1"/>
        <v>OK</v>
      </c>
      <c r="W37" s="1">
        <v>60917575.439999998</v>
      </c>
      <c r="X37" s="1">
        <v>0</v>
      </c>
      <c r="Y37" t="s">
        <v>51</v>
      </c>
      <c r="Z37">
        <v>463700.92</v>
      </c>
      <c r="AA37">
        <v>0</v>
      </c>
      <c r="AB37">
        <v>4892.8</v>
      </c>
      <c r="AC37">
        <v>2270183.67</v>
      </c>
      <c r="AD37" s="13" t="str">
        <f t="shared" si="2"/>
        <v>OK</v>
      </c>
      <c r="AE37">
        <v>-37037212.280000001</v>
      </c>
      <c r="AF37">
        <v>0</v>
      </c>
      <c r="AG37">
        <v>0</v>
      </c>
      <c r="AH37">
        <v>51115066.740000002</v>
      </c>
      <c r="AI37">
        <v>62005725.579999998</v>
      </c>
      <c r="AJ37" s="13" t="str">
        <f t="shared" si="3"/>
        <v>OK</v>
      </c>
      <c r="AK37">
        <v>0</v>
      </c>
      <c r="AL37" s="14">
        <v>0</v>
      </c>
      <c r="AM37">
        <v>0</v>
      </c>
      <c r="AN37">
        <v>0</v>
      </c>
      <c r="AO37">
        <v>13542532</v>
      </c>
      <c r="AP37">
        <v>13542532</v>
      </c>
      <c r="AQ37" s="15">
        <f t="shared" si="4"/>
        <v>0</v>
      </c>
      <c r="AR37">
        <v>13542532.35</v>
      </c>
      <c r="AS37">
        <v>13542532.35</v>
      </c>
      <c r="AT37">
        <v>12549845.65</v>
      </c>
      <c r="AU37">
        <v>12513332.199999999</v>
      </c>
      <c r="AV37" s="16">
        <f t="shared" si="5"/>
        <v>12513332.199999999</v>
      </c>
      <c r="AW37" s="13" t="str">
        <f t="shared" si="6"/>
        <v>SIM</v>
      </c>
      <c r="AX37" s="13" t="str">
        <f t="shared" si="7"/>
        <v>OK</v>
      </c>
      <c r="AY37" s="13" t="str">
        <f t="shared" si="8"/>
        <v>OK</v>
      </c>
      <c r="AZ37">
        <f t="shared" si="9"/>
        <v>-6.1294669070595607</v>
      </c>
    </row>
    <row r="38" spans="2:52" x14ac:dyDescent="0.3">
      <c r="B38" t="s">
        <v>210</v>
      </c>
      <c r="C38" t="s">
        <v>221</v>
      </c>
      <c r="D38" t="s">
        <v>222</v>
      </c>
      <c r="E38" t="s">
        <v>223</v>
      </c>
      <c r="F38" t="s">
        <v>46</v>
      </c>
      <c r="G38" t="s">
        <v>224</v>
      </c>
      <c r="H38" t="s">
        <v>60</v>
      </c>
      <c r="I38" t="s">
        <v>49</v>
      </c>
      <c r="J38" t="s">
        <v>50</v>
      </c>
      <c r="K38" t="s">
        <v>51</v>
      </c>
      <c r="L38" t="s">
        <v>51</v>
      </c>
      <c r="M38" t="s">
        <v>52</v>
      </c>
      <c r="N38" t="s">
        <v>225</v>
      </c>
      <c r="O38" s="11" t="str">
        <f t="shared" si="0"/>
        <v>OK</v>
      </c>
      <c r="P38" t="s">
        <v>54</v>
      </c>
      <c r="Q38" t="s">
        <v>54</v>
      </c>
      <c r="R38" t="s">
        <v>51</v>
      </c>
      <c r="S38" t="s">
        <v>226</v>
      </c>
      <c r="T38" s="1">
        <v>57231013.100000001</v>
      </c>
      <c r="U38" s="1">
        <v>53051335.289999999</v>
      </c>
      <c r="V38" s="13" t="str">
        <f t="shared" si="1"/>
        <v>OK</v>
      </c>
      <c r="W38" s="1">
        <v>95695329.400000006</v>
      </c>
      <c r="X38" s="1">
        <v>787226</v>
      </c>
      <c r="Y38" t="s">
        <v>51</v>
      </c>
      <c r="Z38">
        <v>463398.48</v>
      </c>
      <c r="AA38">
        <v>0</v>
      </c>
      <c r="AB38">
        <v>16133.11</v>
      </c>
      <c r="AC38">
        <v>-10532825.51</v>
      </c>
      <c r="AD38" s="13" t="str">
        <f t="shared" si="2"/>
        <v>OK</v>
      </c>
      <c r="AE38">
        <v>-83137844.530000001</v>
      </c>
      <c r="AF38">
        <v>0</v>
      </c>
      <c r="AG38">
        <v>0</v>
      </c>
      <c r="AH38">
        <v>6087023.9100000001</v>
      </c>
      <c r="AI38">
        <v>8346554.7000000002</v>
      </c>
      <c r="AJ38" s="13" t="str">
        <f t="shared" si="3"/>
        <v>OK</v>
      </c>
      <c r="AK38">
        <v>0</v>
      </c>
      <c r="AL38" s="14">
        <v>0</v>
      </c>
      <c r="AM38">
        <v>0</v>
      </c>
      <c r="AN38">
        <v>0</v>
      </c>
      <c r="AO38">
        <v>99991387</v>
      </c>
      <c r="AP38">
        <v>99991387</v>
      </c>
      <c r="AQ38" s="15">
        <f t="shared" si="4"/>
        <v>0</v>
      </c>
      <c r="AR38">
        <v>100000000</v>
      </c>
      <c r="AS38">
        <v>100000000</v>
      </c>
      <c r="AT38">
        <v>0</v>
      </c>
      <c r="AU38">
        <v>0</v>
      </c>
      <c r="AV38" s="16">
        <f t="shared" si="5"/>
        <v>0</v>
      </c>
      <c r="AW38" s="13" t="str">
        <f t="shared" si="6"/>
        <v>NÃO</v>
      </c>
      <c r="AX38" s="13" t="str">
        <f t="shared" si="7"/>
        <v>OK</v>
      </c>
      <c r="AY38" s="13" t="str">
        <f t="shared" si="8"/>
        <v>OK</v>
      </c>
      <c r="AZ38">
        <f t="shared" si="9"/>
        <v>12.669110643347587</v>
      </c>
    </row>
    <row r="39" spans="2:52" x14ac:dyDescent="0.3">
      <c r="B39" t="s">
        <v>210</v>
      </c>
      <c r="C39" t="s">
        <v>227</v>
      </c>
      <c r="D39" t="s">
        <v>228</v>
      </c>
      <c r="E39" t="s">
        <v>229</v>
      </c>
      <c r="F39" t="s">
        <v>46</v>
      </c>
      <c r="G39" t="s">
        <v>107</v>
      </c>
      <c r="H39" t="s">
        <v>60</v>
      </c>
      <c r="I39" t="s">
        <v>49</v>
      </c>
      <c r="J39" t="s">
        <v>50</v>
      </c>
      <c r="K39" t="s">
        <v>51</v>
      </c>
      <c r="L39" t="s">
        <v>51</v>
      </c>
      <c r="M39" t="s">
        <v>52</v>
      </c>
      <c r="N39" t="s">
        <v>230</v>
      </c>
      <c r="O39" s="11" t="str">
        <f t="shared" si="0"/>
        <v>OK</v>
      </c>
      <c r="P39" t="s">
        <v>54</v>
      </c>
      <c r="Q39" t="s">
        <v>54</v>
      </c>
      <c r="R39" t="s">
        <v>54</v>
      </c>
      <c r="S39" t="s">
        <v>231</v>
      </c>
      <c r="T39" s="1">
        <v>12267646.41</v>
      </c>
      <c r="U39" s="1">
        <v>40632220.409999996</v>
      </c>
      <c r="V39" s="13" t="str">
        <f t="shared" si="1"/>
        <v>OK</v>
      </c>
      <c r="W39" s="1">
        <v>159755868.88</v>
      </c>
      <c r="X39" s="1">
        <v>86292044.930000007</v>
      </c>
      <c r="Y39" t="s">
        <v>54</v>
      </c>
      <c r="Z39">
        <v>445266.58</v>
      </c>
      <c r="AA39">
        <v>17139.34</v>
      </c>
      <c r="AB39">
        <v>0</v>
      </c>
      <c r="AC39">
        <v>14284705.449999999</v>
      </c>
      <c r="AD39" s="13" t="str">
        <f t="shared" si="2"/>
        <v>OK</v>
      </c>
      <c r="AE39">
        <v>7166576.2199999997</v>
      </c>
      <c r="AF39">
        <v>0</v>
      </c>
      <c r="AG39">
        <v>0</v>
      </c>
      <c r="AH39">
        <v>122801246.42</v>
      </c>
      <c r="AI39">
        <v>147100523.08000001</v>
      </c>
      <c r="AJ39" s="13" t="str">
        <f t="shared" si="3"/>
        <v>OK</v>
      </c>
      <c r="AK39">
        <v>0</v>
      </c>
      <c r="AL39" s="14">
        <v>59733783.950000003</v>
      </c>
      <c r="AM39">
        <v>0</v>
      </c>
      <c r="AN39">
        <v>0</v>
      </c>
      <c r="AO39">
        <v>99.65</v>
      </c>
      <c r="AP39">
        <v>99.65</v>
      </c>
      <c r="AQ39" s="15">
        <f t="shared" si="4"/>
        <v>0</v>
      </c>
      <c r="AR39">
        <v>131206906</v>
      </c>
      <c r="AS39">
        <v>131206906</v>
      </c>
      <c r="AT39">
        <v>0</v>
      </c>
      <c r="AU39">
        <v>0</v>
      </c>
      <c r="AV39" s="16">
        <f t="shared" si="5"/>
        <v>0</v>
      </c>
      <c r="AW39" s="13" t="str">
        <f t="shared" si="6"/>
        <v>NÃO</v>
      </c>
      <c r="AX39" s="13" t="str">
        <f t="shared" si="7"/>
        <v>OK</v>
      </c>
      <c r="AY39" s="13" t="str">
        <f t="shared" si="8"/>
        <v>OK</v>
      </c>
      <c r="AZ39">
        <f t="shared" si="9"/>
        <v>199.32398695677307</v>
      </c>
    </row>
    <row r="40" spans="2:52" x14ac:dyDescent="0.3">
      <c r="B40" t="s">
        <v>210</v>
      </c>
      <c r="C40" t="s">
        <v>232</v>
      </c>
      <c r="D40" t="s">
        <v>233</v>
      </c>
      <c r="E40" t="s">
        <v>234</v>
      </c>
      <c r="F40" t="s">
        <v>46</v>
      </c>
      <c r="G40" t="s">
        <v>93</v>
      </c>
      <c r="H40" t="s">
        <v>48</v>
      </c>
      <c r="I40" t="s">
        <v>76</v>
      </c>
      <c r="J40" t="s">
        <v>50</v>
      </c>
      <c r="K40" t="s">
        <v>51</v>
      </c>
      <c r="L40" t="s">
        <v>51</v>
      </c>
      <c r="M40" t="s">
        <v>52</v>
      </c>
      <c r="N40" t="s">
        <v>235</v>
      </c>
      <c r="O40" s="11" t="str">
        <f t="shared" si="0"/>
        <v>OK</v>
      </c>
      <c r="P40" t="s">
        <v>54</v>
      </c>
      <c r="Q40" t="s">
        <v>54</v>
      </c>
      <c r="R40" t="s">
        <v>51</v>
      </c>
      <c r="S40" t="s">
        <v>236</v>
      </c>
      <c r="T40" s="1">
        <v>376906293.16000003</v>
      </c>
      <c r="U40" s="1">
        <v>42386835.710000001</v>
      </c>
      <c r="V40" s="13" t="str">
        <f t="shared" si="1"/>
        <v>OK</v>
      </c>
      <c r="W40" s="1">
        <v>396136057.79000002</v>
      </c>
      <c r="X40" s="1">
        <v>0</v>
      </c>
      <c r="Y40" t="s">
        <v>51</v>
      </c>
      <c r="Z40">
        <v>451672.48</v>
      </c>
      <c r="AA40">
        <v>0</v>
      </c>
      <c r="AB40">
        <v>11888.24</v>
      </c>
      <c r="AC40">
        <v>-14979510.74</v>
      </c>
      <c r="AD40" s="13" t="str">
        <f t="shared" si="2"/>
        <v>OK</v>
      </c>
      <c r="AE40">
        <v>175100694.96000001</v>
      </c>
      <c r="AF40">
        <v>0</v>
      </c>
      <c r="AG40">
        <v>0</v>
      </c>
      <c r="AH40">
        <v>1316954725.4100001</v>
      </c>
      <c r="AI40">
        <v>1126313629.8399999</v>
      </c>
      <c r="AJ40" s="13" t="str">
        <f t="shared" si="3"/>
        <v>OK</v>
      </c>
      <c r="AK40">
        <v>0</v>
      </c>
      <c r="AL40" s="14">
        <v>0</v>
      </c>
      <c r="AM40">
        <v>0</v>
      </c>
      <c r="AN40">
        <v>0</v>
      </c>
      <c r="AO40">
        <v>16803753.66</v>
      </c>
      <c r="AP40">
        <v>16803753.66</v>
      </c>
      <c r="AQ40" s="15">
        <f t="shared" si="4"/>
        <v>0</v>
      </c>
      <c r="AR40">
        <v>16803753</v>
      </c>
      <c r="AS40">
        <v>16803753.66</v>
      </c>
      <c r="AT40">
        <v>0</v>
      </c>
      <c r="AU40">
        <v>0</v>
      </c>
      <c r="AV40" s="16">
        <f t="shared" si="5"/>
        <v>0.66000000014901161</v>
      </c>
      <c r="AW40" s="13" t="str">
        <f t="shared" si="6"/>
        <v>SIM</v>
      </c>
      <c r="AX40" s="13" t="str">
        <f t="shared" si="7"/>
        <v>OK</v>
      </c>
      <c r="AY40" s="13" t="str">
        <f t="shared" si="8"/>
        <v>OK</v>
      </c>
      <c r="AZ40">
        <f t="shared" si="9"/>
        <v>-8.5547979940467496</v>
      </c>
    </row>
    <row r="41" spans="2:52" x14ac:dyDescent="0.3">
      <c r="B41" t="s">
        <v>210</v>
      </c>
      <c r="C41" t="s">
        <v>237</v>
      </c>
      <c r="D41" t="s">
        <v>238</v>
      </c>
      <c r="E41" t="s">
        <v>239</v>
      </c>
      <c r="F41" t="s">
        <v>46</v>
      </c>
      <c r="G41" t="s">
        <v>240</v>
      </c>
      <c r="H41" t="s">
        <v>48</v>
      </c>
      <c r="I41" t="s">
        <v>49</v>
      </c>
      <c r="J41" t="s">
        <v>50</v>
      </c>
      <c r="K41" t="s">
        <v>51</v>
      </c>
      <c r="L41" t="s">
        <v>51</v>
      </c>
      <c r="M41" t="s">
        <v>52</v>
      </c>
      <c r="N41" t="s">
        <v>241</v>
      </c>
      <c r="O41" s="11" t="str">
        <f t="shared" si="0"/>
        <v>OK</v>
      </c>
      <c r="P41" t="s">
        <v>54</v>
      </c>
      <c r="Q41" t="s">
        <v>54</v>
      </c>
      <c r="R41" t="s">
        <v>51</v>
      </c>
      <c r="S41" t="s">
        <v>55</v>
      </c>
      <c r="T41" s="1">
        <v>5213304.97</v>
      </c>
      <c r="U41" s="1">
        <v>23508720.550000001</v>
      </c>
      <c r="V41" s="13" t="str">
        <f t="shared" si="1"/>
        <v>OK</v>
      </c>
      <c r="W41" s="1">
        <v>260937720.55000001</v>
      </c>
      <c r="X41" s="1">
        <v>237429000</v>
      </c>
      <c r="Y41" t="s">
        <v>51</v>
      </c>
      <c r="Z41">
        <v>433360.48</v>
      </c>
      <c r="AA41">
        <v>0</v>
      </c>
      <c r="AB41">
        <v>0</v>
      </c>
      <c r="AC41">
        <v>-11730794.859999999</v>
      </c>
      <c r="AD41" s="13" t="str">
        <f t="shared" si="2"/>
        <v>OK</v>
      </c>
      <c r="AE41">
        <v>40896905.369999997</v>
      </c>
      <c r="AF41">
        <v>0</v>
      </c>
      <c r="AG41">
        <v>0</v>
      </c>
      <c r="AH41">
        <v>59945660.219999999</v>
      </c>
      <c r="AI41">
        <v>277357652.89999998</v>
      </c>
      <c r="AJ41" s="13" t="str">
        <f t="shared" si="3"/>
        <v>OK</v>
      </c>
      <c r="AK41">
        <v>0</v>
      </c>
      <c r="AL41" s="14">
        <v>0</v>
      </c>
      <c r="AM41">
        <v>0</v>
      </c>
      <c r="AN41">
        <v>0</v>
      </c>
      <c r="AO41">
        <v>159700077</v>
      </c>
      <c r="AP41">
        <v>159700077</v>
      </c>
      <c r="AQ41" s="15">
        <f t="shared" si="4"/>
        <v>0</v>
      </c>
      <c r="AR41">
        <v>139654487.18000001</v>
      </c>
      <c r="AS41">
        <v>139654487.18000001</v>
      </c>
      <c r="AT41">
        <v>22737270.41</v>
      </c>
      <c r="AU41">
        <v>22737270.41</v>
      </c>
      <c r="AV41" s="16">
        <f t="shared" si="5"/>
        <v>22737270.41</v>
      </c>
      <c r="AW41" s="13" t="str">
        <f t="shared" si="6"/>
        <v>SIM</v>
      </c>
      <c r="AX41" s="13" t="str">
        <f t="shared" si="7"/>
        <v>OK</v>
      </c>
      <c r="AY41" s="13" t="str">
        <f t="shared" si="8"/>
        <v>OK</v>
      </c>
      <c r="AZ41">
        <f t="shared" si="9"/>
        <v>-28.683820337675591</v>
      </c>
    </row>
    <row r="42" spans="2:52" x14ac:dyDescent="0.3">
      <c r="B42" t="s">
        <v>210</v>
      </c>
      <c r="C42" t="s">
        <v>252</v>
      </c>
      <c r="D42" t="s">
        <v>253</v>
      </c>
      <c r="E42" t="s">
        <v>254</v>
      </c>
      <c r="F42" t="s">
        <v>46</v>
      </c>
      <c r="G42" t="s">
        <v>71</v>
      </c>
      <c r="H42" t="s">
        <v>60</v>
      </c>
      <c r="I42" t="s">
        <v>49</v>
      </c>
      <c r="J42" t="s">
        <v>50</v>
      </c>
      <c r="K42" t="s">
        <v>51</v>
      </c>
      <c r="L42" t="s">
        <v>51</v>
      </c>
      <c r="M42" t="s">
        <v>134</v>
      </c>
      <c r="N42" t="s">
        <v>255</v>
      </c>
      <c r="O42" s="11" t="str">
        <f t="shared" si="0"/>
        <v>OK</v>
      </c>
      <c r="P42" t="s">
        <v>54</v>
      </c>
      <c r="Q42" t="s">
        <v>54</v>
      </c>
      <c r="R42" t="s">
        <v>54</v>
      </c>
      <c r="S42" t="s">
        <v>256</v>
      </c>
      <c r="T42" s="1">
        <v>284655935.30000001</v>
      </c>
      <c r="U42" s="1">
        <v>67101416.450000003</v>
      </c>
      <c r="V42" s="13" t="str">
        <f t="shared" si="1"/>
        <v>OK</v>
      </c>
      <c r="W42" s="1">
        <v>189419203.11000001</v>
      </c>
      <c r="X42" s="1">
        <v>0</v>
      </c>
      <c r="Y42" t="s">
        <v>54</v>
      </c>
      <c r="Z42">
        <v>479397.25</v>
      </c>
      <c r="AA42">
        <v>81554.61</v>
      </c>
      <c r="AB42">
        <v>24077.13</v>
      </c>
      <c r="AC42">
        <v>96535176.269999996</v>
      </c>
      <c r="AD42" s="13" t="str">
        <f t="shared" si="2"/>
        <v>OK</v>
      </c>
      <c r="AE42">
        <v>827539253.77999997</v>
      </c>
      <c r="AF42">
        <v>0</v>
      </c>
      <c r="AG42">
        <v>33994927.219999999</v>
      </c>
      <c r="AH42">
        <v>0</v>
      </c>
      <c r="AI42">
        <v>0</v>
      </c>
      <c r="AJ42" s="13" t="str">
        <f t="shared" si="3"/>
        <v>OK</v>
      </c>
      <c r="AK42">
        <v>0</v>
      </c>
      <c r="AL42">
        <v>0</v>
      </c>
      <c r="AM42">
        <v>0</v>
      </c>
      <c r="AN42">
        <v>0</v>
      </c>
      <c r="AO42">
        <v>142301765100</v>
      </c>
      <c r="AP42">
        <v>142301765100</v>
      </c>
      <c r="AQ42" s="15">
        <f t="shared" si="4"/>
        <v>0</v>
      </c>
      <c r="AR42">
        <v>623897248.22000003</v>
      </c>
      <c r="AS42">
        <v>623897248.22000003</v>
      </c>
      <c r="AT42">
        <v>0</v>
      </c>
      <c r="AU42">
        <v>0</v>
      </c>
      <c r="AV42" s="16">
        <f t="shared" si="5"/>
        <v>0</v>
      </c>
      <c r="AW42" s="13" t="str">
        <f t="shared" si="6"/>
        <v>NÃO</v>
      </c>
      <c r="AX42" s="13" t="str">
        <f t="shared" si="7"/>
        <v>OK</v>
      </c>
      <c r="AY42" s="13" t="str">
        <f t="shared" si="8"/>
        <v>OK</v>
      </c>
      <c r="AZ42">
        <f t="shared" si="9"/>
        <v>11.665328965248545</v>
      </c>
    </row>
    <row r="43" spans="2:52" x14ac:dyDescent="0.3">
      <c r="B43" t="s">
        <v>210</v>
      </c>
      <c r="C43" t="s">
        <v>257</v>
      </c>
      <c r="D43" t="s">
        <v>258</v>
      </c>
      <c r="E43" t="s">
        <v>259</v>
      </c>
      <c r="F43" t="s">
        <v>46</v>
      </c>
      <c r="G43" t="s">
        <v>47</v>
      </c>
      <c r="H43" t="s">
        <v>48</v>
      </c>
      <c r="I43" t="s">
        <v>76</v>
      </c>
      <c r="J43" t="s">
        <v>50</v>
      </c>
      <c r="K43" t="s">
        <v>51</v>
      </c>
      <c r="L43" t="s">
        <v>51</v>
      </c>
      <c r="M43" t="s">
        <v>134</v>
      </c>
      <c r="N43" t="s">
        <v>260</v>
      </c>
      <c r="O43" s="11" t="str">
        <f t="shared" si="0"/>
        <v>OK</v>
      </c>
      <c r="P43" t="s">
        <v>54</v>
      </c>
      <c r="Q43" t="s">
        <v>54</v>
      </c>
      <c r="R43" t="s">
        <v>54</v>
      </c>
      <c r="S43" t="s">
        <v>55</v>
      </c>
      <c r="T43" s="1">
        <v>130963997</v>
      </c>
      <c r="U43" s="1">
        <v>17342286</v>
      </c>
      <c r="V43" s="13" t="str">
        <f t="shared" si="1"/>
        <v>OK</v>
      </c>
      <c r="W43" s="1">
        <v>141706642</v>
      </c>
      <c r="X43" s="1">
        <v>0</v>
      </c>
      <c r="Y43" t="s">
        <v>51</v>
      </c>
      <c r="Z43">
        <v>393665</v>
      </c>
      <c r="AA43">
        <v>0</v>
      </c>
      <c r="AB43">
        <v>0</v>
      </c>
      <c r="AC43">
        <v>5291485</v>
      </c>
      <c r="AD43" s="13" t="str">
        <f t="shared" si="2"/>
        <v>OK</v>
      </c>
      <c r="AE43">
        <v>67555971</v>
      </c>
      <c r="AF43">
        <v>0</v>
      </c>
      <c r="AG43">
        <v>0</v>
      </c>
      <c r="AH43">
        <v>0</v>
      </c>
      <c r="AI43">
        <v>0</v>
      </c>
      <c r="AJ43" s="13" t="str">
        <f t="shared" si="3"/>
        <v>OK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15">
        <f t="shared" si="4"/>
        <v>0</v>
      </c>
      <c r="AR43">
        <v>44726598</v>
      </c>
      <c r="AS43">
        <v>44726598</v>
      </c>
      <c r="AT43">
        <v>0</v>
      </c>
      <c r="AU43">
        <v>0</v>
      </c>
      <c r="AV43" s="16">
        <f t="shared" si="5"/>
        <v>0</v>
      </c>
      <c r="AW43" s="13" t="str">
        <f t="shared" si="6"/>
        <v>NÃO</v>
      </c>
      <c r="AX43" s="13" t="str">
        <f t="shared" si="7"/>
        <v>OK</v>
      </c>
      <c r="AY43" s="13" t="str">
        <f t="shared" si="8"/>
        <v>OK</v>
      </c>
      <c r="AZ43">
        <f t="shared" si="9"/>
        <v>7.8327421272651092</v>
      </c>
    </row>
    <row r="44" spans="2:52" x14ac:dyDescent="0.3">
      <c r="B44" t="s">
        <v>210</v>
      </c>
      <c r="C44" t="s">
        <v>261</v>
      </c>
      <c r="D44" t="s">
        <v>262</v>
      </c>
      <c r="E44" t="s">
        <v>263</v>
      </c>
      <c r="F44" t="s">
        <v>46</v>
      </c>
      <c r="G44" t="s">
        <v>107</v>
      </c>
      <c r="H44" t="s">
        <v>60</v>
      </c>
      <c r="I44" t="s">
        <v>49</v>
      </c>
      <c r="J44" t="s">
        <v>50</v>
      </c>
      <c r="K44" t="s">
        <v>51</v>
      </c>
      <c r="L44" t="s">
        <v>51</v>
      </c>
      <c r="M44" t="s">
        <v>134</v>
      </c>
      <c r="N44" t="s">
        <v>264</v>
      </c>
      <c r="O44" s="11" t="str">
        <f t="shared" si="0"/>
        <v>OK</v>
      </c>
      <c r="P44" t="s">
        <v>54</v>
      </c>
      <c r="Q44" t="s">
        <v>54</v>
      </c>
      <c r="R44" t="s">
        <v>54</v>
      </c>
      <c r="S44" t="s">
        <v>265</v>
      </c>
      <c r="T44" s="1">
        <v>5731957321.4700003</v>
      </c>
      <c r="U44" s="1">
        <v>1012331245.99</v>
      </c>
      <c r="V44" s="13" t="str">
        <f t="shared" si="1"/>
        <v>OK</v>
      </c>
      <c r="W44" s="1">
        <v>5876901598.9700003</v>
      </c>
      <c r="X44" s="1">
        <v>1167333164.6900001</v>
      </c>
      <c r="Y44" t="s">
        <v>54</v>
      </c>
      <c r="Z44">
        <v>894298.57</v>
      </c>
      <c r="AA44">
        <v>70401.289999999994</v>
      </c>
      <c r="AB44">
        <v>18004.38</v>
      </c>
      <c r="AC44">
        <v>1007478338.8099999</v>
      </c>
      <c r="AD44" s="13" t="str">
        <f t="shared" si="2"/>
        <v>OK</v>
      </c>
      <c r="AE44">
        <v>8270897875.4499998</v>
      </c>
      <c r="AF44">
        <v>0</v>
      </c>
      <c r="AG44">
        <v>0</v>
      </c>
      <c r="AH44">
        <v>0</v>
      </c>
      <c r="AI44">
        <v>0</v>
      </c>
      <c r="AJ44" s="13" t="str">
        <f t="shared" si="3"/>
        <v>OK</v>
      </c>
      <c r="AK44">
        <v>0</v>
      </c>
      <c r="AL44">
        <v>0</v>
      </c>
      <c r="AM44">
        <v>0</v>
      </c>
      <c r="AN44">
        <v>0</v>
      </c>
      <c r="AO44">
        <v>698044720</v>
      </c>
      <c r="AP44">
        <v>713145896</v>
      </c>
      <c r="AQ44" s="15">
        <f t="shared" si="4"/>
        <v>15101176</v>
      </c>
      <c r="AR44">
        <v>4942156617.6000004</v>
      </c>
      <c r="AS44">
        <v>5049072943.6800003</v>
      </c>
      <c r="AT44">
        <v>106916330.43000001</v>
      </c>
      <c r="AU44">
        <v>57503611.32</v>
      </c>
      <c r="AV44" s="16">
        <f t="shared" si="5"/>
        <v>164419937.39999992</v>
      </c>
      <c r="AW44" s="13" t="str">
        <f t="shared" si="6"/>
        <v>SIM</v>
      </c>
      <c r="AX44" s="13" t="str">
        <f t="shared" si="7"/>
        <v>OK</v>
      </c>
      <c r="AY44" s="13" t="str">
        <f t="shared" si="8"/>
        <v>OK</v>
      </c>
      <c r="AZ44">
        <f t="shared" si="9"/>
        <v>12.18100324754869</v>
      </c>
    </row>
    <row r="45" spans="2:52" x14ac:dyDescent="0.3">
      <c r="B45" t="s">
        <v>210</v>
      </c>
      <c r="C45" t="s">
        <v>266</v>
      </c>
      <c r="D45" t="s">
        <v>267</v>
      </c>
      <c r="E45" t="s">
        <v>268</v>
      </c>
      <c r="F45" t="s">
        <v>46</v>
      </c>
      <c r="G45" t="s">
        <v>47</v>
      </c>
      <c r="H45" t="s">
        <v>60</v>
      </c>
      <c r="I45" t="s">
        <v>49</v>
      </c>
      <c r="J45" t="s">
        <v>50</v>
      </c>
      <c r="K45" t="s">
        <v>51</v>
      </c>
      <c r="L45" t="s">
        <v>51</v>
      </c>
      <c r="M45" t="s">
        <v>134</v>
      </c>
      <c r="N45" t="s">
        <v>269</v>
      </c>
      <c r="O45" s="11" t="str">
        <f t="shared" si="0"/>
        <v>OK</v>
      </c>
      <c r="P45" t="s">
        <v>54</v>
      </c>
      <c r="Q45" t="s">
        <v>54</v>
      </c>
      <c r="R45" t="s">
        <v>54</v>
      </c>
      <c r="S45" t="s">
        <v>270</v>
      </c>
      <c r="T45" s="1">
        <v>185116460</v>
      </c>
      <c r="U45" s="1">
        <v>107881314.31999999</v>
      </c>
      <c r="V45" s="13" t="str">
        <f t="shared" si="1"/>
        <v>OK</v>
      </c>
      <c r="W45" s="1">
        <v>154405800</v>
      </c>
      <c r="X45" s="1">
        <v>10868764</v>
      </c>
      <c r="Y45" t="s">
        <v>51</v>
      </c>
      <c r="Z45">
        <v>556998.24</v>
      </c>
      <c r="AA45">
        <v>0</v>
      </c>
      <c r="AB45">
        <v>0</v>
      </c>
      <c r="AC45">
        <v>18634675</v>
      </c>
      <c r="AD45" s="13" t="str">
        <f t="shared" si="2"/>
        <v>OK</v>
      </c>
      <c r="AE45">
        <v>119512584</v>
      </c>
      <c r="AF45">
        <v>0</v>
      </c>
      <c r="AG45">
        <v>0</v>
      </c>
      <c r="AH45">
        <v>0</v>
      </c>
      <c r="AI45">
        <v>0</v>
      </c>
      <c r="AJ45" s="13" t="str">
        <f t="shared" si="3"/>
        <v>OK</v>
      </c>
      <c r="AK45">
        <v>0</v>
      </c>
      <c r="AL45">
        <v>0</v>
      </c>
      <c r="AM45">
        <v>0</v>
      </c>
      <c r="AN45">
        <v>0</v>
      </c>
      <c r="AO45">
        <v>21180689150.799999</v>
      </c>
      <c r="AP45">
        <v>21180689150.799999</v>
      </c>
      <c r="AQ45" s="15">
        <f t="shared" si="4"/>
        <v>0</v>
      </c>
      <c r="AR45">
        <v>111887147</v>
      </c>
      <c r="AS45">
        <v>118292477</v>
      </c>
      <c r="AT45">
        <v>8829991</v>
      </c>
      <c r="AU45">
        <v>2424661</v>
      </c>
      <c r="AV45" s="16">
        <f t="shared" si="5"/>
        <v>8829991</v>
      </c>
      <c r="AW45" s="13" t="str">
        <f t="shared" si="6"/>
        <v>SIM</v>
      </c>
      <c r="AX45" s="13" t="str">
        <f t="shared" si="7"/>
        <v>OK</v>
      </c>
      <c r="AY45" s="13" t="str">
        <f t="shared" si="8"/>
        <v>OK</v>
      </c>
      <c r="AZ45">
        <f t="shared" si="9"/>
        <v>15.592228346430867</v>
      </c>
    </row>
    <row r="46" spans="2:52" x14ac:dyDescent="0.3">
      <c r="B46" t="s">
        <v>210</v>
      </c>
      <c r="C46" t="s">
        <v>271</v>
      </c>
      <c r="D46" t="s">
        <v>272</v>
      </c>
      <c r="E46" t="s">
        <v>273</v>
      </c>
      <c r="F46" t="s">
        <v>70</v>
      </c>
      <c r="G46" t="s">
        <v>93</v>
      </c>
      <c r="H46" t="s">
        <v>60</v>
      </c>
      <c r="I46" t="s">
        <v>49</v>
      </c>
      <c r="J46" t="s">
        <v>50</v>
      </c>
      <c r="K46" t="s">
        <v>51</v>
      </c>
      <c r="L46" t="s">
        <v>51</v>
      </c>
      <c r="M46" t="s">
        <v>134</v>
      </c>
      <c r="N46" t="s">
        <v>274</v>
      </c>
      <c r="O46" s="11" t="str">
        <f t="shared" si="0"/>
        <v>OK</v>
      </c>
      <c r="P46" t="s">
        <v>54</v>
      </c>
      <c r="Q46" t="s">
        <v>54</v>
      </c>
      <c r="R46" t="s">
        <v>51</v>
      </c>
      <c r="S46" t="s">
        <v>55</v>
      </c>
      <c r="T46" s="1">
        <v>804650.42</v>
      </c>
      <c r="U46" s="1">
        <v>9675773.0199999996</v>
      </c>
      <c r="V46" s="13" t="str">
        <f t="shared" si="1"/>
        <v>OK</v>
      </c>
      <c r="W46" s="1">
        <v>84070078.870000005</v>
      </c>
      <c r="X46" s="1">
        <v>0</v>
      </c>
      <c r="Y46" t="s">
        <v>51</v>
      </c>
      <c r="Z46">
        <v>348209.88</v>
      </c>
      <c r="AA46">
        <v>0</v>
      </c>
      <c r="AB46">
        <v>0</v>
      </c>
      <c r="AC46">
        <v>-72337244.980000004</v>
      </c>
      <c r="AD46" s="13" t="str">
        <f t="shared" si="2"/>
        <v>OK</v>
      </c>
      <c r="AE46">
        <v>-110468503.03</v>
      </c>
      <c r="AF46">
        <v>0</v>
      </c>
      <c r="AG46">
        <v>0</v>
      </c>
      <c r="AH46">
        <v>0</v>
      </c>
      <c r="AI46">
        <v>0</v>
      </c>
      <c r="AJ46" s="13" t="str">
        <f t="shared" si="3"/>
        <v>OK</v>
      </c>
      <c r="AK46">
        <v>0</v>
      </c>
      <c r="AL46">
        <v>0</v>
      </c>
      <c r="AM46">
        <v>0</v>
      </c>
      <c r="AN46">
        <v>0</v>
      </c>
      <c r="AO46">
        <v>1764492195</v>
      </c>
      <c r="AP46">
        <v>1765390210</v>
      </c>
      <c r="AQ46" s="15">
        <f t="shared" si="4"/>
        <v>898015</v>
      </c>
      <c r="AR46">
        <v>353078042</v>
      </c>
      <c r="AS46">
        <v>353078042</v>
      </c>
      <c r="AT46">
        <v>0</v>
      </c>
      <c r="AU46">
        <v>0</v>
      </c>
      <c r="AV46" s="16">
        <f t="shared" si="5"/>
        <v>0</v>
      </c>
      <c r="AW46" s="13" t="str">
        <f t="shared" si="6"/>
        <v>SIM</v>
      </c>
      <c r="AX46" s="13" t="str">
        <f t="shared" si="7"/>
        <v>OK</v>
      </c>
      <c r="AY46" s="13" t="str">
        <f t="shared" si="8"/>
        <v>OK</v>
      </c>
      <c r="AZ46">
        <f t="shared" si="9"/>
        <v>65.482235203599458</v>
      </c>
    </row>
    <row r="47" spans="2:52" x14ac:dyDescent="0.3">
      <c r="B47" t="s">
        <v>275</v>
      </c>
      <c r="C47" t="s">
        <v>288</v>
      </c>
      <c r="D47" t="s">
        <v>289</v>
      </c>
      <c r="E47" t="s">
        <v>290</v>
      </c>
      <c r="F47" t="s">
        <v>46</v>
      </c>
      <c r="G47" t="s">
        <v>65</v>
      </c>
      <c r="H47" t="s">
        <v>60</v>
      </c>
      <c r="I47" t="s">
        <v>49</v>
      </c>
      <c r="J47" t="s">
        <v>50</v>
      </c>
      <c r="K47" t="s">
        <v>51</v>
      </c>
      <c r="L47" t="s">
        <v>51</v>
      </c>
      <c r="M47" t="s">
        <v>134</v>
      </c>
      <c r="N47" t="s">
        <v>291</v>
      </c>
      <c r="O47" s="11" t="str">
        <f t="shared" si="0"/>
        <v>OK</v>
      </c>
      <c r="P47" t="s">
        <v>54</v>
      </c>
      <c r="Q47" t="s">
        <v>54</v>
      </c>
      <c r="R47" t="s">
        <v>51</v>
      </c>
      <c r="S47" t="s">
        <v>55</v>
      </c>
      <c r="T47" s="1">
        <v>58806792.469999999</v>
      </c>
      <c r="U47" s="1">
        <v>22091401.059999999</v>
      </c>
      <c r="V47" s="13" t="str">
        <f t="shared" si="1"/>
        <v>OK</v>
      </c>
      <c r="W47" s="1">
        <v>68162153.469999999</v>
      </c>
      <c r="X47" s="1">
        <v>26175954</v>
      </c>
      <c r="Y47" t="s">
        <v>51</v>
      </c>
      <c r="Z47">
        <v>282690.40000000002</v>
      </c>
      <c r="AA47">
        <v>0</v>
      </c>
      <c r="AB47">
        <v>0</v>
      </c>
      <c r="AC47">
        <v>16820593</v>
      </c>
      <c r="AD47" s="13" t="str">
        <f t="shared" si="2"/>
        <v>OK</v>
      </c>
      <c r="AE47">
        <v>227573064.31</v>
      </c>
      <c r="AG47">
        <v>0</v>
      </c>
      <c r="AH47">
        <v>0</v>
      </c>
      <c r="AI47">
        <v>0</v>
      </c>
      <c r="AJ47" s="13" t="str">
        <f t="shared" si="3"/>
        <v>OK</v>
      </c>
      <c r="AK47">
        <v>0</v>
      </c>
      <c r="AL47">
        <v>0</v>
      </c>
      <c r="AM47">
        <v>0</v>
      </c>
      <c r="AN47">
        <v>18922127</v>
      </c>
      <c r="AO47">
        <v>124633269</v>
      </c>
      <c r="AP47">
        <v>135966352</v>
      </c>
      <c r="AQ47" s="15">
        <f t="shared" si="4"/>
        <v>11333083</v>
      </c>
      <c r="AR47">
        <v>151568606</v>
      </c>
      <c r="AS47">
        <v>170490733.16999999</v>
      </c>
      <c r="AT47">
        <v>0</v>
      </c>
      <c r="AU47">
        <v>0</v>
      </c>
      <c r="AV47" s="16">
        <f t="shared" si="5"/>
        <v>18922127.169999987</v>
      </c>
      <c r="AW47" s="13" t="str">
        <f t="shared" si="6"/>
        <v>SIM</v>
      </c>
      <c r="AX47" s="13" t="str">
        <f t="shared" si="7"/>
        <v>VER CAPITAL</v>
      </c>
      <c r="AY47" s="13" t="str">
        <f t="shared" si="8"/>
        <v>OK</v>
      </c>
      <c r="AZ47">
        <f t="shared" si="9"/>
        <v>7.391293451621757</v>
      </c>
    </row>
    <row r="48" spans="2:52" x14ac:dyDescent="0.3">
      <c r="B48" t="s">
        <v>275</v>
      </c>
      <c r="C48" t="s">
        <v>292</v>
      </c>
      <c r="D48" t="s">
        <v>293</v>
      </c>
      <c r="E48" t="s">
        <v>294</v>
      </c>
      <c r="F48" t="s">
        <v>46</v>
      </c>
      <c r="G48" t="s">
        <v>107</v>
      </c>
      <c r="H48" t="s">
        <v>60</v>
      </c>
      <c r="I48" t="s">
        <v>49</v>
      </c>
      <c r="J48" t="s">
        <v>50</v>
      </c>
      <c r="K48" t="s">
        <v>51</v>
      </c>
      <c r="L48" t="s">
        <v>51</v>
      </c>
      <c r="M48" t="s">
        <v>134</v>
      </c>
      <c r="N48" t="s">
        <v>295</v>
      </c>
      <c r="O48" s="11" t="str">
        <f t="shared" si="0"/>
        <v>OK</v>
      </c>
      <c r="P48" t="s">
        <v>54</v>
      </c>
      <c r="Q48" t="s">
        <v>54</v>
      </c>
      <c r="R48" t="s">
        <v>54</v>
      </c>
      <c r="S48" t="s">
        <v>296</v>
      </c>
      <c r="T48" s="1">
        <v>3137018287.46</v>
      </c>
      <c r="U48" s="1">
        <v>750561236.65999997</v>
      </c>
      <c r="V48" s="13" t="str">
        <f t="shared" si="1"/>
        <v>OK</v>
      </c>
      <c r="W48" s="1">
        <v>4102888488.98</v>
      </c>
      <c r="X48" s="1">
        <v>1319920214.5</v>
      </c>
      <c r="Y48" t="s">
        <v>54</v>
      </c>
      <c r="Z48">
        <v>796275.06</v>
      </c>
      <c r="AA48">
        <v>51422.73</v>
      </c>
      <c r="AB48">
        <v>64733.55</v>
      </c>
      <c r="AC48">
        <v>354050012.94</v>
      </c>
      <c r="AD48" s="13" t="str">
        <f t="shared" si="2"/>
        <v>OK</v>
      </c>
      <c r="AE48">
        <v>3317676522.0100002</v>
      </c>
      <c r="AG48">
        <v>0</v>
      </c>
      <c r="AH48">
        <v>0</v>
      </c>
      <c r="AI48">
        <v>0</v>
      </c>
      <c r="AJ48" s="13" t="str">
        <f t="shared" si="3"/>
        <v>OK</v>
      </c>
      <c r="AK48">
        <v>0</v>
      </c>
      <c r="AL48">
        <v>0</v>
      </c>
      <c r="AM48">
        <v>38334495.700000003</v>
      </c>
      <c r="AN48">
        <v>82919564.620000005</v>
      </c>
      <c r="AO48">
        <v>164603035</v>
      </c>
      <c r="AP48">
        <v>169275465</v>
      </c>
      <c r="AQ48" s="15">
        <f t="shared" si="4"/>
        <v>4672430</v>
      </c>
      <c r="AR48">
        <v>2169101698.3000002</v>
      </c>
      <c r="AS48">
        <v>2336259188.1100001</v>
      </c>
      <c r="AT48">
        <v>0</v>
      </c>
      <c r="AU48">
        <v>0</v>
      </c>
      <c r="AV48" s="16">
        <f t="shared" si="5"/>
        <v>167157489.80999994</v>
      </c>
      <c r="AW48" s="13" t="str">
        <f t="shared" si="6"/>
        <v>SIM</v>
      </c>
      <c r="AX48" s="13" t="str">
        <f t="shared" si="7"/>
        <v>VER CAPITAL</v>
      </c>
      <c r="AY48" s="13" t="str">
        <f t="shared" si="8"/>
        <v>OK</v>
      </c>
      <c r="AZ48">
        <f t="shared" si="9"/>
        <v>10.671625476178139</v>
      </c>
    </row>
    <row r="49" spans="2:52" x14ac:dyDescent="0.3">
      <c r="B49" t="s">
        <v>275</v>
      </c>
      <c r="C49" t="s">
        <v>297</v>
      </c>
      <c r="D49" t="s">
        <v>298</v>
      </c>
      <c r="E49" t="s">
        <v>299</v>
      </c>
      <c r="F49" t="s">
        <v>46</v>
      </c>
      <c r="G49" t="s">
        <v>133</v>
      </c>
      <c r="H49" t="s">
        <v>60</v>
      </c>
      <c r="I49" t="s">
        <v>49</v>
      </c>
      <c r="J49" t="s">
        <v>50</v>
      </c>
      <c r="K49" t="s">
        <v>51</v>
      </c>
      <c r="L49" t="s">
        <v>51</v>
      </c>
      <c r="M49" t="s">
        <v>134</v>
      </c>
      <c r="N49" t="s">
        <v>300</v>
      </c>
      <c r="O49" s="11" t="str">
        <f t="shared" si="0"/>
        <v>OK</v>
      </c>
      <c r="P49" t="s">
        <v>54</v>
      </c>
      <c r="Q49" t="s">
        <v>54</v>
      </c>
      <c r="R49" t="s">
        <v>51</v>
      </c>
      <c r="S49" t="s">
        <v>301</v>
      </c>
      <c r="T49" s="1">
        <v>6085723.7599999998</v>
      </c>
      <c r="U49" s="1">
        <v>4250289.68</v>
      </c>
      <c r="V49" s="13" t="str">
        <f t="shared" si="1"/>
        <v>OK</v>
      </c>
      <c r="W49" s="1">
        <v>5176423.6399999997</v>
      </c>
      <c r="X49" s="1">
        <v>88157.72</v>
      </c>
      <c r="Y49" t="s">
        <v>51</v>
      </c>
      <c r="Z49">
        <v>193581.5</v>
      </c>
      <c r="AA49">
        <v>0</v>
      </c>
      <c r="AB49">
        <v>0</v>
      </c>
      <c r="AC49">
        <v>-245882.77</v>
      </c>
      <c r="AD49" s="13" t="str">
        <f t="shared" si="2"/>
        <v>OK</v>
      </c>
      <c r="AE49">
        <v>1042708.63</v>
      </c>
      <c r="AG49">
        <v>0</v>
      </c>
      <c r="AH49">
        <v>0</v>
      </c>
      <c r="AI49">
        <v>0</v>
      </c>
      <c r="AJ49" s="13" t="str">
        <f t="shared" si="3"/>
        <v>OK</v>
      </c>
      <c r="AK49">
        <v>0</v>
      </c>
      <c r="AL49">
        <v>0</v>
      </c>
      <c r="AM49">
        <v>0</v>
      </c>
      <c r="AN49">
        <v>0</v>
      </c>
      <c r="AO49">
        <v>4999999</v>
      </c>
      <c r="AP49">
        <v>4999999</v>
      </c>
      <c r="AQ49" s="15">
        <f t="shared" si="4"/>
        <v>0</v>
      </c>
      <c r="AR49">
        <v>5000000</v>
      </c>
      <c r="AS49">
        <v>5000000</v>
      </c>
      <c r="AT49">
        <v>0</v>
      </c>
      <c r="AU49">
        <v>0</v>
      </c>
      <c r="AV49" s="16">
        <f t="shared" si="5"/>
        <v>0</v>
      </c>
      <c r="AW49" s="13" t="str">
        <f t="shared" si="6"/>
        <v>NÃO</v>
      </c>
      <c r="AX49" s="13" t="str">
        <f t="shared" si="7"/>
        <v>OK</v>
      </c>
      <c r="AY49" s="13" t="str">
        <f t="shared" si="8"/>
        <v>OK</v>
      </c>
      <c r="AZ49">
        <f t="shared" si="9"/>
        <v>-23.581158046040148</v>
      </c>
    </row>
    <row r="50" spans="2:52" x14ac:dyDescent="0.3">
      <c r="B50" t="s">
        <v>275</v>
      </c>
      <c r="C50" t="s">
        <v>302</v>
      </c>
      <c r="D50" t="s">
        <v>303</v>
      </c>
      <c r="E50" t="s">
        <v>304</v>
      </c>
      <c r="F50" t="s">
        <v>46</v>
      </c>
      <c r="G50" t="s">
        <v>75</v>
      </c>
      <c r="H50" t="s">
        <v>60</v>
      </c>
      <c r="I50" t="s">
        <v>49</v>
      </c>
      <c r="J50" t="s">
        <v>50</v>
      </c>
      <c r="K50" t="s">
        <v>51</v>
      </c>
      <c r="L50" t="s">
        <v>51</v>
      </c>
      <c r="M50" t="s">
        <v>134</v>
      </c>
      <c r="N50" t="s">
        <v>305</v>
      </c>
      <c r="O50" s="11" t="str">
        <f t="shared" si="0"/>
        <v>OK</v>
      </c>
      <c r="P50" t="s">
        <v>54</v>
      </c>
      <c r="Q50" t="s">
        <v>54</v>
      </c>
      <c r="R50" t="s">
        <v>51</v>
      </c>
      <c r="S50" t="s">
        <v>55</v>
      </c>
      <c r="T50" s="1">
        <v>34174606</v>
      </c>
      <c r="U50" s="1">
        <v>18912827</v>
      </c>
      <c r="V50" s="13" t="str">
        <f t="shared" si="1"/>
        <v>OK</v>
      </c>
      <c r="W50" s="1">
        <v>34254277</v>
      </c>
      <c r="X50" s="1">
        <v>0</v>
      </c>
      <c r="Y50" t="s">
        <v>51</v>
      </c>
      <c r="Z50">
        <v>180982.64</v>
      </c>
      <c r="AA50">
        <v>0</v>
      </c>
      <c r="AB50">
        <v>0</v>
      </c>
      <c r="AC50">
        <v>66798</v>
      </c>
      <c r="AD50" s="13" t="str">
        <f t="shared" si="2"/>
        <v>OK</v>
      </c>
      <c r="AE50">
        <v>7171691</v>
      </c>
      <c r="AG50">
        <v>0</v>
      </c>
      <c r="AH50">
        <v>0</v>
      </c>
      <c r="AI50">
        <v>0</v>
      </c>
      <c r="AJ50" s="13" t="str">
        <f t="shared" si="3"/>
        <v>OK</v>
      </c>
      <c r="AK50">
        <v>0</v>
      </c>
      <c r="AL50">
        <v>0</v>
      </c>
      <c r="AM50">
        <v>0</v>
      </c>
      <c r="AN50">
        <v>0</v>
      </c>
      <c r="AO50">
        <v>3729073</v>
      </c>
      <c r="AP50">
        <v>3729073</v>
      </c>
      <c r="AQ50" s="15">
        <f t="shared" si="4"/>
        <v>0</v>
      </c>
      <c r="AR50">
        <v>3729073</v>
      </c>
      <c r="AS50">
        <v>3729073</v>
      </c>
      <c r="AT50">
        <v>0</v>
      </c>
      <c r="AU50">
        <v>0</v>
      </c>
      <c r="AV50" s="16">
        <f t="shared" si="5"/>
        <v>0</v>
      </c>
      <c r="AW50" s="13" t="str">
        <f t="shared" si="6"/>
        <v>NÃO</v>
      </c>
      <c r="AX50" s="13" t="str">
        <f t="shared" si="7"/>
        <v>OK</v>
      </c>
      <c r="AY50" s="13" t="str">
        <f t="shared" si="8"/>
        <v>OK</v>
      </c>
      <c r="AZ50">
        <f t="shared" si="9"/>
        <v>0.93141213139272172</v>
      </c>
    </row>
    <row r="51" spans="2:52" x14ac:dyDescent="0.3">
      <c r="B51" t="s">
        <v>275</v>
      </c>
      <c r="C51" t="s">
        <v>306</v>
      </c>
      <c r="D51" t="s">
        <v>307</v>
      </c>
      <c r="E51" t="s">
        <v>308</v>
      </c>
      <c r="F51" t="s">
        <v>46</v>
      </c>
      <c r="G51" t="s">
        <v>139</v>
      </c>
      <c r="H51" t="s">
        <v>60</v>
      </c>
      <c r="I51" t="s">
        <v>49</v>
      </c>
      <c r="J51" t="s">
        <v>50</v>
      </c>
      <c r="K51" t="s">
        <v>51</v>
      </c>
      <c r="L51" t="s">
        <v>51</v>
      </c>
      <c r="M51" t="s">
        <v>134</v>
      </c>
      <c r="N51" t="s">
        <v>309</v>
      </c>
      <c r="O51" s="11" t="str">
        <f t="shared" si="0"/>
        <v>OK</v>
      </c>
      <c r="P51" t="s">
        <v>54</v>
      </c>
      <c r="Q51" t="s">
        <v>54</v>
      </c>
      <c r="R51" t="s">
        <v>54</v>
      </c>
      <c r="S51" t="s">
        <v>310</v>
      </c>
      <c r="T51" s="1">
        <v>647904534.29999995</v>
      </c>
      <c r="U51" s="1">
        <v>14145214.57</v>
      </c>
      <c r="V51" s="13" t="str">
        <f t="shared" si="1"/>
        <v>OK</v>
      </c>
      <c r="W51" s="1">
        <v>718676601.82000005</v>
      </c>
      <c r="X51" s="1">
        <v>35321589.490000002</v>
      </c>
      <c r="Y51" t="s">
        <v>54</v>
      </c>
      <c r="Z51">
        <v>403935.4</v>
      </c>
      <c r="AA51">
        <v>44869</v>
      </c>
      <c r="AB51">
        <v>0</v>
      </c>
      <c r="AC51">
        <v>53836634.670000002</v>
      </c>
      <c r="AD51" s="13" t="str">
        <f t="shared" si="2"/>
        <v>OK</v>
      </c>
      <c r="AE51">
        <v>272709448.97000003</v>
      </c>
      <c r="AG51">
        <v>11982824.789999999</v>
      </c>
      <c r="AH51">
        <v>0</v>
      </c>
      <c r="AI51">
        <v>0</v>
      </c>
      <c r="AJ51" s="13" t="str">
        <f t="shared" si="3"/>
        <v>OK</v>
      </c>
      <c r="AK51">
        <v>0</v>
      </c>
      <c r="AL51">
        <v>0</v>
      </c>
      <c r="AM51">
        <v>0</v>
      </c>
      <c r="AN51">
        <v>0</v>
      </c>
      <c r="AO51">
        <v>11449572</v>
      </c>
      <c r="AP51">
        <v>11449572</v>
      </c>
      <c r="AQ51" s="15">
        <f t="shared" si="4"/>
        <v>0</v>
      </c>
      <c r="AR51">
        <v>54393290.270000003</v>
      </c>
      <c r="AS51">
        <v>58681099.810000002</v>
      </c>
      <c r="AT51">
        <v>0</v>
      </c>
      <c r="AU51">
        <v>0</v>
      </c>
      <c r="AV51" s="16">
        <f t="shared" si="5"/>
        <v>4287809.5399999991</v>
      </c>
      <c r="AW51" s="13" t="str">
        <f t="shared" si="6"/>
        <v>SIM</v>
      </c>
      <c r="AX51" s="13" t="str">
        <f t="shared" si="7"/>
        <v>OK</v>
      </c>
      <c r="AY51" s="13" t="str">
        <f t="shared" si="8"/>
        <v>OK</v>
      </c>
      <c r="AZ51">
        <f t="shared" si="9"/>
        <v>19.741389553363959</v>
      </c>
    </row>
    <row r="52" spans="2:52" x14ac:dyDescent="0.3">
      <c r="B52" t="s">
        <v>275</v>
      </c>
      <c r="C52" t="s">
        <v>311</v>
      </c>
      <c r="D52" t="s">
        <v>312</v>
      </c>
      <c r="E52" t="s">
        <v>313</v>
      </c>
      <c r="F52" t="s">
        <v>46</v>
      </c>
      <c r="G52" t="s">
        <v>314</v>
      </c>
      <c r="H52" t="s">
        <v>60</v>
      </c>
      <c r="I52" t="s">
        <v>49</v>
      </c>
      <c r="J52" t="s">
        <v>50</v>
      </c>
      <c r="K52" t="s">
        <v>51</v>
      </c>
      <c r="L52" t="s">
        <v>51</v>
      </c>
      <c r="M52" t="s">
        <v>134</v>
      </c>
      <c r="N52" t="s">
        <v>219</v>
      </c>
      <c r="O52" s="11" t="str">
        <f t="shared" si="0"/>
        <v>OK</v>
      </c>
      <c r="P52" t="s">
        <v>54</v>
      </c>
      <c r="Q52" t="s">
        <v>54</v>
      </c>
      <c r="R52" t="s">
        <v>54</v>
      </c>
      <c r="S52" t="s">
        <v>315</v>
      </c>
      <c r="T52" s="1">
        <v>291104183.95999998</v>
      </c>
      <c r="U52" s="1">
        <v>94346584.5</v>
      </c>
      <c r="V52" s="13" t="str">
        <f t="shared" si="1"/>
        <v>OK</v>
      </c>
      <c r="W52" s="1">
        <v>209076283.08000001</v>
      </c>
      <c r="X52" s="1">
        <v>49933261.369999997</v>
      </c>
      <c r="Y52" t="s">
        <v>51</v>
      </c>
      <c r="Z52">
        <v>626720.41</v>
      </c>
      <c r="AA52">
        <v>0</v>
      </c>
      <c r="AB52">
        <v>68522.289999999994</v>
      </c>
      <c r="AC52">
        <v>98567134.510000005</v>
      </c>
      <c r="AD52" s="13" t="str">
        <f t="shared" si="2"/>
        <v>OK</v>
      </c>
      <c r="AE52">
        <v>1350756494.48</v>
      </c>
      <c r="AF52">
        <v>1350756494.48</v>
      </c>
      <c r="AG52">
        <v>17219203.34</v>
      </c>
      <c r="AH52">
        <v>0</v>
      </c>
      <c r="AI52">
        <v>0</v>
      </c>
      <c r="AJ52" s="13" t="str">
        <f t="shared" si="3"/>
        <v>OK</v>
      </c>
      <c r="AK52">
        <v>600274.64</v>
      </c>
      <c r="AL52">
        <v>2645714.34</v>
      </c>
      <c r="AM52">
        <v>0</v>
      </c>
      <c r="AN52">
        <v>0</v>
      </c>
      <c r="AO52">
        <v>123848859</v>
      </c>
      <c r="AP52">
        <v>123848859</v>
      </c>
      <c r="AQ52" s="15">
        <f t="shared" si="4"/>
        <v>0</v>
      </c>
      <c r="AR52">
        <v>748760646.33000004</v>
      </c>
      <c r="AS52">
        <v>748760646.33000004</v>
      </c>
      <c r="AT52">
        <v>0</v>
      </c>
      <c r="AU52">
        <v>0</v>
      </c>
      <c r="AV52" s="16">
        <f t="shared" si="5"/>
        <v>0</v>
      </c>
      <c r="AW52" s="13" t="str">
        <f t="shared" si="6"/>
        <v>NÃO</v>
      </c>
      <c r="AX52" s="13" t="str">
        <f t="shared" si="7"/>
        <v>OK</v>
      </c>
      <c r="AY52" s="13" t="str">
        <f t="shared" si="8"/>
        <v>OK</v>
      </c>
      <c r="AZ52">
        <f t="shared" si="9"/>
        <v>7.2971801292686242</v>
      </c>
    </row>
    <row r="53" spans="2:52" x14ac:dyDescent="0.3">
      <c r="B53" t="s">
        <v>275</v>
      </c>
      <c r="C53" t="s">
        <v>316</v>
      </c>
      <c r="D53" t="s">
        <v>317</v>
      </c>
      <c r="E53" t="s">
        <v>318</v>
      </c>
      <c r="F53" t="s">
        <v>46</v>
      </c>
      <c r="G53" t="s">
        <v>107</v>
      </c>
      <c r="H53" t="s">
        <v>60</v>
      </c>
      <c r="I53" t="s">
        <v>49</v>
      </c>
      <c r="J53" t="s">
        <v>50</v>
      </c>
      <c r="K53" t="s">
        <v>51</v>
      </c>
      <c r="L53" t="s">
        <v>51</v>
      </c>
      <c r="M53" t="s">
        <v>134</v>
      </c>
      <c r="N53" t="s">
        <v>319</v>
      </c>
      <c r="O53" s="11" t="str">
        <f t="shared" si="0"/>
        <v>OK</v>
      </c>
      <c r="P53" t="s">
        <v>54</v>
      </c>
      <c r="Q53" t="s">
        <v>54</v>
      </c>
      <c r="R53" t="s">
        <v>54</v>
      </c>
      <c r="S53" t="s">
        <v>320</v>
      </c>
      <c r="T53" s="1">
        <v>228237130</v>
      </c>
      <c r="U53" s="1">
        <v>110210112</v>
      </c>
      <c r="V53" s="13" t="str">
        <f t="shared" si="1"/>
        <v>OK</v>
      </c>
      <c r="W53" s="1">
        <v>221229629</v>
      </c>
      <c r="X53" s="1">
        <v>13273633</v>
      </c>
      <c r="Y53" t="s">
        <v>54</v>
      </c>
      <c r="Z53">
        <v>561341.06000000006</v>
      </c>
      <c r="AA53">
        <v>33292.639999999999</v>
      </c>
      <c r="AB53">
        <v>0</v>
      </c>
      <c r="AC53">
        <v>14241975</v>
      </c>
      <c r="AD53" s="13" t="str">
        <f t="shared" si="2"/>
        <v>OK</v>
      </c>
      <c r="AE53">
        <v>275152984</v>
      </c>
      <c r="AF53">
        <v>275152984</v>
      </c>
      <c r="AG53">
        <v>1201000</v>
      </c>
      <c r="AH53">
        <v>0</v>
      </c>
      <c r="AI53">
        <v>0</v>
      </c>
      <c r="AJ53" s="13" t="str">
        <f t="shared" si="3"/>
        <v>OK</v>
      </c>
      <c r="AK53">
        <v>0</v>
      </c>
      <c r="AL53">
        <v>0</v>
      </c>
      <c r="AM53">
        <v>3350355</v>
      </c>
      <c r="AN53">
        <v>5701731</v>
      </c>
      <c r="AO53">
        <v>161410751</v>
      </c>
      <c r="AP53">
        <v>161410758</v>
      </c>
      <c r="AQ53" s="15">
        <f t="shared" si="4"/>
        <v>7</v>
      </c>
      <c r="AR53">
        <v>152912091</v>
      </c>
      <c r="AS53">
        <v>158613822</v>
      </c>
      <c r="AT53">
        <v>8498667</v>
      </c>
      <c r="AU53">
        <v>2796936</v>
      </c>
      <c r="AV53" s="16">
        <f t="shared" si="5"/>
        <v>8498667</v>
      </c>
      <c r="AW53" s="13" t="str">
        <f t="shared" si="6"/>
        <v>SIM</v>
      </c>
      <c r="AX53" s="13" t="str">
        <f t="shared" si="7"/>
        <v>VER CAPITAL</v>
      </c>
      <c r="AY53" s="13" t="str">
        <f t="shared" si="8"/>
        <v>OK</v>
      </c>
      <c r="AZ53">
        <f t="shared" si="9"/>
        <v>5.176020551534342</v>
      </c>
    </row>
    <row r="54" spans="2:52" x14ac:dyDescent="0.3">
      <c r="B54" t="s">
        <v>275</v>
      </c>
      <c r="C54" t="s">
        <v>276</v>
      </c>
      <c r="D54" t="s">
        <v>91</v>
      </c>
      <c r="E54" t="s">
        <v>277</v>
      </c>
      <c r="F54" t="s">
        <v>70</v>
      </c>
      <c r="G54" t="s">
        <v>93</v>
      </c>
      <c r="H54" t="s">
        <v>60</v>
      </c>
      <c r="I54" t="s">
        <v>49</v>
      </c>
      <c r="J54" t="s">
        <v>50</v>
      </c>
      <c r="K54" t="s">
        <v>51</v>
      </c>
      <c r="L54" t="s">
        <v>51</v>
      </c>
      <c r="M54" t="s">
        <v>52</v>
      </c>
      <c r="N54" t="s">
        <v>278</v>
      </c>
      <c r="O54" s="11" t="str">
        <f t="shared" si="0"/>
        <v>OK</v>
      </c>
      <c r="P54" t="s">
        <v>51</v>
      </c>
      <c r="Q54" t="s">
        <v>54</v>
      </c>
      <c r="R54" t="s">
        <v>51</v>
      </c>
      <c r="S54" t="s">
        <v>55</v>
      </c>
      <c r="T54" s="1">
        <v>889561.62</v>
      </c>
      <c r="U54" s="1">
        <v>2958289.75</v>
      </c>
      <c r="V54" s="13" t="str">
        <f t="shared" si="1"/>
        <v>OK</v>
      </c>
      <c r="W54" s="1">
        <v>14936810.07</v>
      </c>
      <c r="X54" s="1">
        <v>66780</v>
      </c>
      <c r="Y54" t="s">
        <v>51</v>
      </c>
      <c r="Z54">
        <v>121610.4</v>
      </c>
      <c r="AA54">
        <v>0</v>
      </c>
      <c r="AB54">
        <v>0</v>
      </c>
      <c r="AC54">
        <v>-10281440.119999999</v>
      </c>
      <c r="AD54" s="13" t="str">
        <f t="shared" si="2"/>
        <v>OK</v>
      </c>
      <c r="AE54">
        <v>-315559232.82999998</v>
      </c>
      <c r="AG54">
        <v>0</v>
      </c>
      <c r="AH54">
        <v>9400117.8300000001</v>
      </c>
      <c r="AI54">
        <v>3685417.15</v>
      </c>
      <c r="AJ54" s="13" t="str">
        <f t="shared" si="3"/>
        <v>OK</v>
      </c>
      <c r="AK54">
        <v>724948576.66999996</v>
      </c>
      <c r="AL54" s="14">
        <v>731821385.75999999</v>
      </c>
      <c r="AM54">
        <v>0</v>
      </c>
      <c r="AN54">
        <v>0</v>
      </c>
      <c r="AO54">
        <v>29404405</v>
      </c>
      <c r="AP54">
        <v>29404405</v>
      </c>
      <c r="AQ54" s="15">
        <f t="shared" si="4"/>
        <v>0</v>
      </c>
      <c r="AR54">
        <v>29404405</v>
      </c>
      <c r="AS54">
        <v>29404405</v>
      </c>
      <c r="AT54">
        <v>0</v>
      </c>
      <c r="AU54">
        <v>0</v>
      </c>
      <c r="AV54" s="16">
        <f t="shared" si="5"/>
        <v>0</v>
      </c>
      <c r="AW54" s="13" t="str">
        <f t="shared" si="6"/>
        <v>NÃO</v>
      </c>
      <c r="AX54" s="13" t="str">
        <f t="shared" si="7"/>
        <v>OK</v>
      </c>
      <c r="AY54" s="13" t="str">
        <f t="shared" si="8"/>
        <v>OK</v>
      </c>
      <c r="AZ54">
        <f t="shared" si="9"/>
        <v>3.2581648864442765</v>
      </c>
    </row>
    <row r="55" spans="2:52" x14ac:dyDescent="0.3">
      <c r="B55" t="s">
        <v>275</v>
      </c>
      <c r="C55" t="s">
        <v>279</v>
      </c>
      <c r="D55" t="s">
        <v>280</v>
      </c>
      <c r="E55" t="s">
        <v>281</v>
      </c>
      <c r="F55" t="s">
        <v>46</v>
      </c>
      <c r="G55" t="s">
        <v>102</v>
      </c>
      <c r="H55" t="s">
        <v>48</v>
      </c>
      <c r="I55" t="s">
        <v>76</v>
      </c>
      <c r="J55" t="s">
        <v>50</v>
      </c>
      <c r="K55" t="s">
        <v>51</v>
      </c>
      <c r="L55" t="s">
        <v>51</v>
      </c>
      <c r="M55" t="s">
        <v>52</v>
      </c>
      <c r="N55" t="s">
        <v>282</v>
      </c>
      <c r="O55" s="11" t="str">
        <f t="shared" si="0"/>
        <v>OK</v>
      </c>
      <c r="P55" t="s">
        <v>54</v>
      </c>
      <c r="Q55" t="s">
        <v>54</v>
      </c>
      <c r="R55" t="s">
        <v>51</v>
      </c>
      <c r="S55" t="s">
        <v>55</v>
      </c>
      <c r="T55" s="1">
        <v>135630426.81999999</v>
      </c>
      <c r="U55" s="1">
        <v>121307888.15000001</v>
      </c>
      <c r="V55" s="13" t="str">
        <f t="shared" si="1"/>
        <v>OK</v>
      </c>
      <c r="W55" s="1">
        <v>136081576.31999999</v>
      </c>
      <c r="X55" s="1">
        <v>0</v>
      </c>
      <c r="Y55" t="s">
        <v>51</v>
      </c>
      <c r="Z55">
        <v>503399.06</v>
      </c>
      <c r="AA55">
        <v>0</v>
      </c>
      <c r="AB55">
        <v>0</v>
      </c>
      <c r="AC55">
        <v>-476324.62</v>
      </c>
      <c r="AD55" s="13" t="str">
        <f t="shared" si="2"/>
        <v>OK</v>
      </c>
      <c r="AE55">
        <v>-93996136.260000005</v>
      </c>
      <c r="AG55">
        <v>0</v>
      </c>
      <c r="AH55">
        <v>125847483.44</v>
      </c>
      <c r="AI55">
        <v>135698855.31999999</v>
      </c>
      <c r="AJ55" s="13" t="str">
        <f t="shared" si="3"/>
        <v>OK</v>
      </c>
      <c r="AK55">
        <v>0</v>
      </c>
      <c r="AL55" s="14">
        <v>0</v>
      </c>
      <c r="AM55">
        <v>0</v>
      </c>
      <c r="AN55">
        <v>0</v>
      </c>
      <c r="AO55">
        <v>0</v>
      </c>
      <c r="AP55">
        <v>0</v>
      </c>
      <c r="AQ55" s="15">
        <f t="shared" si="4"/>
        <v>0</v>
      </c>
      <c r="AR55">
        <v>2511583.84</v>
      </c>
      <c r="AS55">
        <v>2511583.84</v>
      </c>
      <c r="AT55">
        <v>0</v>
      </c>
      <c r="AU55">
        <v>0</v>
      </c>
      <c r="AV55" s="16">
        <f t="shared" si="5"/>
        <v>0</v>
      </c>
      <c r="AW55" s="13" t="str">
        <f t="shared" si="6"/>
        <v>NÃO</v>
      </c>
      <c r="AX55" s="13" t="str">
        <f t="shared" si="7"/>
        <v>OK</v>
      </c>
      <c r="AY55" s="13" t="str">
        <f t="shared" si="8"/>
        <v>OK</v>
      </c>
      <c r="AZ55">
        <f t="shared" si="9"/>
        <v>0.50674914837185669</v>
      </c>
    </row>
    <row r="56" spans="2:52" x14ac:dyDescent="0.3">
      <c r="B56" t="s">
        <v>275</v>
      </c>
      <c r="C56" t="s">
        <v>283</v>
      </c>
      <c r="D56" t="s">
        <v>284</v>
      </c>
      <c r="E56" t="s">
        <v>285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51</v>
      </c>
      <c r="M56" t="s">
        <v>52</v>
      </c>
      <c r="N56" t="s">
        <v>286</v>
      </c>
      <c r="O56" s="11" t="str">
        <f t="shared" si="0"/>
        <v>OK</v>
      </c>
      <c r="P56" t="s">
        <v>54</v>
      </c>
      <c r="Q56" t="s">
        <v>54</v>
      </c>
      <c r="R56" t="s">
        <v>51</v>
      </c>
      <c r="S56" t="s">
        <v>287</v>
      </c>
      <c r="T56" s="1">
        <v>336115591</v>
      </c>
      <c r="U56" s="1">
        <v>58947805</v>
      </c>
      <c r="V56" s="13" t="str">
        <f t="shared" si="1"/>
        <v>OK</v>
      </c>
      <c r="W56" s="1">
        <v>315592968</v>
      </c>
      <c r="X56" s="1">
        <v>141910</v>
      </c>
      <c r="Y56" t="s">
        <v>51</v>
      </c>
      <c r="Z56">
        <v>534130</v>
      </c>
      <c r="AA56">
        <v>0</v>
      </c>
      <c r="AB56">
        <v>0</v>
      </c>
      <c r="AC56">
        <v>23493609</v>
      </c>
      <c r="AD56" s="13" t="str">
        <f t="shared" si="2"/>
        <v>OK</v>
      </c>
      <c r="AE56">
        <v>40007116</v>
      </c>
      <c r="AG56">
        <v>0</v>
      </c>
      <c r="AH56">
        <v>50337610</v>
      </c>
      <c r="AI56">
        <v>52846766</v>
      </c>
      <c r="AJ56" s="13" t="str">
        <f t="shared" si="3"/>
        <v>OK</v>
      </c>
      <c r="AK56">
        <v>0</v>
      </c>
      <c r="AL56" s="14">
        <v>0</v>
      </c>
      <c r="AM56">
        <v>0</v>
      </c>
      <c r="AN56">
        <v>0</v>
      </c>
      <c r="AO56">
        <v>100</v>
      </c>
      <c r="AP56">
        <v>100</v>
      </c>
      <c r="AQ56" s="15">
        <f t="shared" si="4"/>
        <v>0</v>
      </c>
      <c r="AR56">
        <v>50000</v>
      </c>
      <c r="AS56">
        <v>13748706</v>
      </c>
      <c r="AT56">
        <v>0</v>
      </c>
      <c r="AU56">
        <v>0</v>
      </c>
      <c r="AV56" s="16">
        <f t="shared" si="5"/>
        <v>13698706</v>
      </c>
      <c r="AW56" s="13" t="str">
        <f t="shared" si="6"/>
        <v>SIM</v>
      </c>
      <c r="AX56" s="13" t="str">
        <f t="shared" si="7"/>
        <v>OK</v>
      </c>
      <c r="AY56" s="13" t="str">
        <f t="shared" si="8"/>
        <v>OK</v>
      </c>
      <c r="AZ56">
        <f t="shared" si="9"/>
        <v>58.723575575905045</v>
      </c>
    </row>
    <row r="57" spans="2:52" x14ac:dyDescent="0.3">
      <c r="B57" t="s">
        <v>275</v>
      </c>
      <c r="C57" t="s">
        <v>321</v>
      </c>
      <c r="D57" t="s">
        <v>322</v>
      </c>
      <c r="E57" t="s">
        <v>323</v>
      </c>
      <c r="F57" t="s">
        <v>46</v>
      </c>
      <c r="G57" t="s">
        <v>240</v>
      </c>
      <c r="H57" t="s">
        <v>60</v>
      </c>
      <c r="I57" t="s">
        <v>49</v>
      </c>
      <c r="J57" t="s">
        <v>50</v>
      </c>
      <c r="K57" t="s">
        <v>51</v>
      </c>
      <c r="L57" t="s">
        <v>51</v>
      </c>
      <c r="M57" s="11" t="s">
        <v>134</v>
      </c>
      <c r="N57" t="s">
        <v>324</v>
      </c>
      <c r="O57" s="11" t="str">
        <f t="shared" si="0"/>
        <v>OK</v>
      </c>
      <c r="P57" t="s">
        <v>54</v>
      </c>
      <c r="Q57" t="s">
        <v>54</v>
      </c>
      <c r="R57" t="s">
        <v>54</v>
      </c>
      <c r="S57" t="s">
        <v>325</v>
      </c>
      <c r="T57" s="1">
        <v>244101816.68000001</v>
      </c>
      <c r="U57" s="1">
        <v>132754655.79000001</v>
      </c>
      <c r="V57" s="13" t="str">
        <f t="shared" si="1"/>
        <v>OK</v>
      </c>
      <c r="W57" s="1">
        <v>369161449.20999998</v>
      </c>
      <c r="X57" s="1">
        <v>8617638.5399999991</v>
      </c>
      <c r="Y57" t="s">
        <v>51</v>
      </c>
      <c r="Z57">
        <v>326294.08</v>
      </c>
      <c r="AA57">
        <v>0</v>
      </c>
      <c r="AB57">
        <v>0</v>
      </c>
      <c r="AC57">
        <v>-67338882.650000006</v>
      </c>
      <c r="AD57" s="13" t="str">
        <f t="shared" si="2"/>
        <v>OK</v>
      </c>
      <c r="AE57">
        <v>915953575.92999995</v>
      </c>
      <c r="AG57">
        <v>0</v>
      </c>
      <c r="AH57">
        <v>194001671.97999999</v>
      </c>
      <c r="AI57" s="14">
        <v>215011888.31</v>
      </c>
      <c r="AJ57" s="13" t="str">
        <f t="shared" si="3"/>
        <v>INDÍCIO DE DEPENDÊNCIA POR SUBVENÇÃO</v>
      </c>
      <c r="AK57">
        <v>0</v>
      </c>
      <c r="AL57" s="14">
        <v>0</v>
      </c>
      <c r="AM57">
        <v>4400000</v>
      </c>
      <c r="AN57">
        <v>4000000</v>
      </c>
      <c r="AO57">
        <v>2995022400</v>
      </c>
      <c r="AP57">
        <v>3000302400</v>
      </c>
      <c r="AQ57" s="15">
        <f t="shared" si="4"/>
        <v>5280000</v>
      </c>
      <c r="AR57">
        <v>2495852000</v>
      </c>
      <c r="AS57">
        <v>2500252000</v>
      </c>
      <c r="AT57">
        <v>0</v>
      </c>
      <c r="AU57">
        <v>0</v>
      </c>
      <c r="AV57" s="16">
        <f t="shared" si="5"/>
        <v>4400000</v>
      </c>
      <c r="AW57" s="13" t="str">
        <f t="shared" si="6"/>
        <v>SIM</v>
      </c>
      <c r="AX57" s="13" t="str">
        <f t="shared" si="7"/>
        <v>VER CAPITAL</v>
      </c>
      <c r="AY57" s="13" t="str">
        <f t="shared" si="8"/>
        <v>OK</v>
      </c>
      <c r="AZ57">
        <f t="shared" si="9"/>
        <v>-7.3517790005490689</v>
      </c>
    </row>
    <row r="58" spans="2:52" x14ac:dyDescent="0.3">
      <c r="B58" t="s">
        <v>275</v>
      </c>
      <c r="C58" t="s">
        <v>326</v>
      </c>
      <c r="D58" t="s">
        <v>327</v>
      </c>
      <c r="E58" t="s">
        <v>328</v>
      </c>
      <c r="F58" t="s">
        <v>46</v>
      </c>
      <c r="G58" t="s">
        <v>65</v>
      </c>
      <c r="H58" t="s">
        <v>60</v>
      </c>
      <c r="I58" t="s">
        <v>49</v>
      </c>
      <c r="J58" t="s">
        <v>50</v>
      </c>
      <c r="K58" t="s">
        <v>51</v>
      </c>
      <c r="L58" t="s">
        <v>54</v>
      </c>
      <c r="M58" t="s">
        <v>134</v>
      </c>
      <c r="N58" t="s">
        <v>103</v>
      </c>
      <c r="O58" s="11" t="str">
        <f t="shared" si="0"/>
        <v>OK</v>
      </c>
      <c r="P58" t="s">
        <v>54</v>
      </c>
      <c r="Q58" t="s">
        <v>54</v>
      </c>
      <c r="R58" t="s">
        <v>51</v>
      </c>
      <c r="S58" t="s">
        <v>329</v>
      </c>
      <c r="T58" s="1">
        <v>44297902.909999996</v>
      </c>
      <c r="U58" s="1">
        <v>17924084.109999999</v>
      </c>
      <c r="V58" s="13" t="str">
        <f t="shared" si="1"/>
        <v>OK</v>
      </c>
      <c r="W58" s="1">
        <v>29998259.710000001</v>
      </c>
      <c r="X58" s="1">
        <v>3495688.47</v>
      </c>
      <c r="Y58" t="s">
        <v>54</v>
      </c>
      <c r="Z58">
        <v>287117.15999999997</v>
      </c>
      <c r="AA58">
        <v>147625.29999999999</v>
      </c>
      <c r="AB58">
        <v>0</v>
      </c>
      <c r="AC58">
        <v>13568036.050000001</v>
      </c>
      <c r="AD58" s="13" t="str">
        <f t="shared" si="2"/>
        <v>OK</v>
      </c>
      <c r="AE58">
        <v>35820464.140000001</v>
      </c>
      <c r="AG58">
        <v>0</v>
      </c>
      <c r="AH58">
        <v>0</v>
      </c>
      <c r="AI58">
        <v>0</v>
      </c>
      <c r="AJ58" s="13" t="str">
        <f t="shared" si="3"/>
        <v>OK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15">
        <f t="shared" si="4"/>
        <v>0</v>
      </c>
      <c r="AR58">
        <v>0</v>
      </c>
      <c r="AS58">
        <v>0</v>
      </c>
      <c r="AT58">
        <v>0</v>
      </c>
      <c r="AU58">
        <v>0</v>
      </c>
      <c r="AV58" s="16">
        <f t="shared" si="5"/>
        <v>0</v>
      </c>
      <c r="AW58" s="13" t="str">
        <f t="shared" si="6"/>
        <v>NÃO</v>
      </c>
      <c r="AX58" s="13" t="str">
        <f t="shared" si="7"/>
        <v>OK</v>
      </c>
      <c r="AY58" s="13" t="str">
        <f t="shared" si="8"/>
        <v>OK</v>
      </c>
      <c r="AZ58">
        <f t="shared" si="9"/>
        <v>37.877890127193645</v>
      </c>
    </row>
    <row r="59" spans="2:52" x14ac:dyDescent="0.3">
      <c r="B59" t="s">
        <v>330</v>
      </c>
      <c r="C59" t="s">
        <v>365</v>
      </c>
      <c r="D59" t="s">
        <v>366</v>
      </c>
      <c r="E59" t="s">
        <v>367</v>
      </c>
      <c r="F59" t="s">
        <v>46</v>
      </c>
      <c r="G59" t="s">
        <v>65</v>
      </c>
      <c r="H59" t="s">
        <v>48</v>
      </c>
      <c r="I59" t="s">
        <v>49</v>
      </c>
      <c r="J59" t="s">
        <v>50</v>
      </c>
      <c r="K59" t="s">
        <v>51</v>
      </c>
      <c r="L59" t="s">
        <v>54</v>
      </c>
      <c r="M59" t="s">
        <v>134</v>
      </c>
      <c r="N59" t="s">
        <v>368</v>
      </c>
      <c r="O59" s="11" t="str">
        <f t="shared" si="0"/>
        <v>OK</v>
      </c>
      <c r="P59" t="s">
        <v>54</v>
      </c>
      <c r="Q59" t="s">
        <v>54</v>
      </c>
      <c r="R59" t="s">
        <v>51</v>
      </c>
      <c r="S59" t="s">
        <v>369</v>
      </c>
      <c r="T59" s="1">
        <v>0</v>
      </c>
      <c r="U59" s="1">
        <v>10021616.33</v>
      </c>
      <c r="V59" s="13" t="str">
        <f t="shared" si="1"/>
        <v>OK</v>
      </c>
      <c r="W59" s="1">
        <v>18009638.379999999</v>
      </c>
      <c r="X59" s="1">
        <v>1515396.62</v>
      </c>
      <c r="Y59" t="s">
        <v>51</v>
      </c>
      <c r="Z59">
        <v>532630.43000000005</v>
      </c>
      <c r="AA59">
        <v>0</v>
      </c>
      <c r="AB59">
        <v>0</v>
      </c>
      <c r="AC59">
        <v>28800626</v>
      </c>
      <c r="AD59" s="13" t="str">
        <f t="shared" si="2"/>
        <v>OK</v>
      </c>
      <c r="AE59">
        <v>1052610978</v>
      </c>
      <c r="AG59">
        <v>0</v>
      </c>
      <c r="AH59">
        <v>0</v>
      </c>
      <c r="AI59">
        <v>0</v>
      </c>
      <c r="AJ59" s="13" t="str">
        <f t="shared" si="3"/>
        <v>OK</v>
      </c>
      <c r="AK59">
        <v>0</v>
      </c>
      <c r="AL59">
        <v>0</v>
      </c>
      <c r="AM59">
        <v>0</v>
      </c>
      <c r="AN59">
        <v>0</v>
      </c>
      <c r="AO59">
        <v>9958047</v>
      </c>
      <c r="AP59">
        <v>9958047</v>
      </c>
      <c r="AQ59" s="15">
        <f t="shared" si="4"/>
        <v>0</v>
      </c>
      <c r="AR59">
        <v>995804700</v>
      </c>
      <c r="AS59">
        <v>995804700</v>
      </c>
      <c r="AT59">
        <v>-5794655</v>
      </c>
      <c r="AU59">
        <v>-5794655</v>
      </c>
      <c r="AV59" s="16">
        <f t="shared" si="5"/>
        <v>-5794655</v>
      </c>
      <c r="AW59" s="13" t="str">
        <f t="shared" si="6"/>
        <v>NÃO</v>
      </c>
      <c r="AX59" s="13" t="str">
        <f t="shared" si="7"/>
        <v>OK</v>
      </c>
      <c r="AY59" s="13" t="str">
        <f t="shared" si="8"/>
        <v>OK</v>
      </c>
      <c r="AZ59">
        <f t="shared" si="9"/>
        <v>2.7361130181942679</v>
      </c>
    </row>
    <row r="60" spans="2:52" x14ac:dyDescent="0.3">
      <c r="B60" t="s">
        <v>330</v>
      </c>
      <c r="C60" t="s">
        <v>370</v>
      </c>
      <c r="D60" t="s">
        <v>371</v>
      </c>
      <c r="E60" t="s">
        <v>372</v>
      </c>
      <c r="F60" t="s">
        <v>46</v>
      </c>
      <c r="G60" t="s">
        <v>71</v>
      </c>
      <c r="H60" t="s">
        <v>60</v>
      </c>
      <c r="I60" t="s">
        <v>49</v>
      </c>
      <c r="J60" t="s">
        <v>373</v>
      </c>
      <c r="K60" t="s">
        <v>54</v>
      </c>
      <c r="L60" t="s">
        <v>51</v>
      </c>
      <c r="M60" t="s">
        <v>134</v>
      </c>
      <c r="N60" t="s">
        <v>374</v>
      </c>
      <c r="O60" s="11" t="str">
        <f t="shared" si="0"/>
        <v>OK</v>
      </c>
      <c r="P60" t="s">
        <v>54</v>
      </c>
      <c r="Q60" t="s">
        <v>54</v>
      </c>
      <c r="R60" t="s">
        <v>54</v>
      </c>
      <c r="S60" t="s">
        <v>375</v>
      </c>
      <c r="T60" s="1">
        <v>229338714.06</v>
      </c>
      <c r="U60" s="1">
        <v>1215339654.3599999</v>
      </c>
      <c r="V60" s="13" t="str">
        <f t="shared" si="1"/>
        <v>OK</v>
      </c>
      <c r="W60" s="1">
        <v>8156633926.5500002</v>
      </c>
      <c r="X60" s="1">
        <v>206086925.47999999</v>
      </c>
      <c r="Y60" t="s">
        <v>54</v>
      </c>
      <c r="Z60">
        <v>837726.37</v>
      </c>
      <c r="AA60">
        <v>324385.26</v>
      </c>
      <c r="AB60">
        <v>0</v>
      </c>
      <c r="AC60">
        <v>195716826.59</v>
      </c>
      <c r="AD60" s="13" t="str">
        <f t="shared" si="2"/>
        <v>OK</v>
      </c>
      <c r="AE60">
        <v>3687331404.7199998</v>
      </c>
      <c r="AF60">
        <v>3190605972.8200002</v>
      </c>
      <c r="AG60">
        <v>1206204.48</v>
      </c>
      <c r="AH60">
        <v>0</v>
      </c>
      <c r="AI60">
        <v>0</v>
      </c>
      <c r="AJ60" s="13" t="str">
        <f t="shared" si="3"/>
        <v>OK</v>
      </c>
      <c r="AK60">
        <v>0</v>
      </c>
      <c r="AL60">
        <v>0</v>
      </c>
      <c r="AM60">
        <v>0</v>
      </c>
      <c r="AN60">
        <v>0</v>
      </c>
      <c r="AO60">
        <v>71.92</v>
      </c>
      <c r="AP60">
        <v>65.63</v>
      </c>
      <c r="AQ60" s="15">
        <f t="shared" si="4"/>
        <v>-6.2900000000000063</v>
      </c>
      <c r="AR60">
        <v>0</v>
      </c>
      <c r="AS60">
        <v>0</v>
      </c>
      <c r="AT60">
        <v>0</v>
      </c>
      <c r="AU60">
        <v>0</v>
      </c>
      <c r="AV60" s="16">
        <f t="shared" si="5"/>
        <v>0</v>
      </c>
      <c r="AW60" s="13" t="str">
        <f t="shared" si="6"/>
        <v>NÃO</v>
      </c>
      <c r="AX60" s="13" t="str">
        <f t="shared" si="7"/>
        <v>OK</v>
      </c>
      <c r="AY60" s="13" t="str">
        <f t="shared" si="8"/>
        <v>OK</v>
      </c>
      <c r="AZ60">
        <f t="shared" si="9"/>
        <v>5.307817635796745</v>
      </c>
    </row>
    <row r="61" spans="2:52" x14ac:dyDescent="0.3">
      <c r="B61" t="s">
        <v>330</v>
      </c>
      <c r="C61" t="s">
        <v>376</v>
      </c>
      <c r="D61" t="s">
        <v>377</v>
      </c>
      <c r="E61" t="s">
        <v>378</v>
      </c>
      <c r="F61" t="s">
        <v>46</v>
      </c>
      <c r="G61" t="s">
        <v>71</v>
      </c>
      <c r="H61" t="s">
        <v>60</v>
      </c>
      <c r="I61" t="s">
        <v>49</v>
      </c>
      <c r="J61" t="s">
        <v>50</v>
      </c>
      <c r="K61" t="s">
        <v>51</v>
      </c>
      <c r="L61" t="s">
        <v>54</v>
      </c>
      <c r="M61" t="s">
        <v>134</v>
      </c>
      <c r="N61" t="s">
        <v>66</v>
      </c>
      <c r="O61" s="11" t="str">
        <f t="shared" si="0"/>
        <v>VERIFICAR</v>
      </c>
      <c r="P61" t="s">
        <v>51</v>
      </c>
      <c r="Q61" t="s">
        <v>54</v>
      </c>
      <c r="R61" t="s">
        <v>51</v>
      </c>
      <c r="S61" t="s">
        <v>55</v>
      </c>
      <c r="T61" s="1">
        <v>301617.51</v>
      </c>
      <c r="U61" s="1">
        <v>1490863.63</v>
      </c>
      <c r="V61" s="13" t="str">
        <f t="shared" si="1"/>
        <v>VERIFICAR</v>
      </c>
      <c r="W61" s="1">
        <v>2979003.3</v>
      </c>
      <c r="X61" s="1">
        <v>0</v>
      </c>
      <c r="Y61" t="s">
        <v>51</v>
      </c>
      <c r="Z61">
        <v>0</v>
      </c>
      <c r="AA61">
        <v>0</v>
      </c>
      <c r="AB61">
        <v>0</v>
      </c>
      <c r="AC61">
        <v>80614672.409999996</v>
      </c>
      <c r="AD61" s="13" t="str">
        <f t="shared" si="2"/>
        <v>OK</v>
      </c>
      <c r="AE61">
        <v>499541580.00999999</v>
      </c>
      <c r="AG61">
        <v>0</v>
      </c>
      <c r="AH61">
        <v>0</v>
      </c>
      <c r="AI61">
        <v>0</v>
      </c>
      <c r="AJ61" s="13" t="str">
        <f t="shared" si="3"/>
        <v>OK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15">
        <f t="shared" si="4"/>
        <v>0</v>
      </c>
      <c r="AR61">
        <v>0</v>
      </c>
      <c r="AS61">
        <v>0</v>
      </c>
      <c r="AT61">
        <v>0</v>
      </c>
      <c r="AU61">
        <v>0</v>
      </c>
      <c r="AV61" s="16">
        <f t="shared" si="5"/>
        <v>0</v>
      </c>
      <c r="AW61" s="13" t="str">
        <f t="shared" si="6"/>
        <v>NÃO</v>
      </c>
      <c r="AX61" s="13" t="str">
        <f t="shared" si="7"/>
        <v>OK</v>
      </c>
      <c r="AY61" s="13" t="str">
        <f t="shared" si="8"/>
        <v>OK</v>
      </c>
      <c r="AZ61">
        <f t="shared" si="9"/>
        <v>16.137730198232195</v>
      </c>
    </row>
    <row r="62" spans="2:52" x14ac:dyDescent="0.3">
      <c r="B62" t="s">
        <v>330</v>
      </c>
      <c r="C62" t="s">
        <v>379</v>
      </c>
      <c r="D62" t="s">
        <v>380</v>
      </c>
      <c r="E62" t="s">
        <v>381</v>
      </c>
      <c r="F62" t="s">
        <v>46</v>
      </c>
      <c r="G62" t="s">
        <v>71</v>
      </c>
      <c r="H62" t="s">
        <v>60</v>
      </c>
      <c r="I62" t="s">
        <v>49</v>
      </c>
      <c r="J62" t="s">
        <v>50</v>
      </c>
      <c r="K62" t="s">
        <v>51</v>
      </c>
      <c r="L62" t="s">
        <v>54</v>
      </c>
      <c r="M62" t="s">
        <v>134</v>
      </c>
      <c r="N62" t="s">
        <v>382</v>
      </c>
      <c r="O62" s="11" t="str">
        <f t="shared" si="0"/>
        <v>OK</v>
      </c>
      <c r="P62" t="s">
        <v>54</v>
      </c>
      <c r="Q62" t="s">
        <v>54</v>
      </c>
      <c r="R62" t="s">
        <v>54</v>
      </c>
      <c r="S62" t="s">
        <v>55</v>
      </c>
      <c r="T62" s="1">
        <v>11143665.43</v>
      </c>
      <c r="U62" s="1">
        <v>3082019.37</v>
      </c>
      <c r="V62" s="13" t="str">
        <f t="shared" si="1"/>
        <v>OK</v>
      </c>
      <c r="W62" s="1">
        <v>26478526.140000001</v>
      </c>
      <c r="X62" s="1">
        <v>0</v>
      </c>
      <c r="Y62" t="s">
        <v>54</v>
      </c>
      <c r="Z62">
        <v>697595.69</v>
      </c>
      <c r="AA62">
        <v>74146.850000000006</v>
      </c>
      <c r="AB62">
        <v>0</v>
      </c>
      <c r="AC62">
        <v>5674698.6799999997</v>
      </c>
      <c r="AD62" s="13" t="str">
        <f t="shared" si="2"/>
        <v>OK</v>
      </c>
      <c r="AE62">
        <v>62259025.609999999</v>
      </c>
      <c r="AG62">
        <v>0</v>
      </c>
      <c r="AH62">
        <v>0</v>
      </c>
      <c r="AI62">
        <v>0</v>
      </c>
      <c r="AJ62" s="13" t="str">
        <f t="shared" si="3"/>
        <v>OK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s="15">
        <f t="shared" si="4"/>
        <v>0</v>
      </c>
      <c r="AR62">
        <v>40000000</v>
      </c>
      <c r="AS62">
        <v>40000000</v>
      </c>
      <c r="AT62">
        <v>0</v>
      </c>
      <c r="AU62">
        <v>0</v>
      </c>
      <c r="AV62" s="16">
        <f t="shared" si="5"/>
        <v>0</v>
      </c>
      <c r="AW62" s="13" t="str">
        <f t="shared" si="6"/>
        <v>NÃO</v>
      </c>
      <c r="AX62" s="13" t="str">
        <f t="shared" si="7"/>
        <v>OK</v>
      </c>
      <c r="AY62" s="13" t="str">
        <f t="shared" si="8"/>
        <v>OK</v>
      </c>
      <c r="AZ62">
        <f t="shared" si="9"/>
        <v>9.1146602832289325</v>
      </c>
    </row>
    <row r="63" spans="2:52" x14ac:dyDescent="0.3">
      <c r="B63" t="s">
        <v>330</v>
      </c>
      <c r="C63" t="s">
        <v>383</v>
      </c>
      <c r="D63" t="s">
        <v>384</v>
      </c>
      <c r="E63" t="s">
        <v>385</v>
      </c>
      <c r="F63" t="s">
        <v>46</v>
      </c>
      <c r="G63" t="s">
        <v>71</v>
      </c>
      <c r="H63" t="s">
        <v>60</v>
      </c>
      <c r="I63" t="s">
        <v>49</v>
      </c>
      <c r="J63" t="s">
        <v>50</v>
      </c>
      <c r="K63" t="s">
        <v>51</v>
      </c>
      <c r="L63" t="s">
        <v>54</v>
      </c>
      <c r="M63" t="s">
        <v>134</v>
      </c>
      <c r="N63" t="s">
        <v>66</v>
      </c>
      <c r="O63" s="11" t="str">
        <f t="shared" si="0"/>
        <v>VERIFICAR</v>
      </c>
      <c r="P63" t="s">
        <v>51</v>
      </c>
      <c r="Q63" t="s">
        <v>54</v>
      </c>
      <c r="R63" t="s">
        <v>51</v>
      </c>
      <c r="S63" t="s">
        <v>55</v>
      </c>
      <c r="T63" s="1">
        <v>234119072.94999999</v>
      </c>
      <c r="U63" s="1">
        <v>567953.80000000005</v>
      </c>
      <c r="V63" s="13" t="str">
        <f t="shared" si="1"/>
        <v>VERIFICAR</v>
      </c>
      <c r="W63" s="1">
        <v>977870414.91999996</v>
      </c>
      <c r="X63" s="1">
        <v>0</v>
      </c>
      <c r="Y63" t="s">
        <v>54</v>
      </c>
      <c r="Z63">
        <v>614208.69999999995</v>
      </c>
      <c r="AA63">
        <v>20796.97</v>
      </c>
      <c r="AB63">
        <v>0</v>
      </c>
      <c r="AC63">
        <v>141054314.84999999</v>
      </c>
      <c r="AD63" s="13" t="str">
        <f t="shared" si="2"/>
        <v>OK</v>
      </c>
      <c r="AE63">
        <v>433727010.30000001</v>
      </c>
      <c r="AG63">
        <v>0</v>
      </c>
      <c r="AH63">
        <v>0</v>
      </c>
      <c r="AI63">
        <v>0</v>
      </c>
      <c r="AJ63" s="13" t="str">
        <f t="shared" si="3"/>
        <v>OK</v>
      </c>
      <c r="AK63">
        <v>0</v>
      </c>
      <c r="AL63">
        <v>0</v>
      </c>
      <c r="AM63">
        <v>0</v>
      </c>
      <c r="AN63">
        <v>0</v>
      </c>
      <c r="AO63">
        <v>420</v>
      </c>
      <c r="AP63">
        <v>420</v>
      </c>
      <c r="AQ63" s="15">
        <f t="shared" si="4"/>
        <v>0</v>
      </c>
      <c r="AR63">
        <v>150000000</v>
      </c>
      <c r="AS63">
        <v>150000000</v>
      </c>
      <c r="AT63">
        <v>0</v>
      </c>
      <c r="AU63">
        <v>0</v>
      </c>
      <c r="AV63" s="16">
        <f t="shared" si="5"/>
        <v>0</v>
      </c>
      <c r="AW63" s="13" t="str">
        <f t="shared" si="6"/>
        <v>NÃO</v>
      </c>
      <c r="AX63" s="13" t="str">
        <f t="shared" si="7"/>
        <v>OK</v>
      </c>
      <c r="AY63" s="13" t="str">
        <f t="shared" si="8"/>
        <v>OK</v>
      </c>
      <c r="AZ63">
        <f t="shared" si="9"/>
        <v>32.521450474674296</v>
      </c>
    </row>
    <row r="64" spans="2:52" x14ac:dyDescent="0.3">
      <c r="B64" t="s">
        <v>330</v>
      </c>
      <c r="C64" t="s">
        <v>386</v>
      </c>
      <c r="D64" t="s">
        <v>387</v>
      </c>
      <c r="E64" t="s">
        <v>388</v>
      </c>
      <c r="F64" t="s">
        <v>46</v>
      </c>
      <c r="G64" t="s">
        <v>71</v>
      </c>
      <c r="H64" t="s">
        <v>48</v>
      </c>
      <c r="I64" t="s">
        <v>49</v>
      </c>
      <c r="J64" t="s">
        <v>50</v>
      </c>
      <c r="K64" t="s">
        <v>51</v>
      </c>
      <c r="L64" t="s">
        <v>54</v>
      </c>
      <c r="M64" t="s">
        <v>134</v>
      </c>
      <c r="N64" t="s">
        <v>66</v>
      </c>
      <c r="O64" s="11" t="str">
        <f t="shared" si="0"/>
        <v>VERIFICAR</v>
      </c>
      <c r="P64" t="s">
        <v>54</v>
      </c>
      <c r="Q64" t="s">
        <v>51</v>
      </c>
      <c r="R64" t="s">
        <v>51</v>
      </c>
      <c r="S64" t="s">
        <v>55</v>
      </c>
      <c r="T64" s="1">
        <v>0</v>
      </c>
      <c r="U64" s="1">
        <v>0</v>
      </c>
      <c r="V64" s="13" t="str">
        <f t="shared" si="1"/>
        <v>OK</v>
      </c>
      <c r="W64" s="1">
        <v>1032.94</v>
      </c>
      <c r="X64" s="1">
        <v>0</v>
      </c>
      <c r="Y64" t="s">
        <v>51</v>
      </c>
      <c r="Z64">
        <v>0</v>
      </c>
      <c r="AA64">
        <v>0</v>
      </c>
      <c r="AB64">
        <v>0</v>
      </c>
      <c r="AC64">
        <v>0</v>
      </c>
      <c r="AD64" s="13" t="str">
        <f t="shared" si="2"/>
        <v>OK</v>
      </c>
      <c r="AE64">
        <v>0</v>
      </c>
      <c r="AG64">
        <v>0</v>
      </c>
      <c r="AH64">
        <v>0</v>
      </c>
      <c r="AI64">
        <v>0</v>
      </c>
      <c r="AJ64" s="13" t="str">
        <f t="shared" si="3"/>
        <v>OK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s="15">
        <f t="shared" si="4"/>
        <v>0</v>
      </c>
      <c r="AR64">
        <v>0</v>
      </c>
      <c r="AS64">
        <v>0</v>
      </c>
      <c r="AT64">
        <v>0</v>
      </c>
      <c r="AU64">
        <v>0</v>
      </c>
      <c r="AV64" s="16">
        <f t="shared" si="5"/>
        <v>0</v>
      </c>
      <c r="AW64" s="13" t="str">
        <f t="shared" si="6"/>
        <v>NÃO</v>
      </c>
      <c r="AX64" s="13" t="str">
        <f t="shared" si="7"/>
        <v>OK</v>
      </c>
      <c r="AY64" s="13" t="str">
        <f t="shared" si="8"/>
        <v>OK</v>
      </c>
      <c r="AZ64" t="e">
        <f t="shared" si="9"/>
        <v>#DIV/0!</v>
      </c>
    </row>
    <row r="65" spans="2:52" x14ac:dyDescent="0.3">
      <c r="B65" t="s">
        <v>330</v>
      </c>
      <c r="C65" t="s">
        <v>389</v>
      </c>
      <c r="D65" t="s">
        <v>389</v>
      </c>
      <c r="E65" t="s">
        <v>390</v>
      </c>
      <c r="F65" t="s">
        <v>46</v>
      </c>
      <c r="G65" t="s">
        <v>71</v>
      </c>
      <c r="H65" t="s">
        <v>60</v>
      </c>
      <c r="I65" t="s">
        <v>49</v>
      </c>
      <c r="J65" t="s">
        <v>50</v>
      </c>
      <c r="K65" t="s">
        <v>51</v>
      </c>
      <c r="L65" t="s">
        <v>54</v>
      </c>
      <c r="M65" t="s">
        <v>134</v>
      </c>
      <c r="N65" t="s">
        <v>391</v>
      </c>
      <c r="O65" s="11" t="str">
        <f t="shared" si="0"/>
        <v>OK</v>
      </c>
      <c r="P65" t="s">
        <v>54</v>
      </c>
      <c r="Q65" t="s">
        <v>54</v>
      </c>
      <c r="R65" t="s">
        <v>51</v>
      </c>
      <c r="S65" t="s">
        <v>55</v>
      </c>
      <c r="T65" s="1">
        <v>100549726</v>
      </c>
      <c r="U65" s="1">
        <v>72223772.469999999</v>
      </c>
      <c r="V65" s="13" t="str">
        <f t="shared" si="1"/>
        <v>OK</v>
      </c>
      <c r="W65" s="1">
        <v>103199793.56</v>
      </c>
      <c r="X65" s="1">
        <v>0</v>
      </c>
      <c r="Y65" t="s">
        <v>54</v>
      </c>
      <c r="Z65">
        <v>673442.27</v>
      </c>
      <c r="AA65">
        <v>66872.98</v>
      </c>
      <c r="AB65">
        <v>0</v>
      </c>
      <c r="AC65">
        <v>-26500068</v>
      </c>
      <c r="AD65" s="13" t="str">
        <f t="shared" si="2"/>
        <v>VERIFICAR</v>
      </c>
      <c r="AE65">
        <v>28906244</v>
      </c>
      <c r="AG65">
        <v>0</v>
      </c>
      <c r="AH65">
        <v>0</v>
      </c>
      <c r="AI65">
        <v>0</v>
      </c>
      <c r="AJ65" s="13" t="str">
        <f t="shared" si="3"/>
        <v>OK</v>
      </c>
      <c r="AK65">
        <v>0</v>
      </c>
      <c r="AL65">
        <v>0</v>
      </c>
      <c r="AM65">
        <v>0</v>
      </c>
      <c r="AN65">
        <v>0</v>
      </c>
      <c r="AO65">
        <v>248000</v>
      </c>
      <c r="AP65">
        <v>248000</v>
      </c>
      <c r="AQ65" s="15">
        <f t="shared" si="4"/>
        <v>0</v>
      </c>
      <c r="AR65">
        <v>29744203</v>
      </c>
      <c r="AS65">
        <v>30000000</v>
      </c>
      <c r="AT65">
        <v>255797</v>
      </c>
      <c r="AU65">
        <v>0</v>
      </c>
      <c r="AV65" s="16">
        <f t="shared" si="5"/>
        <v>255797</v>
      </c>
      <c r="AW65" s="13" t="str">
        <f t="shared" si="6"/>
        <v>SIM</v>
      </c>
      <c r="AX65" s="13" t="str">
        <f t="shared" si="7"/>
        <v>OK</v>
      </c>
      <c r="AY65" s="13" t="str">
        <f t="shared" si="8"/>
        <v>OK</v>
      </c>
      <c r="AZ65">
        <f t="shared" si="9"/>
        <v>-91.67592994786871</v>
      </c>
    </row>
    <row r="66" spans="2:52" x14ac:dyDescent="0.3">
      <c r="B66" t="s">
        <v>330</v>
      </c>
      <c r="C66" t="s">
        <v>392</v>
      </c>
      <c r="D66" t="s">
        <v>393</v>
      </c>
      <c r="E66" t="s">
        <v>394</v>
      </c>
      <c r="F66" t="s">
        <v>46</v>
      </c>
      <c r="G66" t="s">
        <v>71</v>
      </c>
      <c r="H66" t="s">
        <v>60</v>
      </c>
      <c r="I66" t="s">
        <v>49</v>
      </c>
      <c r="J66" t="s">
        <v>50</v>
      </c>
      <c r="K66" t="s">
        <v>51</v>
      </c>
      <c r="L66" t="s">
        <v>54</v>
      </c>
      <c r="M66" t="s">
        <v>134</v>
      </c>
      <c r="N66" t="s">
        <v>395</v>
      </c>
      <c r="O66" s="11" t="str">
        <f t="shared" ref="O66:O129" si="10">IF(AND(F66="ATIVA",VALUE(N66)=0),"VERIFICAR","OK")</f>
        <v>OK</v>
      </c>
      <c r="P66" t="s">
        <v>54</v>
      </c>
      <c r="Q66" t="s">
        <v>54</v>
      </c>
      <c r="R66" t="s">
        <v>51</v>
      </c>
      <c r="S66" t="s">
        <v>396</v>
      </c>
      <c r="T66" s="1">
        <v>299508917.44</v>
      </c>
      <c r="U66" s="1">
        <v>55122088.689999998</v>
      </c>
      <c r="V66" s="13" t="str">
        <f t="shared" ref="V66:V129" si="11">IF(AND(VALUE(N66)=0,VALUE(U66)&gt;0),"VERIFICAR","OK")</f>
        <v>OK</v>
      </c>
      <c r="W66" s="1">
        <v>687534582.97000003</v>
      </c>
      <c r="X66" s="1">
        <v>124046687.11</v>
      </c>
      <c r="Y66" t="s">
        <v>54</v>
      </c>
      <c r="Z66">
        <v>428014.97</v>
      </c>
      <c r="AA66">
        <v>209404.05</v>
      </c>
      <c r="AB66">
        <v>311854.32</v>
      </c>
      <c r="AC66">
        <v>36771132.82</v>
      </c>
      <c r="AD66" s="13" t="str">
        <f t="shared" ref="AD66:AD129" si="12">IF(AND(Y66="SIM",VALUE(AC66)&lt;0),"VERIFICAR","OK")</f>
        <v>OK</v>
      </c>
      <c r="AE66">
        <v>586672269.13999999</v>
      </c>
      <c r="AG66">
        <v>0</v>
      </c>
      <c r="AH66">
        <v>0</v>
      </c>
      <c r="AI66">
        <v>0</v>
      </c>
      <c r="AJ66" s="13" t="str">
        <f t="shared" ref="AJ66:AJ129" si="13">IF(AND(M66="NÃO DEPENDENTE",VALUE(AI66)&gt;0),"INDÍCIO DE DEPENDÊNCIA POR SUBVENÇÃO","OK")</f>
        <v>OK</v>
      </c>
      <c r="AK66">
        <v>0</v>
      </c>
      <c r="AL66">
        <v>0</v>
      </c>
      <c r="AM66">
        <v>0</v>
      </c>
      <c r="AN66">
        <v>0</v>
      </c>
      <c r="AO66">
        <v>3941551</v>
      </c>
      <c r="AP66">
        <v>3941551</v>
      </c>
      <c r="AQ66" s="15">
        <f t="shared" ref="AQ66:AQ129" si="14">AP66-AO66</f>
        <v>0</v>
      </c>
      <c r="AR66">
        <v>574791209.91999996</v>
      </c>
      <c r="AS66">
        <v>522034715.57999998</v>
      </c>
      <c r="AT66">
        <v>0</v>
      </c>
      <c r="AU66">
        <v>0</v>
      </c>
      <c r="AV66" s="16">
        <f t="shared" ref="AV66:AV129" si="15">(AS66-AR66)+(AU66)</f>
        <v>-52756494.339999974</v>
      </c>
      <c r="AW66" s="13" t="str">
        <f t="shared" ref="AW66:AW129" si="16">IF(OR(VALUE(AQ66)&gt;0,VALUE(AV66)&gt;0),"SIM","NÃO")</f>
        <v>NÃO</v>
      </c>
      <c r="AX66" s="13" t="str">
        <f t="shared" ref="AX66:AX129" si="17">IF(AND(M66="NÃO DEPENDENTE",VALUE(AN66)&gt;0),"VER CAPITAL","OK")</f>
        <v>OK</v>
      </c>
      <c r="AY66" s="13" t="str">
        <f t="shared" ref="AY66:AY129" si="18">IF(AND(AX66="VER CAPITAL",AW66="NÃO"),"INDÍCIO DE DEPENDÊNCIA POR CAPITAL","OK")</f>
        <v>OK</v>
      </c>
      <c r="AZ66">
        <f t="shared" ref="AZ66:AZ129" si="19">AC66*100/AE66</f>
        <v>6.2677468757646624</v>
      </c>
    </row>
    <row r="67" spans="2:52" x14ac:dyDescent="0.3">
      <c r="B67" t="s">
        <v>330</v>
      </c>
      <c r="C67" t="s">
        <v>397</v>
      </c>
      <c r="D67" t="s">
        <v>398</v>
      </c>
      <c r="E67" t="s">
        <v>399</v>
      </c>
      <c r="F67" t="s">
        <v>46</v>
      </c>
      <c r="G67" t="s">
        <v>107</v>
      </c>
      <c r="H67" t="s">
        <v>60</v>
      </c>
      <c r="I67" t="s">
        <v>49</v>
      </c>
      <c r="J67" t="s">
        <v>50</v>
      </c>
      <c r="K67" t="s">
        <v>51</v>
      </c>
      <c r="L67" t="s">
        <v>51</v>
      </c>
      <c r="M67" t="s">
        <v>134</v>
      </c>
      <c r="N67" t="s">
        <v>400</v>
      </c>
      <c r="O67" s="11" t="str">
        <f t="shared" si="10"/>
        <v>OK</v>
      </c>
      <c r="P67" t="s">
        <v>54</v>
      </c>
      <c r="Q67" t="s">
        <v>54</v>
      </c>
      <c r="R67" t="s">
        <v>54</v>
      </c>
      <c r="S67" t="s">
        <v>401</v>
      </c>
      <c r="T67" s="1">
        <v>2292756128.9299998</v>
      </c>
      <c r="U67" s="1">
        <v>975150306.65999997</v>
      </c>
      <c r="V67" s="13" t="str">
        <f t="shared" si="11"/>
        <v>OK</v>
      </c>
      <c r="W67" s="1">
        <v>2529906856.04</v>
      </c>
      <c r="X67" s="1">
        <v>372533309.08999997</v>
      </c>
      <c r="Y67" t="s">
        <v>54</v>
      </c>
      <c r="Z67">
        <v>896119.71</v>
      </c>
      <c r="AA67">
        <v>24792.52</v>
      </c>
      <c r="AB67">
        <v>25755.86</v>
      </c>
      <c r="AC67">
        <v>90460720</v>
      </c>
      <c r="AD67" s="13" t="str">
        <f t="shared" si="12"/>
        <v>OK</v>
      </c>
      <c r="AE67">
        <v>2248240620</v>
      </c>
      <c r="AG67">
        <v>0</v>
      </c>
      <c r="AH67">
        <v>0</v>
      </c>
      <c r="AI67">
        <v>0</v>
      </c>
      <c r="AJ67" s="13" t="str">
        <f t="shared" si="13"/>
        <v>OK</v>
      </c>
      <c r="AK67">
        <v>64529800.390000001</v>
      </c>
      <c r="AL67">
        <v>43607600.030000001</v>
      </c>
      <c r="AM67">
        <v>0</v>
      </c>
      <c r="AN67">
        <v>0</v>
      </c>
      <c r="AO67">
        <v>929456430</v>
      </c>
      <c r="AP67">
        <v>929456430</v>
      </c>
      <c r="AQ67" s="15">
        <f t="shared" si="14"/>
        <v>0</v>
      </c>
      <c r="AR67">
        <v>2074068686</v>
      </c>
      <c r="AS67">
        <v>2074068686</v>
      </c>
      <c r="AT67">
        <v>0</v>
      </c>
      <c r="AU67">
        <v>0</v>
      </c>
      <c r="AV67" s="16">
        <f t="shared" si="15"/>
        <v>0</v>
      </c>
      <c r="AW67" s="13" t="str">
        <f t="shared" si="16"/>
        <v>NÃO</v>
      </c>
      <c r="AX67" s="13" t="str">
        <f t="shared" si="17"/>
        <v>OK</v>
      </c>
      <c r="AY67" s="13" t="str">
        <f t="shared" si="18"/>
        <v>OK</v>
      </c>
      <c r="AZ67">
        <f t="shared" si="19"/>
        <v>4.0236227028048273</v>
      </c>
    </row>
    <row r="68" spans="2:52" x14ac:dyDescent="0.3">
      <c r="B68" t="s">
        <v>330</v>
      </c>
      <c r="C68" t="s">
        <v>402</v>
      </c>
      <c r="D68" t="s">
        <v>403</v>
      </c>
      <c r="E68" t="s">
        <v>404</v>
      </c>
      <c r="F68" t="s">
        <v>46</v>
      </c>
      <c r="G68" t="s">
        <v>75</v>
      </c>
      <c r="H68" t="s">
        <v>60</v>
      </c>
      <c r="I68" t="s">
        <v>49</v>
      </c>
      <c r="J68" t="s">
        <v>50</v>
      </c>
      <c r="K68" t="s">
        <v>51</v>
      </c>
      <c r="L68" t="s">
        <v>51</v>
      </c>
      <c r="M68" t="s">
        <v>134</v>
      </c>
      <c r="N68" t="s">
        <v>405</v>
      </c>
      <c r="O68" s="11" t="str">
        <f t="shared" si="10"/>
        <v>OK</v>
      </c>
      <c r="P68" t="s">
        <v>54</v>
      </c>
      <c r="Q68" t="s">
        <v>54</v>
      </c>
      <c r="R68" t="s">
        <v>51</v>
      </c>
      <c r="S68" t="s">
        <v>55</v>
      </c>
      <c r="T68" s="1">
        <v>15958076.609999999</v>
      </c>
      <c r="U68" s="1">
        <v>15729760.24</v>
      </c>
      <c r="V68" s="13" t="str">
        <f t="shared" si="11"/>
        <v>OK</v>
      </c>
      <c r="W68" s="1">
        <v>20282199.98</v>
      </c>
      <c r="X68" s="1">
        <v>0</v>
      </c>
      <c r="Y68" t="s">
        <v>51</v>
      </c>
      <c r="Z68">
        <v>327915.96999999997</v>
      </c>
      <c r="AA68">
        <v>0</v>
      </c>
      <c r="AB68">
        <v>0</v>
      </c>
      <c r="AC68">
        <v>1866173.98</v>
      </c>
      <c r="AD68" s="13" t="str">
        <f t="shared" si="12"/>
        <v>OK</v>
      </c>
      <c r="AE68">
        <v>60377796.909999996</v>
      </c>
      <c r="AG68">
        <v>0</v>
      </c>
      <c r="AH68">
        <v>0</v>
      </c>
      <c r="AI68">
        <v>0</v>
      </c>
      <c r="AJ68" s="13" t="str">
        <f t="shared" si="13"/>
        <v>OK</v>
      </c>
      <c r="AK68">
        <v>0</v>
      </c>
      <c r="AL68">
        <v>0</v>
      </c>
      <c r="AM68">
        <v>0</v>
      </c>
      <c r="AN68">
        <v>18000000</v>
      </c>
      <c r="AO68">
        <v>32197937.120000001</v>
      </c>
      <c r="AP68">
        <v>32197937.120000001</v>
      </c>
      <c r="AQ68" s="15">
        <f t="shared" si="14"/>
        <v>0</v>
      </c>
      <c r="AR68">
        <v>32197937.120000001</v>
      </c>
      <c r="AS68">
        <v>32197937.120000001</v>
      </c>
      <c r="AT68">
        <v>0</v>
      </c>
      <c r="AU68">
        <v>0</v>
      </c>
      <c r="AV68" s="16">
        <f t="shared" si="15"/>
        <v>0</v>
      </c>
      <c r="AW68" s="13" t="str">
        <f t="shared" si="16"/>
        <v>NÃO</v>
      </c>
      <c r="AX68" s="13" t="str">
        <f t="shared" si="17"/>
        <v>VER CAPITAL</v>
      </c>
      <c r="AY68" s="13" t="str">
        <f t="shared" si="18"/>
        <v>INDÍCIO DE DEPENDÊNCIA POR CAPITAL</v>
      </c>
      <c r="AZ68">
        <f t="shared" si="19"/>
        <v>3.0908282108765008</v>
      </c>
    </row>
    <row r="69" spans="2:52" x14ac:dyDescent="0.3">
      <c r="B69" t="s">
        <v>330</v>
      </c>
      <c r="C69" t="s">
        <v>406</v>
      </c>
      <c r="D69" t="s">
        <v>407</v>
      </c>
      <c r="E69" t="s">
        <v>408</v>
      </c>
      <c r="F69" t="s">
        <v>46</v>
      </c>
      <c r="G69" t="s">
        <v>409</v>
      </c>
      <c r="H69" t="s">
        <v>60</v>
      </c>
      <c r="I69" t="s">
        <v>49</v>
      </c>
      <c r="J69" t="s">
        <v>373</v>
      </c>
      <c r="K69" t="s">
        <v>54</v>
      </c>
      <c r="L69" t="s">
        <v>51</v>
      </c>
      <c r="M69" t="s">
        <v>134</v>
      </c>
      <c r="N69" t="s">
        <v>410</v>
      </c>
      <c r="O69" s="11" t="str">
        <f t="shared" si="10"/>
        <v>OK</v>
      </c>
      <c r="P69" t="s">
        <v>54</v>
      </c>
      <c r="Q69" t="s">
        <v>54</v>
      </c>
      <c r="R69" t="s">
        <v>54</v>
      </c>
      <c r="S69" t="s">
        <v>411</v>
      </c>
      <c r="T69" s="1">
        <v>31181843.170000002</v>
      </c>
      <c r="U69" s="1">
        <v>35837828.899999999</v>
      </c>
      <c r="V69" s="13" t="str">
        <f t="shared" si="11"/>
        <v>OK</v>
      </c>
      <c r="W69" s="1">
        <v>64043261.359999999</v>
      </c>
      <c r="X69" s="1">
        <v>0</v>
      </c>
      <c r="Y69" t="s">
        <v>54</v>
      </c>
      <c r="Z69">
        <v>716384.41</v>
      </c>
      <c r="AA69">
        <v>104728.96000000001</v>
      </c>
      <c r="AB69">
        <v>21395.24</v>
      </c>
      <c r="AC69">
        <v>174228036.25999999</v>
      </c>
      <c r="AD69" s="13" t="str">
        <f t="shared" si="12"/>
        <v>OK</v>
      </c>
      <c r="AE69">
        <v>1065392978.74</v>
      </c>
      <c r="AG69">
        <v>94835083.099999994</v>
      </c>
      <c r="AH69">
        <v>0</v>
      </c>
      <c r="AI69">
        <v>0</v>
      </c>
      <c r="AJ69" s="13" t="str">
        <f t="shared" si="13"/>
        <v>OK</v>
      </c>
      <c r="AK69">
        <v>0</v>
      </c>
      <c r="AL69">
        <v>0</v>
      </c>
      <c r="AM69">
        <v>0</v>
      </c>
      <c r="AN69">
        <v>0</v>
      </c>
      <c r="AO69">
        <v>57773215</v>
      </c>
      <c r="AP69">
        <v>57773215</v>
      </c>
      <c r="AQ69" s="15">
        <f t="shared" si="14"/>
        <v>0</v>
      </c>
      <c r="AR69">
        <v>566025355.62</v>
      </c>
      <c r="AS69">
        <v>566025355.62</v>
      </c>
      <c r="AT69">
        <v>0</v>
      </c>
      <c r="AU69">
        <v>0</v>
      </c>
      <c r="AV69" s="16">
        <f t="shared" si="15"/>
        <v>0</v>
      </c>
      <c r="AW69" s="13" t="str">
        <f t="shared" si="16"/>
        <v>NÃO</v>
      </c>
      <c r="AX69" s="13" t="str">
        <f t="shared" si="17"/>
        <v>OK</v>
      </c>
      <c r="AY69" s="13" t="str">
        <f t="shared" si="18"/>
        <v>OK</v>
      </c>
      <c r="AZ69">
        <f t="shared" si="19"/>
        <v>16.353405713828987</v>
      </c>
    </row>
    <row r="70" spans="2:52" x14ac:dyDescent="0.3">
      <c r="B70" t="s">
        <v>330</v>
      </c>
      <c r="C70" t="s">
        <v>412</v>
      </c>
      <c r="D70" t="s">
        <v>413</v>
      </c>
      <c r="E70" t="s">
        <v>414</v>
      </c>
      <c r="F70" t="s">
        <v>46</v>
      </c>
      <c r="G70" t="s">
        <v>409</v>
      </c>
      <c r="H70" t="s">
        <v>60</v>
      </c>
      <c r="I70" t="s">
        <v>49</v>
      </c>
      <c r="J70" t="s">
        <v>50</v>
      </c>
      <c r="K70" t="s">
        <v>51</v>
      </c>
      <c r="L70" t="s">
        <v>54</v>
      </c>
      <c r="M70" t="s">
        <v>134</v>
      </c>
      <c r="N70" t="s">
        <v>415</v>
      </c>
      <c r="O70" s="11" t="str">
        <f t="shared" si="10"/>
        <v>OK</v>
      </c>
      <c r="P70" t="s">
        <v>51</v>
      </c>
      <c r="Q70" t="s">
        <v>54</v>
      </c>
      <c r="R70" t="s">
        <v>51</v>
      </c>
      <c r="S70" t="s">
        <v>55</v>
      </c>
      <c r="T70" s="1">
        <v>51831969</v>
      </c>
      <c r="U70" s="1">
        <v>19629027</v>
      </c>
      <c r="V70" s="13" t="str">
        <f t="shared" si="11"/>
        <v>OK</v>
      </c>
      <c r="W70" s="1">
        <v>60332471.649999999</v>
      </c>
      <c r="X70" s="1">
        <v>327950</v>
      </c>
      <c r="Y70" t="s">
        <v>54</v>
      </c>
      <c r="Z70">
        <v>591686.76</v>
      </c>
      <c r="AA70">
        <v>75404.84</v>
      </c>
      <c r="AB70">
        <v>21395.23</v>
      </c>
      <c r="AC70">
        <v>14013461.949999999</v>
      </c>
      <c r="AD70" s="13" t="str">
        <f t="shared" si="12"/>
        <v>OK</v>
      </c>
      <c r="AE70">
        <v>197508701.77000001</v>
      </c>
      <c r="AG70">
        <v>5170071.05</v>
      </c>
      <c r="AH70">
        <v>0</v>
      </c>
      <c r="AI70">
        <v>0</v>
      </c>
      <c r="AJ70" s="13" t="str">
        <f t="shared" si="13"/>
        <v>OK</v>
      </c>
      <c r="AK70">
        <v>0</v>
      </c>
      <c r="AL70">
        <v>0</v>
      </c>
      <c r="AM70">
        <v>0</v>
      </c>
      <c r="AN70">
        <v>0</v>
      </c>
      <c r="AO70">
        <v>174080579.47</v>
      </c>
      <c r="AP70">
        <v>174080579.47</v>
      </c>
      <c r="AQ70" s="15">
        <f t="shared" si="14"/>
        <v>0</v>
      </c>
      <c r="AR70">
        <v>174080579.47</v>
      </c>
      <c r="AS70">
        <v>174080579.47</v>
      </c>
      <c r="AT70">
        <v>0</v>
      </c>
      <c r="AU70">
        <v>0</v>
      </c>
      <c r="AV70" s="16">
        <f t="shared" si="15"/>
        <v>0</v>
      </c>
      <c r="AW70" s="13" t="str">
        <f t="shared" si="16"/>
        <v>NÃO</v>
      </c>
      <c r="AX70" s="13" t="str">
        <f t="shared" si="17"/>
        <v>OK</v>
      </c>
      <c r="AY70" s="13" t="str">
        <f t="shared" si="18"/>
        <v>OK</v>
      </c>
      <c r="AZ70">
        <f t="shared" si="19"/>
        <v>7.095111164427963</v>
      </c>
    </row>
    <row r="71" spans="2:52" x14ac:dyDescent="0.3">
      <c r="B71" t="s">
        <v>330</v>
      </c>
      <c r="C71" t="s">
        <v>416</v>
      </c>
      <c r="D71" t="s">
        <v>417</v>
      </c>
      <c r="E71" t="s">
        <v>418</v>
      </c>
      <c r="F71" t="s">
        <v>46</v>
      </c>
      <c r="G71" t="s">
        <v>409</v>
      </c>
      <c r="H71" t="s">
        <v>60</v>
      </c>
      <c r="I71" t="s">
        <v>49</v>
      </c>
      <c r="J71" t="s">
        <v>50</v>
      </c>
      <c r="K71" t="s">
        <v>51</v>
      </c>
      <c r="L71" t="s">
        <v>54</v>
      </c>
      <c r="M71" t="s">
        <v>134</v>
      </c>
      <c r="N71" t="s">
        <v>419</v>
      </c>
      <c r="O71" s="11" t="str">
        <f t="shared" si="10"/>
        <v>OK</v>
      </c>
      <c r="P71" t="s">
        <v>54</v>
      </c>
      <c r="Q71" t="s">
        <v>54</v>
      </c>
      <c r="R71" t="s">
        <v>54</v>
      </c>
      <c r="S71" t="s">
        <v>55</v>
      </c>
      <c r="T71" s="1">
        <v>234365960.09999999</v>
      </c>
      <c r="U71" s="1">
        <v>6859542.0800000001</v>
      </c>
      <c r="V71" s="13" t="str">
        <f t="shared" si="11"/>
        <v>OK</v>
      </c>
      <c r="W71" s="1">
        <v>109020973.31999999</v>
      </c>
      <c r="X71" s="1">
        <v>0</v>
      </c>
      <c r="Y71" t="s">
        <v>54</v>
      </c>
      <c r="Z71">
        <v>715997.49</v>
      </c>
      <c r="AA71">
        <v>0</v>
      </c>
      <c r="AB71">
        <v>13777.72</v>
      </c>
      <c r="AC71">
        <v>104989869.34</v>
      </c>
      <c r="AD71" s="13" t="str">
        <f t="shared" si="12"/>
        <v>OK</v>
      </c>
      <c r="AE71">
        <v>387562396.51999998</v>
      </c>
      <c r="AG71">
        <v>0</v>
      </c>
      <c r="AH71">
        <v>0</v>
      </c>
      <c r="AI71">
        <v>0</v>
      </c>
      <c r="AJ71" s="13" t="str">
        <f t="shared" si="13"/>
        <v>OK</v>
      </c>
      <c r="AK71">
        <v>0</v>
      </c>
      <c r="AL71">
        <v>0</v>
      </c>
      <c r="AM71">
        <v>0</v>
      </c>
      <c r="AN71">
        <v>0</v>
      </c>
      <c r="AO71">
        <v>136850013</v>
      </c>
      <c r="AP71">
        <v>136850013</v>
      </c>
      <c r="AQ71" s="15">
        <f t="shared" si="14"/>
        <v>0</v>
      </c>
      <c r="AR71">
        <v>112283997.86</v>
      </c>
      <c r="AS71">
        <v>112283997.86</v>
      </c>
      <c r="AT71">
        <v>0</v>
      </c>
      <c r="AU71">
        <v>0</v>
      </c>
      <c r="AV71" s="16">
        <f t="shared" si="15"/>
        <v>0</v>
      </c>
      <c r="AW71" s="13" t="str">
        <f t="shared" si="16"/>
        <v>NÃO</v>
      </c>
      <c r="AX71" s="13" t="str">
        <f t="shared" si="17"/>
        <v>OK</v>
      </c>
      <c r="AY71" s="13" t="str">
        <f t="shared" si="18"/>
        <v>OK</v>
      </c>
      <c r="AZ71">
        <f t="shared" si="19"/>
        <v>27.08979774166043</v>
      </c>
    </row>
    <row r="72" spans="2:52" x14ac:dyDescent="0.3">
      <c r="B72" t="s">
        <v>330</v>
      </c>
      <c r="C72" t="s">
        <v>420</v>
      </c>
      <c r="D72" t="s">
        <v>421</v>
      </c>
      <c r="E72" t="s">
        <v>422</v>
      </c>
      <c r="F72" t="s">
        <v>46</v>
      </c>
      <c r="G72" t="s">
        <v>409</v>
      </c>
      <c r="H72" t="s">
        <v>60</v>
      </c>
      <c r="I72" t="s">
        <v>49</v>
      </c>
      <c r="J72" t="s">
        <v>50</v>
      </c>
      <c r="K72" t="s">
        <v>51</v>
      </c>
      <c r="L72" t="s">
        <v>54</v>
      </c>
      <c r="M72" t="s">
        <v>134</v>
      </c>
      <c r="N72" t="s">
        <v>98</v>
      </c>
      <c r="O72" s="11" t="str">
        <f t="shared" si="10"/>
        <v>OK</v>
      </c>
      <c r="P72" t="s">
        <v>51</v>
      </c>
      <c r="Q72" t="s">
        <v>54</v>
      </c>
      <c r="R72" t="s">
        <v>54</v>
      </c>
      <c r="S72" t="s">
        <v>423</v>
      </c>
      <c r="T72" s="1">
        <v>10065218.949999999</v>
      </c>
      <c r="U72" s="1">
        <v>5831363.7999999998</v>
      </c>
      <c r="V72" s="13" t="str">
        <f t="shared" si="11"/>
        <v>OK</v>
      </c>
      <c r="W72" s="1">
        <v>14208086.470000001</v>
      </c>
      <c r="X72" s="1">
        <v>768850.49</v>
      </c>
      <c r="Y72" t="s">
        <v>54</v>
      </c>
      <c r="Z72">
        <v>624558.16</v>
      </c>
      <c r="AA72">
        <v>79594</v>
      </c>
      <c r="AB72">
        <v>21329.22</v>
      </c>
      <c r="AC72">
        <v>-629528.41</v>
      </c>
      <c r="AD72" s="13" t="str">
        <f t="shared" si="12"/>
        <v>VERIFICAR</v>
      </c>
      <c r="AE72">
        <v>14520896.810000001</v>
      </c>
      <c r="AG72">
        <v>0</v>
      </c>
      <c r="AH72">
        <v>0</v>
      </c>
      <c r="AI72">
        <v>0</v>
      </c>
      <c r="AJ72" s="13" t="str">
        <f t="shared" si="13"/>
        <v>OK</v>
      </c>
      <c r="AK72">
        <v>0</v>
      </c>
      <c r="AL72">
        <v>0</v>
      </c>
      <c r="AM72">
        <v>0</v>
      </c>
      <c r="AN72">
        <v>0</v>
      </c>
      <c r="AO72">
        <v>7575212</v>
      </c>
      <c r="AP72">
        <v>7575212</v>
      </c>
      <c r="AQ72" s="15">
        <f t="shared" si="14"/>
        <v>0</v>
      </c>
      <c r="AR72">
        <v>7575212.6100000003</v>
      </c>
      <c r="AS72">
        <v>7575212.6100000003</v>
      </c>
      <c r="AT72">
        <v>0</v>
      </c>
      <c r="AU72">
        <v>0</v>
      </c>
      <c r="AV72" s="16">
        <f t="shared" si="15"/>
        <v>0</v>
      </c>
      <c r="AW72" s="13" t="str">
        <f t="shared" si="16"/>
        <v>NÃO</v>
      </c>
      <c r="AX72" s="13" t="str">
        <f t="shared" si="17"/>
        <v>OK</v>
      </c>
      <c r="AY72" s="13" t="str">
        <f t="shared" si="18"/>
        <v>OK</v>
      </c>
      <c r="AZ72">
        <f t="shared" si="19"/>
        <v>-4.3353273440140914</v>
      </c>
    </row>
    <row r="73" spans="2:52" x14ac:dyDescent="0.3">
      <c r="B73" t="s">
        <v>330</v>
      </c>
      <c r="C73" t="s">
        <v>424</v>
      </c>
      <c r="D73" t="s">
        <v>425</v>
      </c>
      <c r="E73" t="s">
        <v>426</v>
      </c>
      <c r="F73" t="s">
        <v>46</v>
      </c>
      <c r="G73" t="s">
        <v>139</v>
      </c>
      <c r="H73" t="s">
        <v>60</v>
      </c>
      <c r="I73" t="s">
        <v>49</v>
      </c>
      <c r="J73" t="s">
        <v>50</v>
      </c>
      <c r="K73" t="s">
        <v>51</v>
      </c>
      <c r="L73" t="s">
        <v>51</v>
      </c>
      <c r="M73" t="s">
        <v>134</v>
      </c>
      <c r="N73" t="s">
        <v>117</v>
      </c>
      <c r="O73" s="11" t="str">
        <f t="shared" si="10"/>
        <v>OK</v>
      </c>
      <c r="P73" t="s">
        <v>54</v>
      </c>
      <c r="Q73" t="s">
        <v>54</v>
      </c>
      <c r="R73" t="s">
        <v>51</v>
      </c>
      <c r="S73" t="s">
        <v>55</v>
      </c>
      <c r="T73" s="1">
        <v>386191.02</v>
      </c>
      <c r="U73" s="1">
        <v>378614.51</v>
      </c>
      <c r="V73" s="13" t="str">
        <f t="shared" si="11"/>
        <v>OK</v>
      </c>
      <c r="W73" s="1">
        <v>1290646.22</v>
      </c>
      <c r="X73" s="1">
        <v>0</v>
      </c>
      <c r="Y73" t="s">
        <v>51</v>
      </c>
      <c r="Z73">
        <v>199511.49</v>
      </c>
      <c r="AA73">
        <v>0</v>
      </c>
      <c r="AB73">
        <v>0</v>
      </c>
      <c r="AC73">
        <v>-1029544.37</v>
      </c>
      <c r="AD73" s="13" t="str">
        <f t="shared" si="12"/>
        <v>OK</v>
      </c>
      <c r="AE73">
        <v>-1493762.37</v>
      </c>
      <c r="AG73">
        <v>0</v>
      </c>
      <c r="AH73">
        <v>0</v>
      </c>
      <c r="AI73">
        <v>0</v>
      </c>
      <c r="AJ73" s="13" t="str">
        <f t="shared" si="13"/>
        <v>OK</v>
      </c>
      <c r="AK73">
        <v>0</v>
      </c>
      <c r="AL73">
        <v>0</v>
      </c>
      <c r="AM73">
        <v>318750</v>
      </c>
      <c r="AN73">
        <v>162500</v>
      </c>
      <c r="AO73">
        <v>1930250</v>
      </c>
      <c r="AP73">
        <v>1930250</v>
      </c>
      <c r="AQ73" s="15">
        <f t="shared" si="14"/>
        <v>0</v>
      </c>
      <c r="AR73">
        <v>1930250</v>
      </c>
      <c r="AS73">
        <v>1930250</v>
      </c>
      <c r="AT73">
        <v>0</v>
      </c>
      <c r="AU73">
        <v>0</v>
      </c>
      <c r="AV73" s="16">
        <f t="shared" si="15"/>
        <v>0</v>
      </c>
      <c r="AW73" s="13" t="str">
        <f t="shared" si="16"/>
        <v>NÃO</v>
      </c>
      <c r="AX73" s="13" t="str">
        <f t="shared" si="17"/>
        <v>VER CAPITAL</v>
      </c>
      <c r="AY73" s="13" t="str">
        <f t="shared" si="18"/>
        <v>INDÍCIO DE DEPENDÊNCIA POR CAPITAL</v>
      </c>
      <c r="AZ73">
        <f t="shared" si="19"/>
        <v>68.92290170624662</v>
      </c>
    </row>
    <row r="74" spans="2:52" x14ac:dyDescent="0.3">
      <c r="B74" t="s">
        <v>330</v>
      </c>
      <c r="C74" t="s">
        <v>427</v>
      </c>
      <c r="D74" t="s">
        <v>428</v>
      </c>
      <c r="E74" t="s">
        <v>429</v>
      </c>
      <c r="F74" t="s">
        <v>46</v>
      </c>
      <c r="G74" t="s">
        <v>409</v>
      </c>
      <c r="H74" t="s">
        <v>60</v>
      </c>
      <c r="I74" t="s">
        <v>49</v>
      </c>
      <c r="J74" t="s">
        <v>50</v>
      </c>
      <c r="K74" t="s">
        <v>51</v>
      </c>
      <c r="L74" t="s">
        <v>54</v>
      </c>
      <c r="M74" t="s">
        <v>134</v>
      </c>
      <c r="N74" t="s">
        <v>430</v>
      </c>
      <c r="O74" s="11" t="str">
        <f t="shared" si="10"/>
        <v>OK</v>
      </c>
      <c r="P74" t="s">
        <v>51</v>
      </c>
      <c r="Q74" t="s">
        <v>54</v>
      </c>
      <c r="R74" t="s">
        <v>51</v>
      </c>
      <c r="S74" t="s">
        <v>55</v>
      </c>
      <c r="T74" s="1">
        <v>24475006.18</v>
      </c>
      <c r="U74" s="1">
        <v>3619219.29</v>
      </c>
      <c r="V74" s="13" t="str">
        <f t="shared" si="11"/>
        <v>OK</v>
      </c>
      <c r="W74" s="1">
        <v>13752868.949999999</v>
      </c>
      <c r="X74" s="1">
        <v>1821286.26</v>
      </c>
      <c r="Y74" t="s">
        <v>54</v>
      </c>
      <c r="Z74">
        <v>610803.22</v>
      </c>
      <c r="AA74">
        <v>0</v>
      </c>
      <c r="AB74">
        <v>0</v>
      </c>
      <c r="AC74">
        <v>17304561.859999999</v>
      </c>
      <c r="AD74" s="13" t="str">
        <f t="shared" si="12"/>
        <v>OK</v>
      </c>
      <c r="AE74">
        <v>42329035.399999999</v>
      </c>
      <c r="AG74">
        <v>0</v>
      </c>
      <c r="AH74">
        <v>0</v>
      </c>
      <c r="AI74">
        <v>0</v>
      </c>
      <c r="AJ74" s="13" t="str">
        <f t="shared" si="13"/>
        <v>OK</v>
      </c>
      <c r="AK74">
        <v>0</v>
      </c>
      <c r="AL74">
        <v>0</v>
      </c>
      <c r="AM74">
        <v>0</v>
      </c>
      <c r="AN74">
        <v>0</v>
      </c>
      <c r="AO74">
        <v>21270415</v>
      </c>
      <c r="AP74">
        <v>21270415</v>
      </c>
      <c r="AQ74" s="15">
        <f t="shared" si="14"/>
        <v>0</v>
      </c>
      <c r="AR74">
        <v>21270414.68</v>
      </c>
      <c r="AS74">
        <v>21270414.68</v>
      </c>
      <c r="AT74">
        <v>0</v>
      </c>
      <c r="AU74">
        <v>0</v>
      </c>
      <c r="AV74" s="16">
        <f t="shared" si="15"/>
        <v>0</v>
      </c>
      <c r="AW74" s="13" t="str">
        <f t="shared" si="16"/>
        <v>NÃO</v>
      </c>
      <c r="AX74" s="13" t="str">
        <f t="shared" si="17"/>
        <v>OK</v>
      </c>
      <c r="AY74" s="13" t="str">
        <f t="shared" si="18"/>
        <v>OK</v>
      </c>
      <c r="AZ74">
        <f t="shared" si="19"/>
        <v>40.881068270220965</v>
      </c>
    </row>
    <row r="75" spans="2:52" x14ac:dyDescent="0.3">
      <c r="B75" t="s">
        <v>330</v>
      </c>
      <c r="C75" t="s">
        <v>331</v>
      </c>
      <c r="D75" t="s">
        <v>332</v>
      </c>
      <c r="E75" t="s">
        <v>333</v>
      </c>
      <c r="F75" t="s">
        <v>46</v>
      </c>
      <c r="G75" t="s">
        <v>133</v>
      </c>
      <c r="H75" t="s">
        <v>48</v>
      </c>
      <c r="I75" t="s">
        <v>49</v>
      </c>
      <c r="J75" t="s">
        <v>50</v>
      </c>
      <c r="K75" t="s">
        <v>51</v>
      </c>
      <c r="L75" t="s">
        <v>54</v>
      </c>
      <c r="M75" t="s">
        <v>52</v>
      </c>
      <c r="N75" t="s">
        <v>129</v>
      </c>
      <c r="O75" s="11" t="str">
        <f t="shared" si="10"/>
        <v>OK</v>
      </c>
      <c r="P75" t="s">
        <v>54</v>
      </c>
      <c r="Q75" t="s">
        <v>54</v>
      </c>
      <c r="R75" t="s">
        <v>51</v>
      </c>
      <c r="S75" t="s">
        <v>55</v>
      </c>
      <c r="T75" s="1">
        <v>0</v>
      </c>
      <c r="U75" s="1">
        <v>1328051.04</v>
      </c>
      <c r="V75" s="13" t="str">
        <f t="shared" si="11"/>
        <v>OK</v>
      </c>
      <c r="W75" s="1">
        <v>1363008.78</v>
      </c>
      <c r="X75" s="1">
        <v>0</v>
      </c>
      <c r="Y75" t="s">
        <v>51</v>
      </c>
      <c r="Z75">
        <v>128223.55</v>
      </c>
      <c r="AA75">
        <v>0</v>
      </c>
      <c r="AB75">
        <v>0</v>
      </c>
      <c r="AC75">
        <v>-96518.78</v>
      </c>
      <c r="AD75" s="13" t="str">
        <f t="shared" si="12"/>
        <v>OK</v>
      </c>
      <c r="AE75">
        <v>-355358.16</v>
      </c>
      <c r="AG75">
        <v>0</v>
      </c>
      <c r="AH75">
        <v>1480509.27</v>
      </c>
      <c r="AI75">
        <v>1363008.78</v>
      </c>
      <c r="AJ75" s="13" t="str">
        <f t="shared" si="13"/>
        <v>OK</v>
      </c>
      <c r="AK75">
        <v>69761.27</v>
      </c>
      <c r="AL75" s="14">
        <v>95150.19</v>
      </c>
      <c r="AM75">
        <v>0</v>
      </c>
      <c r="AN75">
        <v>0</v>
      </c>
      <c r="AO75">
        <v>1226666971</v>
      </c>
      <c r="AP75">
        <v>1226666971</v>
      </c>
      <c r="AQ75" s="15">
        <f t="shared" si="14"/>
        <v>0</v>
      </c>
      <c r="AR75">
        <v>1226666971</v>
      </c>
      <c r="AS75">
        <v>1226666971</v>
      </c>
      <c r="AT75">
        <v>0</v>
      </c>
      <c r="AU75">
        <v>0</v>
      </c>
      <c r="AV75" s="16">
        <f t="shared" si="15"/>
        <v>0</v>
      </c>
      <c r="AW75" s="13" t="str">
        <f t="shared" si="16"/>
        <v>NÃO</v>
      </c>
      <c r="AX75" s="13" t="str">
        <f t="shared" si="17"/>
        <v>OK</v>
      </c>
      <c r="AY75" s="13" t="str">
        <f t="shared" si="18"/>
        <v>OK</v>
      </c>
      <c r="AZ75">
        <f t="shared" si="19"/>
        <v>27.16098597538889</v>
      </c>
    </row>
    <row r="76" spans="2:52" x14ac:dyDescent="0.3">
      <c r="B76" t="s">
        <v>330</v>
      </c>
      <c r="C76" t="s">
        <v>334</v>
      </c>
      <c r="D76" t="s">
        <v>335</v>
      </c>
      <c r="E76" t="s">
        <v>336</v>
      </c>
      <c r="F76" t="s">
        <v>46</v>
      </c>
      <c r="G76" t="s">
        <v>93</v>
      </c>
      <c r="H76" t="s">
        <v>48</v>
      </c>
      <c r="I76" t="s">
        <v>76</v>
      </c>
      <c r="J76" t="s">
        <v>50</v>
      </c>
      <c r="K76" t="s">
        <v>51</v>
      </c>
      <c r="L76" t="s">
        <v>51</v>
      </c>
      <c r="M76" t="s">
        <v>52</v>
      </c>
      <c r="N76" t="s">
        <v>337</v>
      </c>
      <c r="O76" s="11" t="str">
        <f t="shared" si="10"/>
        <v>OK</v>
      </c>
      <c r="P76" t="s">
        <v>54</v>
      </c>
      <c r="Q76" t="s">
        <v>54</v>
      </c>
      <c r="R76" t="s">
        <v>54</v>
      </c>
      <c r="S76" t="s">
        <v>55</v>
      </c>
      <c r="T76" s="1">
        <v>12622751.58</v>
      </c>
      <c r="U76" s="1">
        <v>42072586.509999998</v>
      </c>
      <c r="V76" s="13" t="str">
        <f t="shared" si="11"/>
        <v>OK</v>
      </c>
      <c r="W76" s="1">
        <v>69122330.090000004</v>
      </c>
      <c r="X76" s="1">
        <v>0</v>
      </c>
      <c r="Y76" t="s">
        <v>51</v>
      </c>
      <c r="Z76">
        <v>242075.5</v>
      </c>
      <c r="AA76">
        <v>0</v>
      </c>
      <c r="AB76">
        <v>0</v>
      </c>
      <c r="AC76">
        <v>-56499578.509999998</v>
      </c>
      <c r="AD76" s="13" t="str">
        <f t="shared" si="12"/>
        <v>OK</v>
      </c>
      <c r="AE76">
        <v>233776023.19</v>
      </c>
      <c r="AG76">
        <v>0</v>
      </c>
      <c r="AH76">
        <v>85133717.780000001</v>
      </c>
      <c r="AI76">
        <v>100786406.64</v>
      </c>
      <c r="AJ76" s="13" t="str">
        <f t="shared" si="13"/>
        <v>OK</v>
      </c>
      <c r="AK76">
        <v>0</v>
      </c>
      <c r="AL76" s="14">
        <v>0</v>
      </c>
      <c r="AM76">
        <v>0</v>
      </c>
      <c r="AN76">
        <v>0</v>
      </c>
      <c r="AO76">
        <v>0</v>
      </c>
      <c r="AP76">
        <v>0</v>
      </c>
      <c r="AQ76" s="15">
        <f t="shared" si="14"/>
        <v>0</v>
      </c>
      <c r="AR76">
        <v>37029932</v>
      </c>
      <c r="AS76">
        <v>37029932</v>
      </c>
      <c r="AT76">
        <v>37029932</v>
      </c>
      <c r="AU76">
        <v>37029932</v>
      </c>
      <c r="AV76" s="16">
        <f t="shared" si="15"/>
        <v>37029932</v>
      </c>
      <c r="AW76" s="13" t="str">
        <f t="shared" si="16"/>
        <v>SIM</v>
      </c>
      <c r="AX76" s="13" t="str">
        <f t="shared" si="17"/>
        <v>OK</v>
      </c>
      <c r="AY76" s="13" t="str">
        <f t="shared" si="18"/>
        <v>OK</v>
      </c>
      <c r="AZ76">
        <f t="shared" si="19"/>
        <v>-24.168252046994709</v>
      </c>
    </row>
    <row r="77" spans="2:52" x14ac:dyDescent="0.3">
      <c r="B77" t="s">
        <v>330</v>
      </c>
      <c r="C77" t="s">
        <v>338</v>
      </c>
      <c r="D77" t="s">
        <v>339</v>
      </c>
      <c r="E77" t="s">
        <v>340</v>
      </c>
      <c r="F77" t="s">
        <v>46</v>
      </c>
      <c r="G77" t="s">
        <v>102</v>
      </c>
      <c r="H77" t="s">
        <v>48</v>
      </c>
      <c r="I77" t="s">
        <v>76</v>
      </c>
      <c r="J77" t="s">
        <v>50</v>
      </c>
      <c r="K77" t="s">
        <v>51</v>
      </c>
      <c r="L77" t="s">
        <v>51</v>
      </c>
      <c r="M77" t="s">
        <v>52</v>
      </c>
      <c r="N77" t="s">
        <v>341</v>
      </c>
      <c r="O77" s="11" t="str">
        <f t="shared" si="10"/>
        <v>OK</v>
      </c>
      <c r="P77" t="s">
        <v>54</v>
      </c>
      <c r="Q77" t="s">
        <v>54</v>
      </c>
      <c r="R77" t="s">
        <v>54</v>
      </c>
      <c r="S77" t="s">
        <v>342</v>
      </c>
      <c r="T77" s="1">
        <v>55522.87</v>
      </c>
      <c r="U77" s="1">
        <v>139373719.37</v>
      </c>
      <c r="V77" s="13" t="str">
        <f t="shared" si="11"/>
        <v>OK</v>
      </c>
      <c r="W77" s="1">
        <v>161187692.62</v>
      </c>
      <c r="X77" s="1">
        <v>0</v>
      </c>
      <c r="Y77" t="s">
        <v>51</v>
      </c>
      <c r="Z77">
        <v>712722.87</v>
      </c>
      <c r="AA77">
        <v>0</v>
      </c>
      <c r="AB77">
        <v>0</v>
      </c>
      <c r="AC77">
        <v>19285188.129999999</v>
      </c>
      <c r="AD77" s="13" t="str">
        <f t="shared" si="12"/>
        <v>OK</v>
      </c>
      <c r="AE77">
        <v>677760.52</v>
      </c>
      <c r="AG77">
        <v>0</v>
      </c>
      <c r="AH77">
        <v>133796149.77</v>
      </c>
      <c r="AI77">
        <v>147655864.81999999</v>
      </c>
      <c r="AJ77" s="13" t="str">
        <f t="shared" si="13"/>
        <v>OK</v>
      </c>
      <c r="AK77">
        <v>0</v>
      </c>
      <c r="AL77" s="14">
        <v>0</v>
      </c>
      <c r="AM77">
        <v>0</v>
      </c>
      <c r="AN77">
        <v>0</v>
      </c>
      <c r="AO77">
        <v>0</v>
      </c>
      <c r="AP77">
        <v>0</v>
      </c>
      <c r="AQ77" s="15">
        <f t="shared" si="14"/>
        <v>0</v>
      </c>
      <c r="AR77">
        <v>677760.52</v>
      </c>
      <c r="AS77">
        <v>677760.52</v>
      </c>
      <c r="AT77">
        <v>10350559.109999999</v>
      </c>
      <c r="AU77">
        <v>10350559.109999999</v>
      </c>
      <c r="AV77" s="16">
        <f t="shared" si="15"/>
        <v>10350559.109999999</v>
      </c>
      <c r="AW77" s="13" t="str">
        <f t="shared" si="16"/>
        <v>SIM</v>
      </c>
      <c r="AX77" s="13" t="str">
        <f t="shared" si="17"/>
        <v>OK</v>
      </c>
      <c r="AY77" s="13" t="str">
        <f t="shared" si="18"/>
        <v>OK</v>
      </c>
      <c r="AZ77">
        <f t="shared" si="19"/>
        <v>2845.4280768670324</v>
      </c>
    </row>
    <row r="78" spans="2:52" x14ac:dyDescent="0.3">
      <c r="B78" t="s">
        <v>330</v>
      </c>
      <c r="C78" t="s">
        <v>343</v>
      </c>
      <c r="D78" t="s">
        <v>344</v>
      </c>
      <c r="E78" t="s">
        <v>345</v>
      </c>
      <c r="F78" t="s">
        <v>46</v>
      </c>
      <c r="G78" t="s">
        <v>65</v>
      </c>
      <c r="H78" t="s">
        <v>60</v>
      </c>
      <c r="I78" t="s">
        <v>49</v>
      </c>
      <c r="J78" t="s">
        <v>50</v>
      </c>
      <c r="K78" t="s">
        <v>51</v>
      </c>
      <c r="L78" t="s">
        <v>54</v>
      </c>
      <c r="M78" t="s">
        <v>52</v>
      </c>
      <c r="N78" t="s">
        <v>346</v>
      </c>
      <c r="O78" s="11" t="str">
        <f t="shared" si="10"/>
        <v>OK</v>
      </c>
      <c r="P78" t="s">
        <v>54</v>
      </c>
      <c r="Q78" t="s">
        <v>54</v>
      </c>
      <c r="R78" t="s">
        <v>54</v>
      </c>
      <c r="S78" t="s">
        <v>55</v>
      </c>
      <c r="T78" s="1">
        <v>0</v>
      </c>
      <c r="U78" s="1">
        <v>7222325.5700000003</v>
      </c>
      <c r="V78" s="13" t="str">
        <f t="shared" si="11"/>
        <v>OK</v>
      </c>
      <c r="W78" s="1">
        <v>10203665.640000001</v>
      </c>
      <c r="X78" s="1">
        <v>859790</v>
      </c>
      <c r="Y78" t="s">
        <v>54</v>
      </c>
      <c r="Z78">
        <v>561405.34</v>
      </c>
      <c r="AA78">
        <v>15889.45</v>
      </c>
      <c r="AB78">
        <v>33884.160000000003</v>
      </c>
      <c r="AC78">
        <v>-9380301</v>
      </c>
      <c r="AD78" s="13" t="str">
        <f t="shared" si="12"/>
        <v>VERIFICAR</v>
      </c>
      <c r="AE78">
        <v>880741</v>
      </c>
      <c r="AG78">
        <v>0</v>
      </c>
      <c r="AH78">
        <v>0</v>
      </c>
      <c r="AI78">
        <v>0</v>
      </c>
      <c r="AJ78" s="13" t="str">
        <f t="shared" si="13"/>
        <v>OK</v>
      </c>
      <c r="AK78">
        <v>0</v>
      </c>
      <c r="AL78">
        <v>0</v>
      </c>
      <c r="AM78">
        <v>5840466.29</v>
      </c>
      <c r="AN78">
        <v>10203665.640000001</v>
      </c>
      <c r="AO78">
        <v>10</v>
      </c>
      <c r="AP78">
        <v>100</v>
      </c>
      <c r="AQ78" s="15">
        <f t="shared" si="14"/>
        <v>90</v>
      </c>
      <c r="AR78">
        <v>50000</v>
      </c>
      <c r="AS78">
        <v>50000</v>
      </c>
      <c r="AT78">
        <v>45000</v>
      </c>
      <c r="AU78">
        <v>0</v>
      </c>
      <c r="AV78" s="16">
        <f t="shared" si="15"/>
        <v>0</v>
      </c>
      <c r="AW78" s="13" t="str">
        <f t="shared" si="16"/>
        <v>SIM</v>
      </c>
      <c r="AX78" s="13" t="str">
        <f t="shared" si="17"/>
        <v>OK</v>
      </c>
      <c r="AY78" s="13" t="str">
        <f t="shared" si="18"/>
        <v>OK</v>
      </c>
      <c r="AZ78">
        <f t="shared" si="19"/>
        <v>-1065.0464779089425</v>
      </c>
    </row>
    <row r="79" spans="2:52" x14ac:dyDescent="0.3">
      <c r="B79" t="s">
        <v>330</v>
      </c>
      <c r="C79" t="s">
        <v>347</v>
      </c>
      <c r="D79" t="s">
        <v>348</v>
      </c>
      <c r="E79" t="s">
        <v>349</v>
      </c>
      <c r="F79" t="s">
        <v>46</v>
      </c>
      <c r="G79" t="s">
        <v>240</v>
      </c>
      <c r="H79" t="s">
        <v>48</v>
      </c>
      <c r="I79" t="s">
        <v>76</v>
      </c>
      <c r="J79" t="s">
        <v>50</v>
      </c>
      <c r="K79" t="s">
        <v>51</v>
      </c>
      <c r="L79" t="s">
        <v>51</v>
      </c>
      <c r="M79" t="s">
        <v>52</v>
      </c>
      <c r="N79" t="s">
        <v>350</v>
      </c>
      <c r="O79" s="11" t="str">
        <f t="shared" si="10"/>
        <v>OK</v>
      </c>
      <c r="P79" t="s">
        <v>54</v>
      </c>
      <c r="Q79" t="s">
        <v>54</v>
      </c>
      <c r="R79" t="s">
        <v>51</v>
      </c>
      <c r="S79" t="s">
        <v>351</v>
      </c>
      <c r="T79" s="1">
        <v>192510639.05000001</v>
      </c>
      <c r="U79" s="1">
        <v>310291677.88999999</v>
      </c>
      <c r="V79" s="13" t="str">
        <f t="shared" si="11"/>
        <v>OK</v>
      </c>
      <c r="W79" s="1">
        <v>1116894177.4300001</v>
      </c>
      <c r="X79" s="1">
        <v>51402371.659999996</v>
      </c>
      <c r="Y79" t="s">
        <v>51</v>
      </c>
      <c r="Z79">
        <v>812490.74</v>
      </c>
      <c r="AA79">
        <v>0</v>
      </c>
      <c r="AB79">
        <v>23512.62</v>
      </c>
      <c r="AC79">
        <v>-540400194.94000006</v>
      </c>
      <c r="AD79" s="13" t="str">
        <f t="shared" si="12"/>
        <v>OK</v>
      </c>
      <c r="AE79">
        <v>1368475260.0699999</v>
      </c>
      <c r="AG79">
        <v>0</v>
      </c>
      <c r="AH79">
        <v>369615946.13</v>
      </c>
      <c r="AI79">
        <v>468667402.27999997</v>
      </c>
      <c r="AJ79" s="13" t="str">
        <f t="shared" si="13"/>
        <v>OK</v>
      </c>
      <c r="AK79">
        <v>0</v>
      </c>
      <c r="AL79" s="14">
        <v>0</v>
      </c>
      <c r="AM79">
        <v>2233538.6</v>
      </c>
      <c r="AN79">
        <v>44635186.689999998</v>
      </c>
      <c r="AO79">
        <v>30689692</v>
      </c>
      <c r="AP79">
        <v>30713387</v>
      </c>
      <c r="AQ79" s="15">
        <f t="shared" si="14"/>
        <v>23695</v>
      </c>
      <c r="AR79">
        <v>2893424161.7600002</v>
      </c>
      <c r="AS79">
        <v>2895658126.3600001</v>
      </c>
      <c r="AT79">
        <v>2233538.6</v>
      </c>
      <c r="AU79">
        <v>44635186.689999998</v>
      </c>
      <c r="AV79" s="16">
        <f t="shared" si="15"/>
        <v>46869151.289999902</v>
      </c>
      <c r="AW79" s="13" t="str">
        <f t="shared" si="16"/>
        <v>SIM</v>
      </c>
      <c r="AX79" s="13" t="str">
        <f t="shared" si="17"/>
        <v>OK</v>
      </c>
      <c r="AY79" s="13" t="str">
        <f t="shared" si="18"/>
        <v>OK</v>
      </c>
      <c r="AZ79">
        <f t="shared" si="19"/>
        <v>-39.489219184887396</v>
      </c>
    </row>
    <row r="80" spans="2:52" x14ac:dyDescent="0.3">
      <c r="B80" t="s">
        <v>330</v>
      </c>
      <c r="C80" t="s">
        <v>352</v>
      </c>
      <c r="D80" t="s">
        <v>353</v>
      </c>
      <c r="E80" t="s">
        <v>354</v>
      </c>
      <c r="F80" t="s">
        <v>46</v>
      </c>
      <c r="G80" t="s">
        <v>93</v>
      </c>
      <c r="H80" t="s">
        <v>48</v>
      </c>
      <c r="I80" t="s">
        <v>49</v>
      </c>
      <c r="J80" t="s">
        <v>50</v>
      </c>
      <c r="K80" t="s">
        <v>51</v>
      </c>
      <c r="L80" t="s">
        <v>51</v>
      </c>
      <c r="M80" t="s">
        <v>52</v>
      </c>
      <c r="N80" t="s">
        <v>355</v>
      </c>
      <c r="O80" s="11" t="str">
        <f t="shared" si="10"/>
        <v>OK</v>
      </c>
      <c r="P80" t="s">
        <v>54</v>
      </c>
      <c r="Q80" t="s">
        <v>54</v>
      </c>
      <c r="R80" t="s">
        <v>51</v>
      </c>
      <c r="S80" t="s">
        <v>55</v>
      </c>
      <c r="T80" s="1">
        <v>0</v>
      </c>
      <c r="U80" s="1">
        <v>0</v>
      </c>
      <c r="V80" s="13" t="str">
        <f t="shared" si="11"/>
        <v>OK</v>
      </c>
      <c r="W80" s="1">
        <v>536246883</v>
      </c>
      <c r="X80" s="1">
        <v>2827683.65</v>
      </c>
      <c r="Y80" t="s">
        <v>51</v>
      </c>
      <c r="Z80">
        <v>539262.19999999995</v>
      </c>
      <c r="AA80">
        <v>0</v>
      </c>
      <c r="AB80">
        <v>0</v>
      </c>
      <c r="AC80">
        <v>-35717755.619999997</v>
      </c>
      <c r="AD80" s="13" t="str">
        <f t="shared" si="12"/>
        <v>OK</v>
      </c>
      <c r="AE80">
        <v>822044474.27999997</v>
      </c>
      <c r="AG80">
        <v>0</v>
      </c>
      <c r="AH80">
        <v>1394076156.54</v>
      </c>
      <c r="AI80">
        <v>2057436824.46</v>
      </c>
      <c r="AJ80" s="13" t="str">
        <f t="shared" si="13"/>
        <v>OK</v>
      </c>
      <c r="AK80">
        <v>0</v>
      </c>
      <c r="AL80" s="14">
        <v>0</v>
      </c>
      <c r="AM80">
        <v>7272937</v>
      </c>
      <c r="AN80">
        <v>7272937</v>
      </c>
      <c r="AO80">
        <v>280600</v>
      </c>
      <c r="AP80">
        <v>280600</v>
      </c>
      <c r="AQ80" s="15">
        <f t="shared" si="14"/>
        <v>0</v>
      </c>
      <c r="AR80">
        <v>26713076.280000001</v>
      </c>
      <c r="AS80">
        <v>26716076.280000001</v>
      </c>
      <c r="AT80">
        <v>0</v>
      </c>
      <c r="AU80">
        <v>0</v>
      </c>
      <c r="AV80" s="16">
        <f t="shared" si="15"/>
        <v>3000</v>
      </c>
      <c r="AW80" s="13" t="str">
        <f t="shared" si="16"/>
        <v>SIM</v>
      </c>
      <c r="AX80" s="13" t="str">
        <f t="shared" si="17"/>
        <v>OK</v>
      </c>
      <c r="AY80" s="13" t="str">
        <f t="shared" si="18"/>
        <v>OK</v>
      </c>
      <c r="AZ80">
        <f t="shared" si="19"/>
        <v>-4.3449906589645204</v>
      </c>
    </row>
    <row r="81" spans="2:52" x14ac:dyDescent="0.3">
      <c r="B81" t="s">
        <v>330</v>
      </c>
      <c r="C81" t="s">
        <v>431</v>
      </c>
      <c r="D81" t="s">
        <v>431</v>
      </c>
      <c r="E81" t="s">
        <v>432</v>
      </c>
      <c r="F81" t="s">
        <v>70</v>
      </c>
      <c r="G81" t="s">
        <v>65</v>
      </c>
      <c r="H81" t="s">
        <v>60</v>
      </c>
      <c r="I81" t="s">
        <v>49</v>
      </c>
      <c r="J81" t="s">
        <v>50</v>
      </c>
      <c r="K81" t="s">
        <v>51</v>
      </c>
      <c r="L81" t="s">
        <v>51</v>
      </c>
      <c r="M81" t="s">
        <v>134</v>
      </c>
      <c r="N81" t="s">
        <v>433</v>
      </c>
      <c r="O81" s="11" t="str">
        <f t="shared" si="10"/>
        <v>OK</v>
      </c>
      <c r="P81" t="s">
        <v>54</v>
      </c>
      <c r="Q81" t="s">
        <v>54</v>
      </c>
      <c r="R81" t="s">
        <v>51</v>
      </c>
      <c r="S81" t="s">
        <v>55</v>
      </c>
      <c r="T81" s="1">
        <v>1385020.27</v>
      </c>
      <c r="U81" s="1">
        <v>1209779.54</v>
      </c>
      <c r="V81" s="13" t="str">
        <f t="shared" si="11"/>
        <v>OK</v>
      </c>
      <c r="W81" s="1">
        <v>1479461.84</v>
      </c>
      <c r="X81" s="1">
        <v>0</v>
      </c>
      <c r="Y81" t="s">
        <v>51</v>
      </c>
      <c r="Z81">
        <v>187442.3</v>
      </c>
      <c r="AA81">
        <v>0</v>
      </c>
      <c r="AB81">
        <v>0</v>
      </c>
      <c r="AC81">
        <v>-7200331.1399999997</v>
      </c>
      <c r="AD81" s="13" t="str">
        <f t="shared" si="12"/>
        <v>OK</v>
      </c>
      <c r="AE81">
        <v>8244998.8600000003</v>
      </c>
      <c r="AG81">
        <v>0</v>
      </c>
      <c r="AH81">
        <v>0</v>
      </c>
      <c r="AI81">
        <v>0</v>
      </c>
      <c r="AJ81" s="13" t="str">
        <f t="shared" si="13"/>
        <v>OK</v>
      </c>
      <c r="AK81">
        <v>0</v>
      </c>
      <c r="AL81">
        <v>0</v>
      </c>
      <c r="AM81">
        <v>0</v>
      </c>
      <c r="AN81">
        <v>0</v>
      </c>
      <c r="AO81">
        <v>4024.42</v>
      </c>
      <c r="AP81">
        <v>4024.42</v>
      </c>
      <c r="AQ81" s="15">
        <f t="shared" si="14"/>
        <v>0</v>
      </c>
      <c r="AR81">
        <v>4024.42</v>
      </c>
      <c r="AS81">
        <v>4024.42</v>
      </c>
      <c r="AT81">
        <v>0</v>
      </c>
      <c r="AU81">
        <v>0</v>
      </c>
      <c r="AV81" s="16">
        <f t="shared" si="15"/>
        <v>0</v>
      </c>
      <c r="AW81" s="13" t="str">
        <f t="shared" si="16"/>
        <v>NÃO</v>
      </c>
      <c r="AX81" s="13" t="str">
        <f t="shared" si="17"/>
        <v>OK</v>
      </c>
      <c r="AY81" s="13" t="str">
        <f t="shared" si="18"/>
        <v>OK</v>
      </c>
      <c r="AZ81">
        <f t="shared" si="19"/>
        <v>-87.329680237214731</v>
      </c>
    </row>
    <row r="82" spans="2:52" x14ac:dyDescent="0.3">
      <c r="B82" t="s">
        <v>330</v>
      </c>
      <c r="C82" t="s">
        <v>356</v>
      </c>
      <c r="D82" t="s">
        <v>357</v>
      </c>
      <c r="E82" t="s">
        <v>358</v>
      </c>
      <c r="F82" t="s">
        <v>70</v>
      </c>
      <c r="G82" t="s">
        <v>107</v>
      </c>
      <c r="H82" t="s">
        <v>48</v>
      </c>
      <c r="I82" t="s">
        <v>49</v>
      </c>
      <c r="J82" t="s">
        <v>50</v>
      </c>
      <c r="K82" t="s">
        <v>51</v>
      </c>
      <c r="L82" t="s">
        <v>51</v>
      </c>
      <c r="M82" t="s">
        <v>52</v>
      </c>
      <c r="N82" t="s">
        <v>359</v>
      </c>
      <c r="O82" s="11" t="str">
        <f t="shared" si="10"/>
        <v>OK</v>
      </c>
      <c r="P82" t="s">
        <v>54</v>
      </c>
      <c r="Q82" t="s">
        <v>54</v>
      </c>
      <c r="R82" t="s">
        <v>51</v>
      </c>
      <c r="S82" t="s">
        <v>55</v>
      </c>
      <c r="T82" s="1">
        <v>21550611.93</v>
      </c>
      <c r="U82" s="1">
        <v>21157093.600000001</v>
      </c>
      <c r="V82" s="13" t="str">
        <f t="shared" si="11"/>
        <v>OK</v>
      </c>
      <c r="W82" s="1">
        <v>21297959.780000001</v>
      </c>
      <c r="X82" s="1">
        <v>0</v>
      </c>
      <c r="Y82" t="s">
        <v>51</v>
      </c>
      <c r="Z82">
        <v>287369.68</v>
      </c>
      <c r="AA82">
        <v>0</v>
      </c>
      <c r="AB82">
        <v>0</v>
      </c>
      <c r="AC82">
        <v>252652.15</v>
      </c>
      <c r="AD82" s="13" t="str">
        <f t="shared" si="12"/>
        <v>OK</v>
      </c>
      <c r="AE82">
        <v>-1727395.76</v>
      </c>
      <c r="AG82">
        <v>0</v>
      </c>
      <c r="AH82">
        <v>20598560.109999999</v>
      </c>
      <c r="AI82">
        <v>21416536.550000001</v>
      </c>
      <c r="AJ82" s="13" t="str">
        <f t="shared" si="13"/>
        <v>OK</v>
      </c>
      <c r="AK82">
        <v>0</v>
      </c>
      <c r="AL82" s="14">
        <v>0</v>
      </c>
      <c r="AM82">
        <v>22.3</v>
      </c>
      <c r="AN82">
        <v>0</v>
      </c>
      <c r="AO82">
        <v>1636885749</v>
      </c>
      <c r="AP82">
        <v>1636885749</v>
      </c>
      <c r="AQ82" s="15">
        <f t="shared" si="14"/>
        <v>0</v>
      </c>
      <c r="AR82">
        <v>16368857.49</v>
      </c>
      <c r="AS82">
        <v>16368857.49</v>
      </c>
      <c r="AT82">
        <v>0</v>
      </c>
      <c r="AU82">
        <v>0</v>
      </c>
      <c r="AV82" s="16">
        <f t="shared" si="15"/>
        <v>0</v>
      </c>
      <c r="AW82" s="13" t="str">
        <f t="shared" si="16"/>
        <v>NÃO</v>
      </c>
      <c r="AX82" s="13" t="str">
        <f t="shared" si="17"/>
        <v>OK</v>
      </c>
      <c r="AY82" s="13" t="str">
        <f t="shared" si="18"/>
        <v>OK</v>
      </c>
      <c r="AZ82">
        <f t="shared" si="19"/>
        <v>-14.626187921174473</v>
      </c>
    </row>
    <row r="83" spans="2:52" x14ac:dyDescent="0.3">
      <c r="B83" t="s">
        <v>330</v>
      </c>
      <c r="C83" t="s">
        <v>360</v>
      </c>
      <c r="D83" t="s">
        <v>361</v>
      </c>
      <c r="E83" t="s">
        <v>362</v>
      </c>
      <c r="F83" t="s">
        <v>46</v>
      </c>
      <c r="G83" t="s">
        <v>240</v>
      </c>
      <c r="H83" t="s">
        <v>48</v>
      </c>
      <c r="I83" t="s">
        <v>363</v>
      </c>
      <c r="J83" t="s">
        <v>50</v>
      </c>
      <c r="K83" t="s">
        <v>51</v>
      </c>
      <c r="L83" t="s">
        <v>51</v>
      </c>
      <c r="M83" t="s">
        <v>52</v>
      </c>
      <c r="N83" t="s">
        <v>364</v>
      </c>
      <c r="O83" s="11" t="str">
        <f t="shared" si="10"/>
        <v>OK</v>
      </c>
      <c r="P83" t="s">
        <v>54</v>
      </c>
      <c r="Q83" t="s">
        <v>54</v>
      </c>
      <c r="R83" t="s">
        <v>51</v>
      </c>
      <c r="S83" t="s">
        <v>55</v>
      </c>
      <c r="T83" s="1">
        <v>5775667.1399999997</v>
      </c>
      <c r="U83" s="1">
        <v>10168034.470000001</v>
      </c>
      <c r="V83" s="13" t="str">
        <f t="shared" si="11"/>
        <v>OK</v>
      </c>
      <c r="W83" s="1">
        <v>28236642.5</v>
      </c>
      <c r="X83" s="1">
        <v>0</v>
      </c>
      <c r="Y83" t="s">
        <v>51</v>
      </c>
      <c r="Z83">
        <v>331624.15000000002</v>
      </c>
      <c r="AA83">
        <v>0</v>
      </c>
      <c r="AB83">
        <v>0</v>
      </c>
      <c r="AC83">
        <v>-36494715.710000001</v>
      </c>
      <c r="AD83" s="13" t="str">
        <f t="shared" si="12"/>
        <v>OK</v>
      </c>
      <c r="AE83">
        <v>60677501.479999997</v>
      </c>
      <c r="AG83">
        <v>0</v>
      </c>
      <c r="AH83">
        <v>215123905.25999999</v>
      </c>
      <c r="AI83">
        <v>266922699.81</v>
      </c>
      <c r="AJ83" s="13" t="str">
        <f t="shared" si="13"/>
        <v>OK</v>
      </c>
      <c r="AK83">
        <v>75022398.670000002</v>
      </c>
      <c r="AL83" s="14">
        <v>136199874.21000001</v>
      </c>
      <c r="AM83">
        <v>0</v>
      </c>
      <c r="AN83">
        <v>0</v>
      </c>
      <c r="AO83">
        <v>37722.75</v>
      </c>
      <c r="AP83">
        <v>37722.75</v>
      </c>
      <c r="AQ83" s="15">
        <f t="shared" si="14"/>
        <v>0</v>
      </c>
      <c r="AR83">
        <v>43886200</v>
      </c>
      <c r="AS83">
        <v>43886200</v>
      </c>
      <c r="AT83">
        <v>0</v>
      </c>
      <c r="AU83">
        <v>0</v>
      </c>
      <c r="AV83" s="16">
        <f t="shared" si="15"/>
        <v>0</v>
      </c>
      <c r="AW83" s="13" t="str">
        <f t="shared" si="16"/>
        <v>NÃO</v>
      </c>
      <c r="AX83" s="13" t="str">
        <f t="shared" si="17"/>
        <v>OK</v>
      </c>
      <c r="AY83" s="13" t="str">
        <f t="shared" si="18"/>
        <v>OK</v>
      </c>
      <c r="AZ83">
        <f t="shared" si="19"/>
        <v>-60.14538308244132</v>
      </c>
    </row>
    <row r="84" spans="2:52" x14ac:dyDescent="0.3">
      <c r="B84" t="s">
        <v>330</v>
      </c>
      <c r="C84" t="s">
        <v>434</v>
      </c>
      <c r="D84" t="s">
        <v>435</v>
      </c>
      <c r="E84" t="s">
        <v>436</v>
      </c>
      <c r="F84" t="s">
        <v>46</v>
      </c>
      <c r="G84" t="s">
        <v>93</v>
      </c>
      <c r="H84" t="s">
        <v>48</v>
      </c>
      <c r="I84" t="s">
        <v>49</v>
      </c>
      <c r="J84" t="s">
        <v>50</v>
      </c>
      <c r="K84" t="s">
        <v>51</v>
      </c>
      <c r="L84" t="s">
        <v>51</v>
      </c>
      <c r="M84" t="s">
        <v>134</v>
      </c>
      <c r="N84" t="s">
        <v>437</v>
      </c>
      <c r="O84" s="11" t="str">
        <f t="shared" si="10"/>
        <v>OK</v>
      </c>
      <c r="P84" t="s">
        <v>54</v>
      </c>
      <c r="Q84" t="s">
        <v>54</v>
      </c>
      <c r="R84" t="s">
        <v>54</v>
      </c>
      <c r="S84" t="s">
        <v>438</v>
      </c>
      <c r="T84" s="1">
        <v>653114421.62</v>
      </c>
      <c r="U84" s="1">
        <v>331318076.81999999</v>
      </c>
      <c r="V84" s="13" t="str">
        <f t="shared" si="11"/>
        <v>OK</v>
      </c>
      <c r="W84" s="1">
        <v>818317931.78999996</v>
      </c>
      <c r="X84" s="1">
        <v>241820000</v>
      </c>
      <c r="Y84" t="s">
        <v>54</v>
      </c>
      <c r="Z84">
        <v>928239.58</v>
      </c>
      <c r="AA84">
        <v>32984.300000000003</v>
      </c>
      <c r="AB84">
        <v>77201.899999999994</v>
      </c>
      <c r="AC84">
        <v>-165203510.16999999</v>
      </c>
      <c r="AD84" s="13" t="str">
        <f t="shared" si="12"/>
        <v>VERIFICAR</v>
      </c>
      <c r="AE84">
        <v>5287056857.6599998</v>
      </c>
      <c r="AG84">
        <v>0</v>
      </c>
      <c r="AH84">
        <v>0</v>
      </c>
      <c r="AI84">
        <v>0</v>
      </c>
      <c r="AJ84" s="13" t="str">
        <f t="shared" si="13"/>
        <v>OK</v>
      </c>
      <c r="AK84">
        <v>0</v>
      </c>
      <c r="AL84">
        <v>0</v>
      </c>
      <c r="AM84">
        <v>0</v>
      </c>
      <c r="AN84">
        <v>0</v>
      </c>
      <c r="AO84">
        <v>255000</v>
      </c>
      <c r="AP84">
        <v>255000</v>
      </c>
      <c r="AQ84" s="15">
        <f t="shared" si="14"/>
        <v>0</v>
      </c>
      <c r="AR84">
        <v>1851078531.3699999</v>
      </c>
      <c r="AS84">
        <v>1851078531.3699999</v>
      </c>
      <c r="AT84">
        <v>0</v>
      </c>
      <c r="AU84">
        <v>0</v>
      </c>
      <c r="AV84" s="16">
        <f t="shared" si="15"/>
        <v>0</v>
      </c>
      <c r="AW84" s="13" t="str">
        <f t="shared" si="16"/>
        <v>NÃO</v>
      </c>
      <c r="AX84" s="13" t="str">
        <f t="shared" si="17"/>
        <v>OK</v>
      </c>
      <c r="AY84" s="13" t="str">
        <f t="shared" si="18"/>
        <v>OK</v>
      </c>
      <c r="AZ84">
        <f t="shared" si="19"/>
        <v>-3.1246781454723651</v>
      </c>
    </row>
    <row r="85" spans="2:52" x14ac:dyDescent="0.3">
      <c r="B85" t="s">
        <v>439</v>
      </c>
      <c r="C85" t="s">
        <v>444</v>
      </c>
      <c r="D85" t="s">
        <v>445</v>
      </c>
      <c r="E85" t="s">
        <v>446</v>
      </c>
      <c r="F85" t="s">
        <v>46</v>
      </c>
      <c r="G85" t="s">
        <v>71</v>
      </c>
      <c r="H85" t="s">
        <v>60</v>
      </c>
      <c r="I85" t="s">
        <v>49</v>
      </c>
      <c r="J85" t="s">
        <v>50</v>
      </c>
      <c r="K85" t="s">
        <v>51</v>
      </c>
      <c r="L85" t="s">
        <v>51</v>
      </c>
      <c r="M85" t="s">
        <v>134</v>
      </c>
      <c r="N85" t="s">
        <v>447</v>
      </c>
      <c r="O85" s="11" t="str">
        <f t="shared" si="10"/>
        <v>OK</v>
      </c>
      <c r="P85" t="s">
        <v>54</v>
      </c>
      <c r="Q85" t="s">
        <v>54</v>
      </c>
      <c r="R85" t="s">
        <v>54</v>
      </c>
      <c r="S85" t="s">
        <v>448</v>
      </c>
      <c r="T85" s="1">
        <v>228438520.34999999</v>
      </c>
      <c r="U85" s="1">
        <v>54800724.710000001</v>
      </c>
      <c r="V85" s="13" t="str">
        <f t="shared" si="11"/>
        <v>OK</v>
      </c>
      <c r="W85" s="1">
        <v>188550875.63999999</v>
      </c>
      <c r="X85" s="1">
        <v>4083775</v>
      </c>
      <c r="Y85" t="s">
        <v>54</v>
      </c>
      <c r="Z85">
        <v>35566517.009999998</v>
      </c>
      <c r="AA85">
        <v>4879122.96</v>
      </c>
      <c r="AB85">
        <v>9110878.4499999993</v>
      </c>
      <c r="AC85">
        <v>99380415.620000005</v>
      </c>
      <c r="AD85" s="13" t="str">
        <f t="shared" si="12"/>
        <v>OK</v>
      </c>
      <c r="AE85">
        <v>520409975.76999998</v>
      </c>
      <c r="AF85">
        <v>520409975.76999998</v>
      </c>
      <c r="AG85">
        <v>0</v>
      </c>
      <c r="AH85">
        <v>0</v>
      </c>
      <c r="AI85">
        <v>0</v>
      </c>
      <c r="AJ85" s="13" t="str">
        <f t="shared" si="13"/>
        <v>OK</v>
      </c>
      <c r="AK85">
        <v>0</v>
      </c>
      <c r="AL85">
        <v>0</v>
      </c>
      <c r="AM85">
        <v>0</v>
      </c>
      <c r="AN85">
        <v>0</v>
      </c>
      <c r="AO85">
        <v>25246979553</v>
      </c>
      <c r="AP85">
        <v>26742192753</v>
      </c>
      <c r="AQ85" s="15">
        <f t="shared" si="14"/>
        <v>1495213200</v>
      </c>
      <c r="AR85">
        <v>439371000</v>
      </c>
      <c r="AS85">
        <v>463379995.58999997</v>
      </c>
      <c r="AT85">
        <v>0</v>
      </c>
      <c r="AU85">
        <v>0</v>
      </c>
      <c r="AV85" s="16">
        <f t="shared" si="15"/>
        <v>24008995.589999974</v>
      </c>
      <c r="AW85" s="13" t="str">
        <f t="shared" si="16"/>
        <v>SIM</v>
      </c>
      <c r="AX85" s="13" t="str">
        <f t="shared" si="17"/>
        <v>OK</v>
      </c>
      <c r="AY85" s="13" t="str">
        <f t="shared" si="18"/>
        <v>OK</v>
      </c>
      <c r="AZ85">
        <f t="shared" si="19"/>
        <v>19.096562373339687</v>
      </c>
    </row>
    <row r="86" spans="2:52" x14ac:dyDescent="0.3">
      <c r="B86" t="s">
        <v>439</v>
      </c>
      <c r="C86" t="s">
        <v>449</v>
      </c>
      <c r="D86" t="s">
        <v>450</v>
      </c>
      <c r="E86" t="s">
        <v>451</v>
      </c>
      <c r="F86" t="s">
        <v>46</v>
      </c>
      <c r="G86" t="s">
        <v>71</v>
      </c>
      <c r="H86" t="s">
        <v>60</v>
      </c>
      <c r="I86" t="s">
        <v>49</v>
      </c>
      <c r="J86" t="s">
        <v>373</v>
      </c>
      <c r="K86" t="s">
        <v>54</v>
      </c>
      <c r="L86" t="s">
        <v>51</v>
      </c>
      <c r="M86" t="s">
        <v>134</v>
      </c>
      <c r="N86" t="s">
        <v>452</v>
      </c>
      <c r="O86" s="11" t="str">
        <f t="shared" si="10"/>
        <v>OK</v>
      </c>
      <c r="P86" t="s">
        <v>54</v>
      </c>
      <c r="Q86" t="s">
        <v>54</v>
      </c>
      <c r="R86" t="s">
        <v>54</v>
      </c>
      <c r="S86" t="s">
        <v>453</v>
      </c>
      <c r="T86" s="1">
        <v>1185340080.29</v>
      </c>
      <c r="U86" s="1">
        <v>491936265.01999998</v>
      </c>
      <c r="V86" s="13" t="str">
        <f t="shared" si="11"/>
        <v>OK</v>
      </c>
      <c r="W86" s="1">
        <v>5065251160.2399998</v>
      </c>
      <c r="X86" s="1">
        <v>249965387.56</v>
      </c>
      <c r="Y86" t="s">
        <v>54</v>
      </c>
      <c r="Z86">
        <v>763612.13</v>
      </c>
      <c r="AA86">
        <v>158498.22</v>
      </c>
      <c r="AB86">
        <v>0</v>
      </c>
      <c r="AC86">
        <v>392487112.25999999</v>
      </c>
      <c r="AD86" s="13" t="str">
        <f t="shared" si="12"/>
        <v>OK</v>
      </c>
      <c r="AE86">
        <v>2357213667.21</v>
      </c>
      <c r="AF86">
        <v>2706860802</v>
      </c>
      <c r="AG86">
        <v>199969341.52000001</v>
      </c>
      <c r="AH86">
        <v>0</v>
      </c>
      <c r="AI86">
        <v>0</v>
      </c>
      <c r="AJ86" s="13" t="str">
        <f t="shared" si="13"/>
        <v>OK</v>
      </c>
      <c r="AK86">
        <v>0</v>
      </c>
      <c r="AL86">
        <v>0</v>
      </c>
      <c r="AM86">
        <v>0</v>
      </c>
      <c r="AN86">
        <v>0</v>
      </c>
      <c r="AO86">
        <v>291793529</v>
      </c>
      <c r="AP86">
        <v>291793529</v>
      </c>
      <c r="AQ86" s="15">
        <f t="shared" si="14"/>
        <v>0</v>
      </c>
      <c r="AR86">
        <v>1477920000</v>
      </c>
      <c r="AS86">
        <v>1600000000</v>
      </c>
      <c r="AT86">
        <v>0</v>
      </c>
      <c r="AU86">
        <v>0</v>
      </c>
      <c r="AV86" s="16">
        <f t="shared" si="15"/>
        <v>122080000</v>
      </c>
      <c r="AW86" s="13" t="str">
        <f t="shared" si="16"/>
        <v>SIM</v>
      </c>
      <c r="AX86" s="13" t="str">
        <f t="shared" si="17"/>
        <v>OK</v>
      </c>
      <c r="AY86" s="13" t="str">
        <f t="shared" si="18"/>
        <v>OK</v>
      </c>
      <c r="AZ86">
        <f t="shared" si="19"/>
        <v>16.650468208278635</v>
      </c>
    </row>
    <row r="87" spans="2:52" x14ac:dyDescent="0.3">
      <c r="B87" t="s">
        <v>439</v>
      </c>
      <c r="C87" t="s">
        <v>440</v>
      </c>
      <c r="D87" t="s">
        <v>303</v>
      </c>
      <c r="E87" t="s">
        <v>441</v>
      </c>
      <c r="F87" t="s">
        <v>46</v>
      </c>
      <c r="G87" t="s">
        <v>75</v>
      </c>
      <c r="H87" t="s">
        <v>60</v>
      </c>
      <c r="I87" t="s">
        <v>49</v>
      </c>
      <c r="J87" t="s">
        <v>50</v>
      </c>
      <c r="K87" t="s">
        <v>51</v>
      </c>
      <c r="L87" t="s">
        <v>51</v>
      </c>
      <c r="M87" t="s">
        <v>52</v>
      </c>
      <c r="N87" t="s">
        <v>442</v>
      </c>
      <c r="O87" s="11" t="str">
        <f t="shared" si="10"/>
        <v>OK</v>
      </c>
      <c r="P87" t="s">
        <v>54</v>
      </c>
      <c r="Q87" t="s">
        <v>54</v>
      </c>
      <c r="R87" t="s">
        <v>51</v>
      </c>
      <c r="S87" t="s">
        <v>443</v>
      </c>
      <c r="T87" s="1">
        <v>19359297.32</v>
      </c>
      <c r="U87" s="1">
        <v>14516508.73</v>
      </c>
      <c r="V87" s="13" t="str">
        <f t="shared" si="11"/>
        <v>OK</v>
      </c>
      <c r="W87" s="1">
        <v>23723451.43</v>
      </c>
      <c r="X87" s="1">
        <v>0</v>
      </c>
      <c r="Y87" t="s">
        <v>51</v>
      </c>
      <c r="Z87">
        <v>4737029.62</v>
      </c>
      <c r="AA87">
        <v>0</v>
      </c>
      <c r="AB87">
        <v>0</v>
      </c>
      <c r="AC87">
        <v>794552.61</v>
      </c>
      <c r="AD87" s="13" t="str">
        <f t="shared" si="12"/>
        <v>OK</v>
      </c>
      <c r="AE87">
        <v>10901902.08</v>
      </c>
      <c r="AF87">
        <v>0</v>
      </c>
      <c r="AG87">
        <v>0</v>
      </c>
      <c r="AH87">
        <v>0</v>
      </c>
      <c r="AI87">
        <v>0</v>
      </c>
      <c r="AJ87" s="13" t="str">
        <f t="shared" si="13"/>
        <v>OK</v>
      </c>
      <c r="AK87">
        <v>0</v>
      </c>
      <c r="AL87">
        <v>0</v>
      </c>
      <c r="AM87">
        <v>0</v>
      </c>
      <c r="AN87">
        <v>0</v>
      </c>
      <c r="AO87">
        <v>3159556</v>
      </c>
      <c r="AP87">
        <v>3159556</v>
      </c>
      <c r="AQ87" s="15">
        <f t="shared" si="14"/>
        <v>0</v>
      </c>
      <c r="AR87">
        <v>3159556.67</v>
      </c>
      <c r="AS87">
        <v>3159556.67</v>
      </c>
      <c r="AT87">
        <v>0</v>
      </c>
      <c r="AU87">
        <v>0</v>
      </c>
      <c r="AV87" s="16">
        <f t="shared" si="15"/>
        <v>0</v>
      </c>
      <c r="AW87" s="13" t="str">
        <f t="shared" si="16"/>
        <v>NÃO</v>
      </c>
      <c r="AX87" s="13" t="str">
        <f t="shared" si="17"/>
        <v>OK</v>
      </c>
      <c r="AY87" s="13" t="str">
        <f t="shared" si="18"/>
        <v>OK</v>
      </c>
      <c r="AZ87">
        <f t="shared" si="19"/>
        <v>7.2882016749869765</v>
      </c>
    </row>
    <row r="88" spans="2:52" x14ac:dyDescent="0.3">
      <c r="B88" t="s">
        <v>439</v>
      </c>
      <c r="C88" t="s">
        <v>454</v>
      </c>
      <c r="D88" t="s">
        <v>455</v>
      </c>
      <c r="E88" t="s">
        <v>456</v>
      </c>
      <c r="F88" t="s">
        <v>46</v>
      </c>
      <c r="G88" t="s">
        <v>107</v>
      </c>
      <c r="H88" t="s">
        <v>60</v>
      </c>
      <c r="I88" t="s">
        <v>49</v>
      </c>
      <c r="J88" t="s">
        <v>50</v>
      </c>
      <c r="K88" t="s">
        <v>51</v>
      </c>
      <c r="L88" t="s">
        <v>51</v>
      </c>
      <c r="M88" t="s">
        <v>134</v>
      </c>
      <c r="N88" t="s">
        <v>457</v>
      </c>
      <c r="O88" s="11" t="str">
        <f t="shared" si="10"/>
        <v>OK</v>
      </c>
      <c r="P88" t="s">
        <v>54</v>
      </c>
      <c r="Q88" t="s">
        <v>54</v>
      </c>
      <c r="R88" t="s">
        <v>54</v>
      </c>
      <c r="S88" t="s">
        <v>458</v>
      </c>
      <c r="T88" s="1">
        <v>1275944356.0999999</v>
      </c>
      <c r="U88" s="1">
        <v>315136067.27999997</v>
      </c>
      <c r="V88" s="13" t="str">
        <f t="shared" si="11"/>
        <v>OK</v>
      </c>
      <c r="W88" s="1">
        <v>1200693920.1800001</v>
      </c>
      <c r="X88" s="1">
        <v>0</v>
      </c>
      <c r="Y88" t="s">
        <v>54</v>
      </c>
      <c r="Z88">
        <v>722809.61</v>
      </c>
      <c r="AA88">
        <v>54781.47</v>
      </c>
      <c r="AB88">
        <v>91704.99</v>
      </c>
      <c r="AC88">
        <v>202438661.34999999</v>
      </c>
      <c r="AD88" s="13" t="str">
        <f t="shared" si="12"/>
        <v>OK</v>
      </c>
      <c r="AE88">
        <v>4218159000</v>
      </c>
      <c r="AF88">
        <v>0</v>
      </c>
      <c r="AG88">
        <v>0</v>
      </c>
      <c r="AH88">
        <v>0</v>
      </c>
      <c r="AI88">
        <v>0</v>
      </c>
      <c r="AJ88" s="13" t="str">
        <f t="shared" si="13"/>
        <v>OK</v>
      </c>
      <c r="AK88">
        <v>0</v>
      </c>
      <c r="AL88">
        <v>0</v>
      </c>
      <c r="AM88">
        <v>249280703</v>
      </c>
      <c r="AN88">
        <v>179289971.19999999</v>
      </c>
      <c r="AO88">
        <v>3015250810</v>
      </c>
      <c r="AP88">
        <v>3413141853</v>
      </c>
      <c r="AQ88" s="15">
        <f t="shared" si="14"/>
        <v>397891043</v>
      </c>
      <c r="AR88">
        <v>390685165</v>
      </c>
      <c r="AS88">
        <v>397891043</v>
      </c>
      <c r="AT88">
        <v>0</v>
      </c>
      <c r="AU88">
        <v>0</v>
      </c>
      <c r="AV88" s="16">
        <f t="shared" si="15"/>
        <v>7205878</v>
      </c>
      <c r="AW88" s="13" t="str">
        <f t="shared" si="16"/>
        <v>SIM</v>
      </c>
      <c r="AX88" s="13" t="str">
        <f t="shared" si="17"/>
        <v>VER CAPITAL</v>
      </c>
      <c r="AY88" s="13" t="str">
        <f t="shared" si="18"/>
        <v>OK</v>
      </c>
      <c r="AZ88">
        <f t="shared" si="19"/>
        <v>4.79921836398296</v>
      </c>
    </row>
    <row r="89" spans="2:52" x14ac:dyDescent="0.3">
      <c r="B89" t="s">
        <v>439</v>
      </c>
      <c r="C89" t="s">
        <v>459</v>
      </c>
      <c r="D89" t="s">
        <v>460</v>
      </c>
      <c r="E89" t="s">
        <v>461</v>
      </c>
      <c r="F89" t="s">
        <v>46</v>
      </c>
      <c r="G89" t="s">
        <v>240</v>
      </c>
      <c r="H89" t="s">
        <v>48</v>
      </c>
      <c r="I89" t="s">
        <v>49</v>
      </c>
      <c r="J89" t="s">
        <v>50</v>
      </c>
      <c r="K89" t="s">
        <v>51</v>
      </c>
      <c r="L89" t="s">
        <v>51</v>
      </c>
      <c r="M89" t="s">
        <v>134</v>
      </c>
      <c r="N89" t="s">
        <v>462</v>
      </c>
      <c r="O89" s="11" t="str">
        <f t="shared" si="10"/>
        <v>OK</v>
      </c>
      <c r="P89" t="s">
        <v>54</v>
      </c>
      <c r="Q89" t="s">
        <v>54</v>
      </c>
      <c r="R89" t="s">
        <v>51</v>
      </c>
      <c r="S89" t="s">
        <v>463</v>
      </c>
      <c r="T89" s="1">
        <v>85695694.439999998</v>
      </c>
      <c r="U89" s="1">
        <v>36943692.130000003</v>
      </c>
      <c r="V89" s="13" t="str">
        <f t="shared" si="11"/>
        <v>OK</v>
      </c>
      <c r="W89" s="1">
        <v>87620575.209999993</v>
      </c>
      <c r="X89" s="1">
        <v>799246.52</v>
      </c>
      <c r="Y89" t="s">
        <v>51</v>
      </c>
      <c r="Z89">
        <v>453088.04</v>
      </c>
      <c r="AA89">
        <v>0</v>
      </c>
      <c r="AB89">
        <v>0</v>
      </c>
      <c r="AC89">
        <v>2119642.44</v>
      </c>
      <c r="AD89" s="13" t="str">
        <f t="shared" si="12"/>
        <v>OK</v>
      </c>
      <c r="AE89">
        <v>21912715.390000001</v>
      </c>
      <c r="AF89">
        <v>0</v>
      </c>
      <c r="AG89">
        <v>0</v>
      </c>
      <c r="AH89">
        <v>0</v>
      </c>
      <c r="AI89">
        <v>0</v>
      </c>
      <c r="AJ89" s="13" t="str">
        <f t="shared" si="13"/>
        <v>OK</v>
      </c>
      <c r="AK89">
        <v>0</v>
      </c>
      <c r="AL89">
        <v>0</v>
      </c>
      <c r="AM89">
        <v>0</v>
      </c>
      <c r="AN89">
        <v>1500000</v>
      </c>
      <c r="AO89">
        <v>93473015</v>
      </c>
      <c r="AP89">
        <v>120370891</v>
      </c>
      <c r="AQ89" s="15">
        <f t="shared" si="14"/>
        <v>26897876</v>
      </c>
      <c r="AR89">
        <v>93473015.359999999</v>
      </c>
      <c r="AS89">
        <v>120370891.56999999</v>
      </c>
      <c r="AT89">
        <v>106526984.64</v>
      </c>
      <c r="AU89">
        <v>79629108.430000007</v>
      </c>
      <c r="AV89" s="16">
        <f t="shared" si="15"/>
        <v>106526984.64</v>
      </c>
      <c r="AW89" s="13" t="str">
        <f t="shared" si="16"/>
        <v>SIM</v>
      </c>
      <c r="AX89" s="13" t="str">
        <f t="shared" si="17"/>
        <v>VER CAPITAL</v>
      </c>
      <c r="AY89" s="13" t="str">
        <f t="shared" si="18"/>
        <v>OK</v>
      </c>
      <c r="AZ89">
        <f t="shared" si="19"/>
        <v>9.6731162810032743</v>
      </c>
    </row>
    <row r="90" spans="2:52" x14ac:dyDescent="0.3">
      <c r="B90" t="s">
        <v>439</v>
      </c>
      <c r="C90" t="s">
        <v>464</v>
      </c>
      <c r="D90" t="s">
        <v>91</v>
      </c>
      <c r="E90" t="s">
        <v>465</v>
      </c>
      <c r="F90" t="s">
        <v>70</v>
      </c>
      <c r="G90" t="s">
        <v>93</v>
      </c>
      <c r="H90" t="s">
        <v>60</v>
      </c>
      <c r="I90" t="s">
        <v>49</v>
      </c>
      <c r="J90" t="s">
        <v>50</v>
      </c>
      <c r="K90" t="s">
        <v>51</v>
      </c>
      <c r="L90" t="s">
        <v>51</v>
      </c>
      <c r="M90" t="s">
        <v>134</v>
      </c>
      <c r="N90" t="s">
        <v>466</v>
      </c>
      <c r="O90" s="11" t="str">
        <f t="shared" si="10"/>
        <v>OK</v>
      </c>
      <c r="P90" t="s">
        <v>54</v>
      </c>
      <c r="Q90" t="s">
        <v>54</v>
      </c>
      <c r="R90" t="s">
        <v>54</v>
      </c>
      <c r="S90" t="s">
        <v>467</v>
      </c>
      <c r="T90" s="1">
        <v>3827365.16</v>
      </c>
      <c r="U90" s="1">
        <v>1430113.25</v>
      </c>
      <c r="V90" s="13" t="str">
        <f t="shared" si="11"/>
        <v>OK</v>
      </c>
      <c r="W90" s="1">
        <v>3974715.21</v>
      </c>
      <c r="X90" s="1">
        <v>0</v>
      </c>
      <c r="Y90" t="s">
        <v>51</v>
      </c>
      <c r="Z90">
        <v>95433.59</v>
      </c>
      <c r="AA90">
        <v>0</v>
      </c>
      <c r="AB90">
        <v>632934.79</v>
      </c>
      <c r="AC90">
        <v>-147350.04999999999</v>
      </c>
      <c r="AD90" s="13" t="str">
        <f t="shared" si="12"/>
        <v>OK</v>
      </c>
      <c r="AE90">
        <v>14717291.91</v>
      </c>
      <c r="AF90">
        <v>14717291.91</v>
      </c>
      <c r="AG90">
        <v>0</v>
      </c>
      <c r="AH90">
        <v>0</v>
      </c>
      <c r="AI90">
        <v>0</v>
      </c>
      <c r="AJ90" s="13" t="str">
        <f t="shared" si="13"/>
        <v>OK</v>
      </c>
      <c r="AK90">
        <v>0</v>
      </c>
      <c r="AL90">
        <v>0</v>
      </c>
      <c r="AM90">
        <v>0</v>
      </c>
      <c r="AN90">
        <v>0</v>
      </c>
      <c r="AO90">
        <v>68602271495</v>
      </c>
      <c r="AP90">
        <v>68602271495</v>
      </c>
      <c r="AQ90" s="15">
        <f t="shared" si="14"/>
        <v>0</v>
      </c>
      <c r="AR90">
        <v>4525000</v>
      </c>
      <c r="AS90">
        <v>4525000</v>
      </c>
      <c r="AT90">
        <v>0</v>
      </c>
      <c r="AU90">
        <v>0</v>
      </c>
      <c r="AV90" s="16">
        <f t="shared" si="15"/>
        <v>0</v>
      </c>
      <c r="AW90" s="13" t="str">
        <f t="shared" si="16"/>
        <v>NÃO</v>
      </c>
      <c r="AX90" s="13" t="str">
        <f t="shared" si="17"/>
        <v>OK</v>
      </c>
      <c r="AY90" s="13" t="str">
        <f t="shared" si="18"/>
        <v>OK</v>
      </c>
      <c r="AZ90">
        <f t="shared" si="19"/>
        <v>-1.0012035563409571</v>
      </c>
    </row>
    <row r="91" spans="2:52" x14ac:dyDescent="0.3">
      <c r="B91" t="s">
        <v>439</v>
      </c>
      <c r="C91" t="s">
        <v>468</v>
      </c>
      <c r="D91" t="s">
        <v>469</v>
      </c>
      <c r="E91" t="s">
        <v>470</v>
      </c>
      <c r="F91" t="s">
        <v>46</v>
      </c>
      <c r="G91" t="s">
        <v>150</v>
      </c>
      <c r="H91" t="s">
        <v>48</v>
      </c>
      <c r="I91" t="s">
        <v>363</v>
      </c>
      <c r="J91" t="s">
        <v>50</v>
      </c>
      <c r="K91" t="s">
        <v>51</v>
      </c>
      <c r="L91" t="s">
        <v>51</v>
      </c>
      <c r="M91" t="s">
        <v>134</v>
      </c>
      <c r="N91" t="s">
        <v>471</v>
      </c>
      <c r="O91" s="11" t="str">
        <f t="shared" si="10"/>
        <v>OK</v>
      </c>
      <c r="P91" t="s">
        <v>54</v>
      </c>
      <c r="Q91" t="s">
        <v>54</v>
      </c>
      <c r="R91" t="s">
        <v>51</v>
      </c>
      <c r="S91" t="s">
        <v>472</v>
      </c>
      <c r="T91" s="1">
        <v>240576</v>
      </c>
      <c r="U91" s="1">
        <v>2240252.56</v>
      </c>
      <c r="V91" s="13" t="str">
        <f t="shared" si="11"/>
        <v>OK</v>
      </c>
      <c r="W91" s="1">
        <v>2343475.62</v>
      </c>
      <c r="X91" s="1">
        <v>0</v>
      </c>
      <c r="Y91" t="s">
        <v>51</v>
      </c>
      <c r="Z91">
        <v>1787799.94</v>
      </c>
      <c r="AA91">
        <v>0</v>
      </c>
      <c r="AB91">
        <v>0</v>
      </c>
      <c r="AC91">
        <v>1815812.38</v>
      </c>
      <c r="AD91" s="13" t="str">
        <f t="shared" si="12"/>
        <v>OK</v>
      </c>
      <c r="AE91">
        <v>8445906.5800000001</v>
      </c>
      <c r="AF91">
        <v>0</v>
      </c>
      <c r="AG91">
        <v>0</v>
      </c>
      <c r="AH91">
        <v>0</v>
      </c>
      <c r="AI91">
        <v>0</v>
      </c>
      <c r="AJ91" s="13" t="str">
        <f t="shared" si="13"/>
        <v>OK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s="15">
        <f t="shared" si="14"/>
        <v>0</v>
      </c>
      <c r="AR91">
        <v>0</v>
      </c>
      <c r="AS91">
        <v>10261718.960000001</v>
      </c>
      <c r="AT91">
        <v>0</v>
      </c>
      <c r="AU91">
        <v>42000000</v>
      </c>
      <c r="AV91" s="16">
        <f t="shared" si="15"/>
        <v>52261718.960000001</v>
      </c>
      <c r="AW91" s="13" t="str">
        <f t="shared" si="16"/>
        <v>SIM</v>
      </c>
      <c r="AX91" s="13" t="str">
        <f t="shared" si="17"/>
        <v>OK</v>
      </c>
      <c r="AY91" s="13" t="str">
        <f t="shared" si="18"/>
        <v>OK</v>
      </c>
      <c r="AZ91">
        <f t="shared" si="19"/>
        <v>21.499318785976911</v>
      </c>
    </row>
    <row r="92" spans="2:52" x14ac:dyDescent="0.3">
      <c r="B92" t="s">
        <v>473</v>
      </c>
      <c r="C92" t="s">
        <v>474</v>
      </c>
      <c r="D92" t="s">
        <v>475</v>
      </c>
      <c r="E92" t="s">
        <v>476</v>
      </c>
      <c r="F92" t="s">
        <v>46</v>
      </c>
      <c r="G92" t="s">
        <v>93</v>
      </c>
      <c r="H92" t="s">
        <v>60</v>
      </c>
      <c r="I92" t="s">
        <v>49</v>
      </c>
      <c r="J92" t="s">
        <v>50</v>
      </c>
      <c r="K92" t="s">
        <v>51</v>
      </c>
      <c r="L92" t="s">
        <v>51</v>
      </c>
      <c r="M92" t="s">
        <v>52</v>
      </c>
      <c r="N92" t="s">
        <v>477</v>
      </c>
      <c r="O92" s="11" t="str">
        <f t="shared" si="10"/>
        <v>OK</v>
      </c>
      <c r="P92" t="s">
        <v>54</v>
      </c>
      <c r="Q92" t="s">
        <v>54</v>
      </c>
      <c r="R92" t="s">
        <v>54</v>
      </c>
      <c r="S92" t="s">
        <v>478</v>
      </c>
      <c r="T92" s="1">
        <v>3768285.31</v>
      </c>
      <c r="U92" s="1">
        <v>67137141.859999999</v>
      </c>
      <c r="V92" s="13" t="str">
        <f t="shared" si="11"/>
        <v>OK</v>
      </c>
      <c r="W92" s="1">
        <v>601348873.39999998</v>
      </c>
      <c r="X92" s="1">
        <v>291778988.33999997</v>
      </c>
      <c r="Y92" t="s">
        <v>51</v>
      </c>
      <c r="Z92">
        <v>1108154.3400000001</v>
      </c>
      <c r="AA92">
        <v>0</v>
      </c>
      <c r="AB92">
        <v>0</v>
      </c>
      <c r="AC92">
        <v>146950636.65000001</v>
      </c>
      <c r="AD92" s="13" t="str">
        <f t="shared" si="12"/>
        <v>OK</v>
      </c>
      <c r="AE92">
        <v>522204264.81</v>
      </c>
      <c r="AF92">
        <v>0</v>
      </c>
      <c r="AG92">
        <v>0</v>
      </c>
      <c r="AH92">
        <v>351858350.23000002</v>
      </c>
      <c r="AI92">
        <v>312898396.06</v>
      </c>
      <c r="AJ92" s="13" t="str">
        <f t="shared" si="13"/>
        <v>OK</v>
      </c>
      <c r="AK92">
        <v>0</v>
      </c>
      <c r="AL92" s="14">
        <v>0</v>
      </c>
      <c r="AM92">
        <v>0</v>
      </c>
      <c r="AN92">
        <v>0</v>
      </c>
      <c r="AO92">
        <v>196040923.41999999</v>
      </c>
      <c r="AP92">
        <v>196040923.41999999</v>
      </c>
      <c r="AQ92" s="15">
        <f t="shared" si="14"/>
        <v>0</v>
      </c>
      <c r="AR92">
        <v>187163774.28999999</v>
      </c>
      <c r="AS92">
        <v>187163774.28999999</v>
      </c>
      <c r="AT92">
        <v>8877149.1300000008</v>
      </c>
      <c r="AU92">
        <v>8877149.1300000008</v>
      </c>
      <c r="AV92" s="16">
        <f t="shared" si="15"/>
        <v>8877149.1300000008</v>
      </c>
      <c r="AW92" s="13" t="str">
        <f t="shared" si="16"/>
        <v>SIM</v>
      </c>
      <c r="AX92" s="13" t="str">
        <f t="shared" si="17"/>
        <v>OK</v>
      </c>
      <c r="AY92" s="13" t="str">
        <f t="shared" si="18"/>
        <v>OK</v>
      </c>
      <c r="AZ92">
        <f t="shared" si="19"/>
        <v>28.140451266415234</v>
      </c>
    </row>
    <row r="93" spans="2:52" x14ac:dyDescent="0.3">
      <c r="B93" t="s">
        <v>473</v>
      </c>
      <c r="C93" t="s">
        <v>493</v>
      </c>
      <c r="D93" t="s">
        <v>494</v>
      </c>
      <c r="E93" t="s">
        <v>495</v>
      </c>
      <c r="F93" t="s">
        <v>70</v>
      </c>
      <c r="G93" t="s">
        <v>71</v>
      </c>
      <c r="H93" t="s">
        <v>48</v>
      </c>
      <c r="I93" t="s">
        <v>76</v>
      </c>
      <c r="J93" t="s">
        <v>50</v>
      </c>
      <c r="K93" t="s">
        <v>51</v>
      </c>
      <c r="L93" t="s">
        <v>51</v>
      </c>
      <c r="M93" t="s">
        <v>134</v>
      </c>
      <c r="N93" t="s">
        <v>66</v>
      </c>
      <c r="O93" s="11" t="str">
        <f t="shared" si="10"/>
        <v>OK</v>
      </c>
      <c r="P93" t="s">
        <v>51</v>
      </c>
      <c r="Q93" t="s">
        <v>51</v>
      </c>
      <c r="R93" t="s">
        <v>51</v>
      </c>
      <c r="S93" t="s">
        <v>55</v>
      </c>
      <c r="T93" s="1">
        <v>0</v>
      </c>
      <c r="U93" s="1">
        <v>0</v>
      </c>
      <c r="V93" s="13" t="str">
        <f t="shared" si="11"/>
        <v>OK</v>
      </c>
      <c r="W93" s="1">
        <v>0</v>
      </c>
      <c r="X93" s="1">
        <v>0</v>
      </c>
      <c r="Y93" t="s">
        <v>51</v>
      </c>
      <c r="Z93">
        <v>0</v>
      </c>
      <c r="AA93">
        <v>0</v>
      </c>
      <c r="AB93">
        <v>0</v>
      </c>
      <c r="AC93">
        <v>0</v>
      </c>
      <c r="AD93" s="13" t="str">
        <f t="shared" si="12"/>
        <v>OK</v>
      </c>
      <c r="AE93">
        <v>-425197217.69999999</v>
      </c>
      <c r="AF93">
        <v>0</v>
      </c>
      <c r="AG93">
        <v>0</v>
      </c>
      <c r="AH93">
        <v>0</v>
      </c>
      <c r="AI93">
        <v>0</v>
      </c>
      <c r="AJ93" s="13" t="str">
        <f t="shared" si="13"/>
        <v>OK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 s="15">
        <f t="shared" si="14"/>
        <v>0</v>
      </c>
      <c r="AR93">
        <v>1.24</v>
      </c>
      <c r="AS93">
        <v>1.24</v>
      </c>
      <c r="AT93">
        <v>0</v>
      </c>
      <c r="AU93">
        <v>0</v>
      </c>
      <c r="AV93" s="16">
        <f t="shared" si="15"/>
        <v>0</v>
      </c>
      <c r="AW93" s="13" t="str">
        <f t="shared" si="16"/>
        <v>NÃO</v>
      </c>
      <c r="AX93" s="13" t="str">
        <f t="shared" si="17"/>
        <v>OK</v>
      </c>
      <c r="AY93" s="13" t="str">
        <f t="shared" si="18"/>
        <v>OK</v>
      </c>
      <c r="AZ93">
        <f t="shared" si="19"/>
        <v>0</v>
      </c>
    </row>
    <row r="94" spans="2:52" x14ac:dyDescent="0.3">
      <c r="B94" t="s">
        <v>473</v>
      </c>
      <c r="C94" t="s">
        <v>496</v>
      </c>
      <c r="D94" t="s">
        <v>497</v>
      </c>
      <c r="E94" t="s">
        <v>498</v>
      </c>
      <c r="F94" t="s">
        <v>46</v>
      </c>
      <c r="G94" t="s">
        <v>75</v>
      </c>
      <c r="H94" t="s">
        <v>60</v>
      </c>
      <c r="I94" t="s">
        <v>49</v>
      </c>
      <c r="J94" t="s">
        <v>50</v>
      </c>
      <c r="K94" t="s">
        <v>51</v>
      </c>
      <c r="L94" t="s">
        <v>51</v>
      </c>
      <c r="M94" t="s">
        <v>134</v>
      </c>
      <c r="N94" t="s">
        <v>499</v>
      </c>
      <c r="O94" s="11" t="str">
        <f t="shared" si="10"/>
        <v>OK</v>
      </c>
      <c r="P94" t="s">
        <v>54</v>
      </c>
      <c r="Q94" t="s">
        <v>54</v>
      </c>
      <c r="R94" t="s">
        <v>54</v>
      </c>
      <c r="S94" t="s">
        <v>500</v>
      </c>
      <c r="T94" s="1">
        <v>36113028.460000001</v>
      </c>
      <c r="U94" s="1">
        <v>14671226.83</v>
      </c>
      <c r="V94" s="13" t="str">
        <f t="shared" si="11"/>
        <v>OK</v>
      </c>
      <c r="W94" s="1">
        <v>34890671</v>
      </c>
      <c r="X94" s="1">
        <v>1830220.8</v>
      </c>
      <c r="Y94" t="s">
        <v>51</v>
      </c>
      <c r="Z94">
        <v>426408.06</v>
      </c>
      <c r="AA94">
        <v>0</v>
      </c>
      <c r="AB94">
        <v>168386.46</v>
      </c>
      <c r="AC94">
        <v>823698.66</v>
      </c>
      <c r="AD94" s="13" t="str">
        <f t="shared" si="12"/>
        <v>OK</v>
      </c>
      <c r="AE94">
        <v>252202182.28999999</v>
      </c>
      <c r="AF94">
        <v>0</v>
      </c>
      <c r="AG94">
        <v>0</v>
      </c>
      <c r="AH94">
        <v>0</v>
      </c>
      <c r="AI94">
        <v>0</v>
      </c>
      <c r="AJ94" s="13" t="str">
        <f t="shared" si="13"/>
        <v>OK</v>
      </c>
      <c r="AK94">
        <v>0</v>
      </c>
      <c r="AL94">
        <v>0</v>
      </c>
      <c r="AM94">
        <v>0</v>
      </c>
      <c r="AN94">
        <v>0</v>
      </c>
      <c r="AO94">
        <v>23435689.940000001</v>
      </c>
      <c r="AP94">
        <v>23376621.640000001</v>
      </c>
      <c r="AQ94" s="15">
        <f t="shared" si="14"/>
        <v>-59068.300000000745</v>
      </c>
      <c r="AR94">
        <v>23376622</v>
      </c>
      <c r="AS94">
        <v>23435689.940000001</v>
      </c>
      <c r="AT94">
        <v>0</v>
      </c>
      <c r="AU94">
        <v>0</v>
      </c>
      <c r="AV94" s="16">
        <f t="shared" si="15"/>
        <v>59067.940000001341</v>
      </c>
      <c r="AW94" s="13" t="str">
        <f t="shared" si="16"/>
        <v>SIM</v>
      </c>
      <c r="AX94" s="13" t="str">
        <f t="shared" si="17"/>
        <v>OK</v>
      </c>
      <c r="AY94" s="13" t="str">
        <f t="shared" si="18"/>
        <v>OK</v>
      </c>
      <c r="AZ94">
        <f t="shared" si="19"/>
        <v>0.32660251093816972</v>
      </c>
    </row>
    <row r="95" spans="2:52" x14ac:dyDescent="0.3">
      <c r="B95" t="s">
        <v>473</v>
      </c>
      <c r="C95" t="s">
        <v>501</v>
      </c>
      <c r="D95" t="s">
        <v>502</v>
      </c>
      <c r="E95" t="s">
        <v>503</v>
      </c>
      <c r="F95" t="s">
        <v>46</v>
      </c>
      <c r="G95" t="s">
        <v>409</v>
      </c>
      <c r="H95" t="s">
        <v>60</v>
      </c>
      <c r="I95" t="s">
        <v>49</v>
      </c>
      <c r="J95" t="s">
        <v>373</v>
      </c>
      <c r="K95" t="s">
        <v>54</v>
      </c>
      <c r="L95" t="s">
        <v>51</v>
      </c>
      <c r="M95" t="s">
        <v>134</v>
      </c>
      <c r="N95" t="s">
        <v>359</v>
      </c>
      <c r="O95" s="11" t="str">
        <f t="shared" si="10"/>
        <v>OK</v>
      </c>
      <c r="P95" t="s">
        <v>54</v>
      </c>
      <c r="Q95" t="s">
        <v>54</v>
      </c>
      <c r="R95" t="s">
        <v>54</v>
      </c>
      <c r="S95" t="s">
        <v>504</v>
      </c>
      <c r="T95" s="1">
        <v>19287584.649999999</v>
      </c>
      <c r="U95" s="1">
        <v>25061326.27</v>
      </c>
      <c r="V95" s="13" t="str">
        <f t="shared" si="11"/>
        <v>OK</v>
      </c>
      <c r="W95" s="1">
        <v>58565486.159999996</v>
      </c>
      <c r="X95" s="1">
        <v>21027359.489999998</v>
      </c>
      <c r="Y95" t="s">
        <v>51</v>
      </c>
      <c r="Z95">
        <v>888466.76</v>
      </c>
      <c r="AA95">
        <v>0</v>
      </c>
      <c r="AB95">
        <v>0</v>
      </c>
      <c r="AC95">
        <v>37486205.479999997</v>
      </c>
      <c r="AD95" s="13" t="str">
        <f t="shared" si="12"/>
        <v>OK</v>
      </c>
      <c r="AE95">
        <v>783558914.41999996</v>
      </c>
      <c r="AF95">
        <v>0</v>
      </c>
      <c r="AG95">
        <v>0</v>
      </c>
      <c r="AH95">
        <v>0</v>
      </c>
      <c r="AI95">
        <v>0</v>
      </c>
      <c r="AJ95" s="13" t="str">
        <f t="shared" si="13"/>
        <v>OK</v>
      </c>
      <c r="AK95">
        <v>0</v>
      </c>
      <c r="AL95">
        <v>0</v>
      </c>
      <c r="AM95">
        <v>0</v>
      </c>
      <c r="AN95">
        <v>0</v>
      </c>
      <c r="AO95">
        <v>79676502</v>
      </c>
      <c r="AP95">
        <v>79676502</v>
      </c>
      <c r="AQ95" s="15">
        <f t="shared" si="14"/>
        <v>0</v>
      </c>
      <c r="AR95">
        <v>602350701.85000002</v>
      </c>
      <c r="AS95">
        <v>602350701.85000002</v>
      </c>
      <c r="AT95">
        <v>0</v>
      </c>
      <c r="AU95">
        <v>0</v>
      </c>
      <c r="AV95" s="16">
        <f t="shared" si="15"/>
        <v>0</v>
      </c>
      <c r="AW95" s="13" t="str">
        <f t="shared" si="16"/>
        <v>NÃO</v>
      </c>
      <c r="AX95" s="13" t="str">
        <f t="shared" si="17"/>
        <v>OK</v>
      </c>
      <c r="AY95" s="13" t="str">
        <f t="shared" si="18"/>
        <v>OK</v>
      </c>
      <c r="AZ95">
        <f t="shared" si="19"/>
        <v>4.7840953360536709</v>
      </c>
    </row>
    <row r="96" spans="2:52" x14ac:dyDescent="0.3">
      <c r="B96" t="s">
        <v>473</v>
      </c>
      <c r="C96" t="s">
        <v>505</v>
      </c>
      <c r="D96" t="s">
        <v>506</v>
      </c>
      <c r="E96" t="s">
        <v>507</v>
      </c>
      <c r="F96" t="s">
        <v>46</v>
      </c>
      <c r="G96" t="s">
        <v>240</v>
      </c>
      <c r="H96" t="s">
        <v>48</v>
      </c>
      <c r="I96" t="s">
        <v>76</v>
      </c>
      <c r="J96" t="s">
        <v>50</v>
      </c>
      <c r="K96" t="s">
        <v>51</v>
      </c>
      <c r="L96" t="s">
        <v>51</v>
      </c>
      <c r="M96" t="s">
        <v>134</v>
      </c>
      <c r="N96" t="s">
        <v>508</v>
      </c>
      <c r="O96" s="11" t="str">
        <f t="shared" si="10"/>
        <v>OK</v>
      </c>
      <c r="P96" t="s">
        <v>54</v>
      </c>
      <c r="Q96" t="s">
        <v>54</v>
      </c>
      <c r="R96" t="s">
        <v>51</v>
      </c>
      <c r="S96" t="s">
        <v>509</v>
      </c>
      <c r="T96" s="1">
        <v>10685127.470000001</v>
      </c>
      <c r="U96" s="1">
        <v>10859558.17</v>
      </c>
      <c r="V96" s="13" t="str">
        <f t="shared" si="11"/>
        <v>OK</v>
      </c>
      <c r="W96" s="1">
        <v>17278100.640000001</v>
      </c>
      <c r="X96" s="1">
        <v>0</v>
      </c>
      <c r="Y96" t="s">
        <v>51</v>
      </c>
      <c r="Z96">
        <v>267005.07</v>
      </c>
      <c r="AA96">
        <v>0</v>
      </c>
      <c r="AB96">
        <v>14836.94</v>
      </c>
      <c r="AC96">
        <v>-6592973.1699999999</v>
      </c>
      <c r="AD96" s="13" t="str">
        <f t="shared" si="12"/>
        <v>OK</v>
      </c>
      <c r="AE96">
        <v>1465632.25</v>
      </c>
      <c r="AF96">
        <v>0</v>
      </c>
      <c r="AG96">
        <v>0</v>
      </c>
      <c r="AH96">
        <v>0</v>
      </c>
      <c r="AI96">
        <v>0</v>
      </c>
      <c r="AJ96" s="13" t="str">
        <f t="shared" si="13"/>
        <v>OK</v>
      </c>
      <c r="AK96">
        <v>0</v>
      </c>
      <c r="AL96">
        <v>0</v>
      </c>
      <c r="AM96">
        <v>0</v>
      </c>
      <c r="AN96">
        <v>3380000</v>
      </c>
      <c r="AO96">
        <v>0</v>
      </c>
      <c r="AP96">
        <v>10000000</v>
      </c>
      <c r="AQ96" s="15">
        <f t="shared" si="14"/>
        <v>10000000</v>
      </c>
      <c r="AR96">
        <v>0</v>
      </c>
      <c r="AS96">
        <v>4130000</v>
      </c>
      <c r="AT96">
        <v>0</v>
      </c>
      <c r="AU96">
        <v>5870000</v>
      </c>
      <c r="AV96" s="16">
        <f t="shared" si="15"/>
        <v>10000000</v>
      </c>
      <c r="AW96" s="13" t="str">
        <f t="shared" si="16"/>
        <v>SIM</v>
      </c>
      <c r="AX96" s="13" t="str">
        <f t="shared" si="17"/>
        <v>VER CAPITAL</v>
      </c>
      <c r="AY96" s="13" t="str">
        <f t="shared" si="18"/>
        <v>OK</v>
      </c>
      <c r="AZ96">
        <f t="shared" si="19"/>
        <v>-449.83816165344342</v>
      </c>
    </row>
    <row r="97" spans="2:52" x14ac:dyDescent="0.3">
      <c r="B97" t="s">
        <v>473</v>
      </c>
      <c r="C97" t="s">
        <v>510</v>
      </c>
      <c r="D97" t="s">
        <v>511</v>
      </c>
      <c r="E97" t="s">
        <v>512</v>
      </c>
      <c r="F97" t="s">
        <v>46</v>
      </c>
      <c r="G97" t="s">
        <v>65</v>
      </c>
      <c r="H97" t="s">
        <v>60</v>
      </c>
      <c r="I97" t="s">
        <v>49</v>
      </c>
      <c r="J97" t="s">
        <v>50</v>
      </c>
      <c r="K97" t="s">
        <v>51</v>
      </c>
      <c r="L97" t="s">
        <v>51</v>
      </c>
      <c r="M97" t="s">
        <v>134</v>
      </c>
      <c r="N97" t="s">
        <v>513</v>
      </c>
      <c r="O97" s="11" t="str">
        <f t="shared" si="10"/>
        <v>OK</v>
      </c>
      <c r="P97" t="s">
        <v>54</v>
      </c>
      <c r="Q97" t="s">
        <v>54</v>
      </c>
      <c r="R97" t="s">
        <v>54</v>
      </c>
      <c r="S97" t="s">
        <v>514</v>
      </c>
      <c r="T97" s="1">
        <v>68588577</v>
      </c>
      <c r="U97" s="1">
        <v>58285765</v>
      </c>
      <c r="V97" s="13" t="str">
        <f t="shared" si="11"/>
        <v>OK</v>
      </c>
      <c r="W97" s="1">
        <v>62508621</v>
      </c>
      <c r="X97" s="1">
        <v>0</v>
      </c>
      <c r="Y97" t="s">
        <v>51</v>
      </c>
      <c r="Z97">
        <v>420000</v>
      </c>
      <c r="AA97">
        <v>0</v>
      </c>
      <c r="AB97">
        <v>132000</v>
      </c>
      <c r="AC97">
        <v>-52937445</v>
      </c>
      <c r="AD97" s="13" t="str">
        <f t="shared" si="12"/>
        <v>OK</v>
      </c>
      <c r="AE97">
        <v>220753873</v>
      </c>
      <c r="AF97">
        <v>0</v>
      </c>
      <c r="AG97">
        <v>0</v>
      </c>
      <c r="AH97">
        <v>0</v>
      </c>
      <c r="AI97">
        <v>0</v>
      </c>
      <c r="AJ97" s="13" t="str">
        <f t="shared" si="13"/>
        <v>OK</v>
      </c>
      <c r="AK97">
        <v>0</v>
      </c>
      <c r="AL97">
        <v>0</v>
      </c>
      <c r="AM97">
        <v>0</v>
      </c>
      <c r="AN97">
        <v>0</v>
      </c>
      <c r="AO97">
        <v>285854692</v>
      </c>
      <c r="AP97">
        <v>328022634</v>
      </c>
      <c r="AQ97" s="15">
        <f t="shared" si="14"/>
        <v>42167942</v>
      </c>
      <c r="AR97">
        <v>420447038.10000002</v>
      </c>
      <c r="AS97">
        <v>481302976</v>
      </c>
      <c r="AT97">
        <v>0</v>
      </c>
      <c r="AU97">
        <v>0</v>
      </c>
      <c r="AV97" s="16">
        <f t="shared" si="15"/>
        <v>60855937.899999976</v>
      </c>
      <c r="AW97" s="13" t="str">
        <f t="shared" si="16"/>
        <v>SIM</v>
      </c>
      <c r="AX97" s="13" t="str">
        <f t="shared" si="17"/>
        <v>OK</v>
      </c>
      <c r="AY97" s="13" t="str">
        <f t="shared" si="18"/>
        <v>OK</v>
      </c>
      <c r="AZ97">
        <f t="shared" si="19"/>
        <v>-23.980301808793179</v>
      </c>
    </row>
    <row r="98" spans="2:52" x14ac:dyDescent="0.3">
      <c r="B98" t="s">
        <v>473</v>
      </c>
      <c r="C98" t="s">
        <v>515</v>
      </c>
      <c r="D98" t="s">
        <v>516</v>
      </c>
      <c r="E98" t="s">
        <v>517</v>
      </c>
      <c r="F98" t="s">
        <v>46</v>
      </c>
      <c r="G98" t="s">
        <v>409</v>
      </c>
      <c r="H98" t="s">
        <v>60</v>
      </c>
      <c r="I98" t="s">
        <v>49</v>
      </c>
      <c r="J98" t="s">
        <v>50</v>
      </c>
      <c r="K98" t="s">
        <v>51</v>
      </c>
      <c r="L98" t="s">
        <v>54</v>
      </c>
      <c r="M98" t="s">
        <v>134</v>
      </c>
      <c r="N98" t="s">
        <v>518</v>
      </c>
      <c r="O98" s="11" t="str">
        <f t="shared" si="10"/>
        <v>OK</v>
      </c>
      <c r="P98" t="s">
        <v>51</v>
      </c>
      <c r="Q98" t="s">
        <v>54</v>
      </c>
      <c r="R98" t="s">
        <v>51</v>
      </c>
      <c r="S98" t="s">
        <v>504</v>
      </c>
      <c r="T98" s="1">
        <v>12136390.91</v>
      </c>
      <c r="U98" s="1">
        <v>1186958.8</v>
      </c>
      <c r="V98" s="13" t="str">
        <f t="shared" si="11"/>
        <v>OK</v>
      </c>
      <c r="W98" s="1">
        <v>5755733.5300000003</v>
      </c>
      <c r="X98" s="1">
        <v>0</v>
      </c>
      <c r="Y98" t="s">
        <v>51</v>
      </c>
      <c r="Z98">
        <v>156757.48000000001</v>
      </c>
      <c r="AA98">
        <v>0</v>
      </c>
      <c r="AB98">
        <v>0</v>
      </c>
      <c r="AC98">
        <v>4756432.6100000003</v>
      </c>
      <c r="AD98" s="13" t="str">
        <f t="shared" si="12"/>
        <v>OK</v>
      </c>
      <c r="AE98">
        <v>76628909.560000002</v>
      </c>
      <c r="AF98">
        <v>0</v>
      </c>
      <c r="AG98">
        <v>0</v>
      </c>
      <c r="AH98">
        <v>0</v>
      </c>
      <c r="AI98">
        <v>0</v>
      </c>
      <c r="AJ98" s="13" t="str">
        <f t="shared" si="13"/>
        <v>OK</v>
      </c>
      <c r="AK98">
        <v>0</v>
      </c>
      <c r="AL98">
        <v>0</v>
      </c>
      <c r="AM98">
        <v>0</v>
      </c>
      <c r="AN98">
        <v>0</v>
      </c>
      <c r="AO98">
        <v>34696000</v>
      </c>
      <c r="AP98">
        <v>34696000</v>
      </c>
      <c r="AQ98" s="15">
        <f t="shared" si="14"/>
        <v>0</v>
      </c>
      <c r="AR98">
        <v>34696000</v>
      </c>
      <c r="AS98">
        <v>34696000</v>
      </c>
      <c r="AT98">
        <v>0</v>
      </c>
      <c r="AU98">
        <v>0</v>
      </c>
      <c r="AV98" s="16">
        <f t="shared" si="15"/>
        <v>0</v>
      </c>
      <c r="AW98" s="13" t="str">
        <f t="shared" si="16"/>
        <v>NÃO</v>
      </c>
      <c r="AX98" s="13" t="str">
        <f t="shared" si="17"/>
        <v>OK</v>
      </c>
      <c r="AY98" s="13" t="str">
        <f t="shared" si="18"/>
        <v>OK</v>
      </c>
      <c r="AZ98">
        <f t="shared" si="19"/>
        <v>6.2070994319392483</v>
      </c>
    </row>
    <row r="99" spans="2:52" x14ac:dyDescent="0.3">
      <c r="B99" t="s">
        <v>473</v>
      </c>
      <c r="C99" t="s">
        <v>479</v>
      </c>
      <c r="D99" t="s">
        <v>480</v>
      </c>
      <c r="E99" t="s">
        <v>481</v>
      </c>
      <c r="F99" t="s">
        <v>46</v>
      </c>
      <c r="G99" t="s">
        <v>150</v>
      </c>
      <c r="H99" t="s">
        <v>60</v>
      </c>
      <c r="I99" t="s">
        <v>49</v>
      </c>
      <c r="J99" t="s">
        <v>50</v>
      </c>
      <c r="K99" t="s">
        <v>51</v>
      </c>
      <c r="L99" t="s">
        <v>51</v>
      </c>
      <c r="M99" t="s">
        <v>52</v>
      </c>
      <c r="N99" t="s">
        <v>482</v>
      </c>
      <c r="O99" s="11" t="str">
        <f t="shared" si="10"/>
        <v>OK</v>
      </c>
      <c r="P99" t="s">
        <v>54</v>
      </c>
      <c r="Q99" t="s">
        <v>54</v>
      </c>
      <c r="R99" t="s">
        <v>54</v>
      </c>
      <c r="S99" t="s">
        <v>483</v>
      </c>
      <c r="T99" s="1">
        <v>-112059.96</v>
      </c>
      <c r="U99" s="1">
        <v>5762687.8600000003</v>
      </c>
      <c r="V99" s="13" t="str">
        <f t="shared" si="11"/>
        <v>OK</v>
      </c>
      <c r="W99" s="1">
        <v>6600428.3799999999</v>
      </c>
      <c r="X99" s="1">
        <v>0</v>
      </c>
      <c r="Y99" t="s">
        <v>51</v>
      </c>
      <c r="Z99">
        <v>509842.36</v>
      </c>
      <c r="AA99">
        <v>0</v>
      </c>
      <c r="AB99">
        <v>0</v>
      </c>
      <c r="AC99">
        <v>1310016.03</v>
      </c>
      <c r="AD99" s="13" t="str">
        <f t="shared" si="12"/>
        <v>OK</v>
      </c>
      <c r="AE99">
        <v>1972373.89</v>
      </c>
      <c r="AF99">
        <v>0</v>
      </c>
      <c r="AG99">
        <v>0</v>
      </c>
      <c r="AH99">
        <v>4558969.2</v>
      </c>
      <c r="AI99">
        <v>8094138.8600000003</v>
      </c>
      <c r="AJ99" s="13" t="str">
        <f t="shared" si="13"/>
        <v>OK</v>
      </c>
      <c r="AK99">
        <v>0</v>
      </c>
      <c r="AL99" s="14">
        <v>0</v>
      </c>
      <c r="AM99">
        <v>0</v>
      </c>
      <c r="AN99">
        <v>0</v>
      </c>
      <c r="AO99">
        <v>9000000</v>
      </c>
      <c r="AP99">
        <v>9000000</v>
      </c>
      <c r="AQ99" s="15">
        <f t="shared" si="14"/>
        <v>0</v>
      </c>
      <c r="AR99">
        <v>9000000</v>
      </c>
      <c r="AS99">
        <v>9000000</v>
      </c>
      <c r="AT99">
        <v>0</v>
      </c>
      <c r="AU99">
        <v>0</v>
      </c>
      <c r="AV99" s="16">
        <f t="shared" si="15"/>
        <v>0</v>
      </c>
      <c r="AW99" s="13" t="str">
        <f t="shared" si="16"/>
        <v>NÃO</v>
      </c>
      <c r="AX99" s="13" t="str">
        <f t="shared" si="17"/>
        <v>OK</v>
      </c>
      <c r="AY99" s="13" t="str">
        <f t="shared" si="18"/>
        <v>OK</v>
      </c>
      <c r="AZ99">
        <f t="shared" si="19"/>
        <v>66.418240306354903</v>
      </c>
    </row>
    <row r="100" spans="2:52" x14ac:dyDescent="0.3">
      <c r="B100" t="s">
        <v>473</v>
      </c>
      <c r="C100" t="s">
        <v>519</v>
      </c>
      <c r="D100" t="s">
        <v>520</v>
      </c>
      <c r="E100" t="s">
        <v>521</v>
      </c>
      <c r="F100" t="s">
        <v>46</v>
      </c>
      <c r="G100" t="s">
        <v>71</v>
      </c>
      <c r="H100" t="s">
        <v>60</v>
      </c>
      <c r="I100" t="s">
        <v>49</v>
      </c>
      <c r="J100" t="s">
        <v>50</v>
      </c>
      <c r="K100" t="s">
        <v>51</v>
      </c>
      <c r="L100" t="s">
        <v>51</v>
      </c>
      <c r="M100" t="s">
        <v>134</v>
      </c>
      <c r="N100" t="s">
        <v>522</v>
      </c>
      <c r="O100" s="11" t="str">
        <f t="shared" si="10"/>
        <v>OK</v>
      </c>
      <c r="P100" t="s">
        <v>54</v>
      </c>
      <c r="Q100" t="s">
        <v>54</v>
      </c>
      <c r="R100" t="s">
        <v>51</v>
      </c>
      <c r="S100" t="s">
        <v>523</v>
      </c>
      <c r="T100" s="1">
        <v>67149141.700000003</v>
      </c>
      <c r="U100" s="1">
        <v>34912880.640000001</v>
      </c>
      <c r="V100" s="13" t="str">
        <f t="shared" si="11"/>
        <v>OK</v>
      </c>
      <c r="W100" s="1">
        <v>63689613.82</v>
      </c>
      <c r="X100" s="1">
        <v>0</v>
      </c>
      <c r="Y100" t="s">
        <v>54</v>
      </c>
      <c r="Z100">
        <v>448712.5</v>
      </c>
      <c r="AA100">
        <v>6090.93</v>
      </c>
      <c r="AB100">
        <v>0</v>
      </c>
      <c r="AC100">
        <v>3573169.57</v>
      </c>
      <c r="AD100" s="13" t="str">
        <f t="shared" si="12"/>
        <v>OK</v>
      </c>
      <c r="AE100">
        <v>202753071.25</v>
      </c>
      <c r="AF100">
        <v>0</v>
      </c>
      <c r="AG100">
        <v>0</v>
      </c>
      <c r="AH100">
        <v>0</v>
      </c>
      <c r="AI100">
        <v>0</v>
      </c>
      <c r="AJ100" s="13" t="str">
        <f t="shared" si="13"/>
        <v>OK</v>
      </c>
      <c r="AK100">
        <v>0</v>
      </c>
      <c r="AL100">
        <v>0</v>
      </c>
      <c r="AM100">
        <v>0</v>
      </c>
      <c r="AN100">
        <v>0</v>
      </c>
      <c r="AO100">
        <v>186394380</v>
      </c>
      <c r="AP100">
        <v>193195396</v>
      </c>
      <c r="AQ100" s="15">
        <f t="shared" si="14"/>
        <v>6801016</v>
      </c>
      <c r="AR100">
        <v>186394379.58000001</v>
      </c>
      <c r="AS100">
        <v>193195396.06999999</v>
      </c>
      <c r="AT100">
        <v>3199176.39</v>
      </c>
      <c r="AU100">
        <v>0</v>
      </c>
      <c r="AV100" s="16">
        <f t="shared" si="15"/>
        <v>6801016.4899999797</v>
      </c>
      <c r="AW100" s="13" t="str">
        <f t="shared" si="16"/>
        <v>SIM</v>
      </c>
      <c r="AX100" s="13" t="str">
        <f t="shared" si="17"/>
        <v>OK</v>
      </c>
      <c r="AY100" s="13" t="str">
        <f t="shared" si="18"/>
        <v>OK</v>
      </c>
      <c r="AZ100">
        <f t="shared" si="19"/>
        <v>1.7623257433147268</v>
      </c>
    </row>
    <row r="101" spans="2:52" x14ac:dyDescent="0.3">
      <c r="B101" t="s">
        <v>473</v>
      </c>
      <c r="C101" t="s">
        <v>524</v>
      </c>
      <c r="D101" t="s">
        <v>525</v>
      </c>
      <c r="E101" t="s">
        <v>526</v>
      </c>
      <c r="F101" t="s">
        <v>46</v>
      </c>
      <c r="G101" t="s">
        <v>139</v>
      </c>
      <c r="H101" t="s">
        <v>60</v>
      </c>
      <c r="I101" t="s">
        <v>49</v>
      </c>
      <c r="J101" t="s">
        <v>50</v>
      </c>
      <c r="K101" t="s">
        <v>51</v>
      </c>
      <c r="L101" t="s">
        <v>51</v>
      </c>
      <c r="M101" t="s">
        <v>134</v>
      </c>
      <c r="N101" t="s">
        <v>61</v>
      </c>
      <c r="O101" s="11" t="str">
        <f t="shared" si="10"/>
        <v>OK</v>
      </c>
      <c r="P101" t="s">
        <v>54</v>
      </c>
      <c r="Q101" t="s">
        <v>54</v>
      </c>
      <c r="R101" t="s">
        <v>51</v>
      </c>
      <c r="S101" t="s">
        <v>527</v>
      </c>
      <c r="T101" s="1">
        <v>0</v>
      </c>
      <c r="U101" s="1">
        <v>478217.72</v>
      </c>
      <c r="V101" s="13" t="str">
        <f t="shared" si="11"/>
        <v>OK</v>
      </c>
      <c r="W101" s="1">
        <v>908252.72</v>
      </c>
      <c r="X101" s="1">
        <v>7550.09</v>
      </c>
      <c r="Y101" t="s">
        <v>51</v>
      </c>
      <c r="Z101">
        <v>194114.4</v>
      </c>
      <c r="AA101">
        <v>0</v>
      </c>
      <c r="AB101">
        <v>22387.200000000001</v>
      </c>
      <c r="AC101">
        <v>-886415.29</v>
      </c>
      <c r="AD101" s="13" t="str">
        <f t="shared" si="12"/>
        <v>OK</v>
      </c>
      <c r="AE101">
        <v>422532.88</v>
      </c>
      <c r="AF101">
        <v>0</v>
      </c>
      <c r="AG101">
        <v>0</v>
      </c>
      <c r="AH101">
        <v>0</v>
      </c>
      <c r="AI101">
        <v>0</v>
      </c>
      <c r="AJ101" s="13" t="str">
        <f t="shared" si="13"/>
        <v>OK</v>
      </c>
      <c r="AK101">
        <v>0</v>
      </c>
      <c r="AL101">
        <v>0</v>
      </c>
      <c r="AM101">
        <v>0</v>
      </c>
      <c r="AN101">
        <v>159782.1</v>
      </c>
      <c r="AO101">
        <v>1511301</v>
      </c>
      <c r="AP101">
        <v>2040000</v>
      </c>
      <c r="AQ101" s="15">
        <f t="shared" si="14"/>
        <v>528699</v>
      </c>
      <c r="AR101">
        <v>8870000</v>
      </c>
      <c r="AS101">
        <v>2040000</v>
      </c>
      <c r="AT101">
        <v>0</v>
      </c>
      <c r="AU101">
        <v>368899</v>
      </c>
      <c r="AV101" s="16">
        <f t="shared" si="15"/>
        <v>-6461101</v>
      </c>
      <c r="AW101" s="13" t="str">
        <f t="shared" si="16"/>
        <v>SIM</v>
      </c>
      <c r="AX101" s="13" t="str">
        <f t="shared" si="17"/>
        <v>VER CAPITAL</v>
      </c>
      <c r="AY101" s="13" t="str">
        <f t="shared" si="18"/>
        <v>OK</v>
      </c>
      <c r="AZ101">
        <f t="shared" si="19"/>
        <v>-209.78610942656107</v>
      </c>
    </row>
    <row r="102" spans="2:52" x14ac:dyDescent="0.3">
      <c r="B102" t="s">
        <v>473</v>
      </c>
      <c r="C102" t="s">
        <v>528</v>
      </c>
      <c r="D102" t="s">
        <v>529</v>
      </c>
      <c r="E102" t="s">
        <v>530</v>
      </c>
      <c r="F102" t="s">
        <v>46</v>
      </c>
      <c r="G102" t="s">
        <v>133</v>
      </c>
      <c r="H102" t="s">
        <v>60</v>
      </c>
      <c r="I102" t="s">
        <v>49</v>
      </c>
      <c r="J102" t="s">
        <v>50</v>
      </c>
      <c r="K102" t="s">
        <v>51</v>
      </c>
      <c r="L102" t="s">
        <v>51</v>
      </c>
      <c r="M102" t="s">
        <v>134</v>
      </c>
      <c r="N102" t="s">
        <v>531</v>
      </c>
      <c r="O102" s="11" t="str">
        <f t="shared" si="10"/>
        <v>OK</v>
      </c>
      <c r="P102" t="s">
        <v>54</v>
      </c>
      <c r="Q102" t="s">
        <v>54</v>
      </c>
      <c r="R102" t="s">
        <v>54</v>
      </c>
      <c r="S102" t="s">
        <v>532</v>
      </c>
      <c r="T102" s="1">
        <v>0</v>
      </c>
      <c r="U102" s="1">
        <v>10533207.779999999</v>
      </c>
      <c r="V102" s="13" t="str">
        <f t="shared" si="11"/>
        <v>OK</v>
      </c>
      <c r="W102" s="1">
        <v>11434069.67</v>
      </c>
      <c r="X102" s="1">
        <v>0</v>
      </c>
      <c r="Y102" t="s">
        <v>51</v>
      </c>
      <c r="Z102">
        <v>389991.67</v>
      </c>
      <c r="AA102">
        <v>0</v>
      </c>
      <c r="AB102">
        <v>0</v>
      </c>
      <c r="AC102">
        <v>-327241.99</v>
      </c>
      <c r="AD102" s="13" t="str">
        <f t="shared" si="12"/>
        <v>OK</v>
      </c>
      <c r="AE102">
        <v>224771075.02000001</v>
      </c>
      <c r="AF102">
        <v>224771075.02000001</v>
      </c>
      <c r="AG102">
        <v>0</v>
      </c>
      <c r="AH102">
        <v>0</v>
      </c>
      <c r="AI102">
        <v>0</v>
      </c>
      <c r="AJ102" s="13" t="str">
        <f t="shared" si="13"/>
        <v>OK</v>
      </c>
      <c r="AK102">
        <v>0</v>
      </c>
      <c r="AL102">
        <v>0</v>
      </c>
      <c r="AM102">
        <v>0</v>
      </c>
      <c r="AN102">
        <v>0</v>
      </c>
      <c r="AO102">
        <v>388343079.02999997</v>
      </c>
      <c r="AP102">
        <v>388343079.02999997</v>
      </c>
      <c r="AQ102" s="15">
        <f t="shared" si="14"/>
        <v>0</v>
      </c>
      <c r="AR102">
        <v>347607531.64999998</v>
      </c>
      <c r="AS102">
        <v>347607531.64999998</v>
      </c>
      <c r="AT102">
        <v>40735547.380000003</v>
      </c>
      <c r="AU102">
        <v>40735547.380000003</v>
      </c>
      <c r="AV102" s="16">
        <f t="shared" si="15"/>
        <v>40735547.380000003</v>
      </c>
      <c r="AW102" s="13" t="str">
        <f t="shared" si="16"/>
        <v>SIM</v>
      </c>
      <c r="AX102" s="13" t="str">
        <f t="shared" si="17"/>
        <v>OK</v>
      </c>
      <c r="AY102" s="13" t="str">
        <f t="shared" si="18"/>
        <v>OK</v>
      </c>
      <c r="AZ102">
        <f t="shared" si="19"/>
        <v>-0.14558901316411918</v>
      </c>
    </row>
    <row r="103" spans="2:52" x14ac:dyDescent="0.3">
      <c r="B103" t="s">
        <v>473</v>
      </c>
      <c r="C103" t="s">
        <v>484</v>
      </c>
      <c r="D103" t="s">
        <v>485</v>
      </c>
      <c r="E103" t="s">
        <v>486</v>
      </c>
      <c r="F103" t="s">
        <v>46</v>
      </c>
      <c r="G103" t="s">
        <v>121</v>
      </c>
      <c r="H103" t="s">
        <v>60</v>
      </c>
      <c r="I103" t="s">
        <v>49</v>
      </c>
      <c r="J103" t="s">
        <v>50</v>
      </c>
      <c r="K103" t="s">
        <v>51</v>
      </c>
      <c r="L103" t="s">
        <v>51</v>
      </c>
      <c r="M103" t="s">
        <v>52</v>
      </c>
      <c r="N103" t="s">
        <v>462</v>
      </c>
      <c r="O103" s="11" t="str">
        <f t="shared" si="10"/>
        <v>OK</v>
      </c>
      <c r="P103" t="s">
        <v>54</v>
      </c>
      <c r="Q103" t="s">
        <v>54</v>
      </c>
      <c r="R103" t="s">
        <v>54</v>
      </c>
      <c r="S103" t="s">
        <v>487</v>
      </c>
      <c r="T103" s="1">
        <v>3285584.49</v>
      </c>
      <c r="U103" s="1">
        <v>38864423.299999997</v>
      </c>
      <c r="V103" s="13" t="str">
        <f t="shared" si="11"/>
        <v>OK</v>
      </c>
      <c r="W103" s="1">
        <v>54343375.850000001</v>
      </c>
      <c r="X103" s="1">
        <v>0</v>
      </c>
      <c r="Y103" t="s">
        <v>51</v>
      </c>
      <c r="Z103">
        <v>240497.4</v>
      </c>
      <c r="AA103">
        <v>0</v>
      </c>
      <c r="AB103">
        <v>0</v>
      </c>
      <c r="AC103">
        <v>-185231.32</v>
      </c>
      <c r="AD103" s="13" t="str">
        <f t="shared" si="12"/>
        <v>OK</v>
      </c>
      <c r="AE103">
        <v>-47199477.869999997</v>
      </c>
      <c r="AF103">
        <v>0</v>
      </c>
      <c r="AG103">
        <v>0</v>
      </c>
      <c r="AH103">
        <v>27650145.390000001</v>
      </c>
      <c r="AI103">
        <v>74543497.370000005</v>
      </c>
      <c r="AJ103" s="13" t="str">
        <f t="shared" si="13"/>
        <v>OK</v>
      </c>
      <c r="AK103">
        <v>0</v>
      </c>
      <c r="AL103" s="14">
        <v>0</v>
      </c>
      <c r="AM103">
        <v>0</v>
      </c>
      <c r="AN103">
        <v>0</v>
      </c>
      <c r="AO103">
        <v>239994409</v>
      </c>
      <c r="AP103">
        <v>239995200</v>
      </c>
      <c r="AQ103" s="15">
        <f t="shared" si="14"/>
        <v>791</v>
      </c>
      <c r="AR103">
        <v>240000000</v>
      </c>
      <c r="AS103">
        <v>223479277</v>
      </c>
      <c r="AT103">
        <v>16516253.32</v>
      </c>
      <c r="AU103">
        <v>16516253.32</v>
      </c>
      <c r="AV103" s="16">
        <f t="shared" si="15"/>
        <v>-4469.679999999702</v>
      </c>
      <c r="AW103" s="13" t="str">
        <f t="shared" si="16"/>
        <v>SIM</v>
      </c>
      <c r="AX103" s="13" t="str">
        <f t="shared" si="17"/>
        <v>OK</v>
      </c>
      <c r="AY103" s="13" t="str">
        <f t="shared" si="18"/>
        <v>OK</v>
      </c>
      <c r="AZ103">
        <f t="shared" si="19"/>
        <v>0.39244357852893341</v>
      </c>
    </row>
    <row r="104" spans="2:52" x14ac:dyDescent="0.3">
      <c r="B104" t="s">
        <v>473</v>
      </c>
      <c r="C104" t="s">
        <v>533</v>
      </c>
      <c r="D104" t="s">
        <v>534</v>
      </c>
      <c r="E104" t="s">
        <v>535</v>
      </c>
      <c r="F104" t="s">
        <v>46</v>
      </c>
      <c r="G104" t="s">
        <v>409</v>
      </c>
      <c r="H104" t="s">
        <v>60</v>
      </c>
      <c r="I104" t="s">
        <v>49</v>
      </c>
      <c r="J104" t="s">
        <v>50</v>
      </c>
      <c r="K104" t="s">
        <v>51</v>
      </c>
      <c r="L104" t="s">
        <v>54</v>
      </c>
      <c r="M104" t="s">
        <v>134</v>
      </c>
      <c r="N104" t="s">
        <v>536</v>
      </c>
      <c r="O104" s="11" t="str">
        <f t="shared" si="10"/>
        <v>OK</v>
      </c>
      <c r="P104" t="s">
        <v>54</v>
      </c>
      <c r="Q104" t="s">
        <v>54</v>
      </c>
      <c r="R104" t="s">
        <v>54</v>
      </c>
      <c r="S104" t="s">
        <v>504</v>
      </c>
      <c r="T104" s="1">
        <v>5454734.6399999997</v>
      </c>
      <c r="U104" s="1">
        <v>698121.06</v>
      </c>
      <c r="V104" s="13" t="str">
        <f t="shared" si="11"/>
        <v>OK</v>
      </c>
      <c r="W104" s="1">
        <v>791019.2</v>
      </c>
      <c r="X104" s="1">
        <v>0</v>
      </c>
      <c r="Y104" t="s">
        <v>51</v>
      </c>
      <c r="Z104">
        <v>107797.56</v>
      </c>
      <c r="AA104">
        <v>0</v>
      </c>
      <c r="AB104">
        <v>0</v>
      </c>
      <c r="AC104">
        <v>2116812.39</v>
      </c>
      <c r="AD104" s="13" t="str">
        <f t="shared" si="12"/>
        <v>OK</v>
      </c>
      <c r="AE104">
        <v>51670315.479999997</v>
      </c>
      <c r="AF104">
        <v>0</v>
      </c>
      <c r="AG104">
        <v>0</v>
      </c>
      <c r="AH104">
        <v>0</v>
      </c>
      <c r="AI104">
        <v>0</v>
      </c>
      <c r="AJ104" s="13" t="str">
        <f t="shared" si="13"/>
        <v>OK</v>
      </c>
      <c r="AK104">
        <v>0</v>
      </c>
      <c r="AL104">
        <v>0</v>
      </c>
      <c r="AM104">
        <v>0</v>
      </c>
      <c r="AN104">
        <v>0</v>
      </c>
      <c r="AO104">
        <v>35156000</v>
      </c>
      <c r="AP104">
        <v>35156000</v>
      </c>
      <c r="AQ104" s="15">
        <f t="shared" si="14"/>
        <v>0</v>
      </c>
      <c r="AR104">
        <v>35156000</v>
      </c>
      <c r="AS104">
        <v>35156000</v>
      </c>
      <c r="AT104">
        <v>0</v>
      </c>
      <c r="AU104">
        <v>0</v>
      </c>
      <c r="AV104" s="16">
        <f t="shared" si="15"/>
        <v>0</v>
      </c>
      <c r="AW104" s="13" t="str">
        <f t="shared" si="16"/>
        <v>NÃO</v>
      </c>
      <c r="AX104" s="13" t="str">
        <f t="shared" si="17"/>
        <v>OK</v>
      </c>
      <c r="AY104" s="13" t="str">
        <f t="shared" si="18"/>
        <v>OK</v>
      </c>
      <c r="AZ104">
        <f t="shared" si="19"/>
        <v>4.0967669160436104</v>
      </c>
    </row>
    <row r="105" spans="2:52" x14ac:dyDescent="0.3">
      <c r="B105" t="s">
        <v>473</v>
      </c>
      <c r="C105" t="s">
        <v>488</v>
      </c>
      <c r="D105" t="s">
        <v>489</v>
      </c>
      <c r="E105" t="s">
        <v>490</v>
      </c>
      <c r="F105" t="s">
        <v>46</v>
      </c>
      <c r="G105" t="s">
        <v>240</v>
      </c>
      <c r="H105" t="s">
        <v>60</v>
      </c>
      <c r="I105" t="s">
        <v>49</v>
      </c>
      <c r="J105" t="s">
        <v>50</v>
      </c>
      <c r="K105" t="s">
        <v>51</v>
      </c>
      <c r="L105" t="s">
        <v>51</v>
      </c>
      <c r="M105" t="s">
        <v>52</v>
      </c>
      <c r="N105" t="s">
        <v>491</v>
      </c>
      <c r="O105" s="11" t="str">
        <f t="shared" si="10"/>
        <v>OK</v>
      </c>
      <c r="P105" t="s">
        <v>54</v>
      </c>
      <c r="Q105" t="s">
        <v>54</v>
      </c>
      <c r="R105" t="s">
        <v>51</v>
      </c>
      <c r="S105" t="s">
        <v>492</v>
      </c>
      <c r="T105" s="1">
        <v>137440387.50999999</v>
      </c>
      <c r="U105" s="1">
        <v>46402937.020000003</v>
      </c>
      <c r="V105" s="13" t="str">
        <f t="shared" si="11"/>
        <v>OK</v>
      </c>
      <c r="W105" s="1">
        <v>64601972.18</v>
      </c>
      <c r="X105" s="1">
        <v>0</v>
      </c>
      <c r="Y105" t="s">
        <v>51</v>
      </c>
      <c r="Z105">
        <v>479198.33</v>
      </c>
      <c r="AA105">
        <v>0</v>
      </c>
      <c r="AB105">
        <v>0</v>
      </c>
      <c r="AC105">
        <v>-1963928.77</v>
      </c>
      <c r="AD105" s="13" t="str">
        <f t="shared" si="12"/>
        <v>OK</v>
      </c>
      <c r="AE105">
        <v>8758323.8200000003</v>
      </c>
      <c r="AF105">
        <v>8758323.8200000003</v>
      </c>
      <c r="AG105">
        <v>0</v>
      </c>
      <c r="AH105">
        <v>23951018.329999998</v>
      </c>
      <c r="AI105">
        <v>84446717.299999997</v>
      </c>
      <c r="AJ105" s="13" t="str">
        <f t="shared" si="13"/>
        <v>OK</v>
      </c>
      <c r="AK105">
        <v>0</v>
      </c>
      <c r="AL105" s="14">
        <v>0</v>
      </c>
      <c r="AM105">
        <v>0</v>
      </c>
      <c r="AN105">
        <v>0</v>
      </c>
      <c r="AO105">
        <v>221702474.55000001</v>
      </c>
      <c r="AP105">
        <v>221702474.55000001</v>
      </c>
      <c r="AQ105" s="15">
        <f t="shared" si="14"/>
        <v>0</v>
      </c>
      <c r="AR105">
        <v>221702474.55000001</v>
      </c>
      <c r="AS105">
        <v>221702474.55000001</v>
      </c>
      <c r="AT105">
        <v>0</v>
      </c>
      <c r="AU105">
        <v>2024</v>
      </c>
      <c r="AV105" s="16">
        <f t="shared" si="15"/>
        <v>2024</v>
      </c>
      <c r="AW105" s="13" t="str">
        <f t="shared" si="16"/>
        <v>SIM</v>
      </c>
      <c r="AX105" s="13" t="str">
        <f t="shared" si="17"/>
        <v>OK</v>
      </c>
      <c r="AY105" s="13" t="str">
        <f t="shared" si="18"/>
        <v>OK</v>
      </c>
      <c r="AZ105">
        <f t="shared" si="19"/>
        <v>-22.423568828493028</v>
      </c>
    </row>
    <row r="106" spans="2:52" x14ac:dyDescent="0.3">
      <c r="B106" t="s">
        <v>473</v>
      </c>
      <c r="C106" t="s">
        <v>537</v>
      </c>
      <c r="D106" t="s">
        <v>538</v>
      </c>
      <c r="E106" t="s">
        <v>539</v>
      </c>
      <c r="F106" t="s">
        <v>70</v>
      </c>
      <c r="G106" t="s">
        <v>47</v>
      </c>
      <c r="H106" t="s">
        <v>48</v>
      </c>
      <c r="I106" t="s">
        <v>76</v>
      </c>
      <c r="J106" t="s">
        <v>50</v>
      </c>
      <c r="K106" t="s">
        <v>51</v>
      </c>
      <c r="L106" t="s">
        <v>51</v>
      </c>
      <c r="M106" s="11" t="s">
        <v>134</v>
      </c>
      <c r="N106" t="s">
        <v>540</v>
      </c>
      <c r="O106" s="11" t="str">
        <f t="shared" si="10"/>
        <v>OK</v>
      </c>
      <c r="P106" t="s">
        <v>51</v>
      </c>
      <c r="Q106" t="s">
        <v>54</v>
      </c>
      <c r="R106" t="s">
        <v>51</v>
      </c>
      <c r="S106" t="s">
        <v>541</v>
      </c>
      <c r="T106" s="1">
        <v>3443022.26</v>
      </c>
      <c r="U106" s="1">
        <v>2669788.5699999998</v>
      </c>
      <c r="V106" s="13" t="str">
        <f t="shared" si="11"/>
        <v>OK</v>
      </c>
      <c r="W106" s="1">
        <v>19461684.27</v>
      </c>
      <c r="X106" s="1">
        <v>0</v>
      </c>
      <c r="Y106" t="s">
        <v>51</v>
      </c>
      <c r="Z106">
        <v>328428.32</v>
      </c>
      <c r="AA106">
        <v>0</v>
      </c>
      <c r="AB106">
        <v>0</v>
      </c>
      <c r="AC106">
        <v>62664207.670000002</v>
      </c>
      <c r="AD106" s="13" t="str">
        <f t="shared" si="12"/>
        <v>OK</v>
      </c>
      <c r="AE106">
        <v>133119686.19</v>
      </c>
      <c r="AF106">
        <v>0</v>
      </c>
      <c r="AG106">
        <v>0</v>
      </c>
      <c r="AH106">
        <v>3673590.97</v>
      </c>
      <c r="AI106" s="14">
        <v>2609145.86</v>
      </c>
      <c r="AJ106" s="13" t="str">
        <f t="shared" si="13"/>
        <v>INDÍCIO DE DEPENDÊNCIA POR SUBVENÇÃO</v>
      </c>
      <c r="AK106">
        <v>0</v>
      </c>
      <c r="AL106" s="14">
        <v>0</v>
      </c>
      <c r="AM106">
        <v>50000000</v>
      </c>
      <c r="AN106">
        <v>50000000</v>
      </c>
      <c r="AO106">
        <v>100000000</v>
      </c>
      <c r="AP106">
        <v>100000000</v>
      </c>
      <c r="AQ106" s="15">
        <f t="shared" si="14"/>
        <v>0</v>
      </c>
      <c r="AR106">
        <v>25782441.329999998</v>
      </c>
      <c r="AS106">
        <v>33033564.84</v>
      </c>
      <c r="AT106">
        <v>32978837.289999999</v>
      </c>
      <c r="AU106">
        <v>49945272.450000003</v>
      </c>
      <c r="AV106" s="16">
        <f t="shared" si="15"/>
        <v>57196395.960000008</v>
      </c>
      <c r="AW106" s="13" t="str">
        <f t="shared" si="16"/>
        <v>SIM</v>
      </c>
      <c r="AX106" s="13" t="str">
        <f t="shared" si="17"/>
        <v>VER CAPITAL</v>
      </c>
      <c r="AY106" s="13" t="str">
        <f t="shared" si="18"/>
        <v>OK</v>
      </c>
      <c r="AZ106">
        <f t="shared" si="19"/>
        <v>47.073584278556808</v>
      </c>
    </row>
    <row r="107" spans="2:52" x14ac:dyDescent="0.3">
      <c r="B107" t="s">
        <v>473</v>
      </c>
      <c r="C107" t="s">
        <v>542</v>
      </c>
      <c r="D107" t="s">
        <v>543</v>
      </c>
      <c r="E107" t="s">
        <v>544</v>
      </c>
      <c r="F107" t="s">
        <v>46</v>
      </c>
      <c r="G107" t="s">
        <v>107</v>
      </c>
      <c r="H107" t="s">
        <v>60</v>
      </c>
      <c r="I107" t="s">
        <v>49</v>
      </c>
      <c r="J107" t="s">
        <v>373</v>
      </c>
      <c r="K107" t="s">
        <v>51</v>
      </c>
      <c r="L107" t="s">
        <v>51</v>
      </c>
      <c r="M107" t="s">
        <v>134</v>
      </c>
      <c r="N107" t="s">
        <v>545</v>
      </c>
      <c r="O107" s="11" t="str">
        <f t="shared" si="10"/>
        <v>OK</v>
      </c>
      <c r="P107" t="s">
        <v>54</v>
      </c>
      <c r="Q107" t="s">
        <v>54</v>
      </c>
      <c r="R107" t="s">
        <v>54</v>
      </c>
      <c r="S107" t="s">
        <v>546</v>
      </c>
      <c r="T107" s="1">
        <v>3305043552</v>
      </c>
      <c r="U107" s="1">
        <v>1414948617.8900001</v>
      </c>
      <c r="V107" s="13" t="str">
        <f t="shared" si="11"/>
        <v>OK</v>
      </c>
      <c r="W107" s="1">
        <v>2683449696.8600001</v>
      </c>
      <c r="X107" s="1">
        <v>782274567.00999999</v>
      </c>
      <c r="Y107" t="s">
        <v>54</v>
      </c>
      <c r="Z107">
        <v>1197751.1299999999</v>
      </c>
      <c r="AA107">
        <v>19993.62</v>
      </c>
      <c r="AB107">
        <v>0</v>
      </c>
      <c r="AC107">
        <v>621593855.36000001</v>
      </c>
      <c r="AD107" s="13" t="str">
        <f t="shared" si="12"/>
        <v>OK</v>
      </c>
      <c r="AE107">
        <v>4596364117</v>
      </c>
      <c r="AF107">
        <v>0</v>
      </c>
      <c r="AG107">
        <v>92785355.310000002</v>
      </c>
      <c r="AH107">
        <v>0</v>
      </c>
      <c r="AI107">
        <v>0</v>
      </c>
      <c r="AJ107" s="13" t="str">
        <f t="shared" si="13"/>
        <v>OK</v>
      </c>
      <c r="AK107">
        <v>0</v>
      </c>
      <c r="AL107">
        <v>0</v>
      </c>
      <c r="AM107">
        <v>0</v>
      </c>
      <c r="AN107">
        <v>0</v>
      </c>
      <c r="AO107">
        <v>1691128170.3399999</v>
      </c>
      <c r="AP107">
        <v>1691128170.3399999</v>
      </c>
      <c r="AQ107" s="15">
        <f t="shared" si="14"/>
        <v>0</v>
      </c>
      <c r="AR107">
        <v>2515546367.7600002</v>
      </c>
      <c r="AS107">
        <v>2515546367.7600002</v>
      </c>
      <c r="AT107">
        <v>0</v>
      </c>
      <c r="AU107">
        <v>0</v>
      </c>
      <c r="AV107" s="16">
        <f t="shared" si="15"/>
        <v>0</v>
      </c>
      <c r="AW107" s="13" t="str">
        <f t="shared" si="16"/>
        <v>NÃO</v>
      </c>
      <c r="AX107" s="13" t="str">
        <f t="shared" si="17"/>
        <v>OK</v>
      </c>
      <c r="AY107" s="13" t="str">
        <f t="shared" si="18"/>
        <v>OK</v>
      </c>
      <c r="AZ107">
        <f t="shared" si="19"/>
        <v>13.523599078258142</v>
      </c>
    </row>
    <row r="108" spans="2:52" x14ac:dyDescent="0.3">
      <c r="B108" t="s">
        <v>547</v>
      </c>
      <c r="C108" t="s">
        <v>548</v>
      </c>
      <c r="D108" t="s">
        <v>549</v>
      </c>
      <c r="E108" t="s">
        <v>550</v>
      </c>
      <c r="F108" t="s">
        <v>46</v>
      </c>
      <c r="G108" t="s">
        <v>107</v>
      </c>
      <c r="H108" t="s">
        <v>60</v>
      </c>
      <c r="I108" t="s">
        <v>76</v>
      </c>
      <c r="J108" t="s">
        <v>50</v>
      </c>
      <c r="K108" t="s">
        <v>51</v>
      </c>
      <c r="L108" t="s">
        <v>51</v>
      </c>
      <c r="M108" t="s">
        <v>134</v>
      </c>
      <c r="N108" t="s">
        <v>551</v>
      </c>
      <c r="O108" s="11" t="str">
        <f t="shared" si="10"/>
        <v>OK</v>
      </c>
      <c r="P108" t="s">
        <v>54</v>
      </c>
      <c r="Q108" t="s">
        <v>54</v>
      </c>
      <c r="R108" t="s">
        <v>54</v>
      </c>
      <c r="S108" t="s">
        <v>552</v>
      </c>
      <c r="T108" s="1">
        <v>628962559.91999996</v>
      </c>
      <c r="U108" s="1">
        <v>502653429.12</v>
      </c>
      <c r="V108" s="13" t="str">
        <f t="shared" si="11"/>
        <v>OK</v>
      </c>
      <c r="W108" s="1">
        <v>1396873358.99</v>
      </c>
      <c r="X108" s="1">
        <v>44331819.740000002</v>
      </c>
      <c r="Y108" t="s">
        <v>51</v>
      </c>
      <c r="Z108">
        <v>38654.370000000003</v>
      </c>
      <c r="AA108">
        <v>0</v>
      </c>
      <c r="AB108">
        <v>0</v>
      </c>
      <c r="AC108">
        <v>-422274077.95999998</v>
      </c>
      <c r="AD108" s="13" t="str">
        <f t="shared" si="12"/>
        <v>OK</v>
      </c>
      <c r="AE108">
        <v>4588844439.5</v>
      </c>
      <c r="AF108">
        <v>0</v>
      </c>
      <c r="AG108">
        <v>0</v>
      </c>
      <c r="AH108">
        <v>0</v>
      </c>
      <c r="AI108">
        <v>0</v>
      </c>
      <c r="AJ108" s="13" t="str">
        <f t="shared" si="13"/>
        <v>OK</v>
      </c>
      <c r="AK108">
        <v>0</v>
      </c>
      <c r="AL108">
        <v>0</v>
      </c>
      <c r="AM108">
        <v>137950485.71000001</v>
      </c>
      <c r="AN108">
        <v>143586647.40000001</v>
      </c>
      <c r="AO108">
        <v>2249482402</v>
      </c>
      <c r="AP108">
        <v>2545601412.8899999</v>
      </c>
      <c r="AQ108" s="15">
        <f t="shared" si="14"/>
        <v>296119010.88999987</v>
      </c>
      <c r="AR108">
        <v>2249482402</v>
      </c>
      <c r="AS108">
        <v>2545601412.8899999</v>
      </c>
      <c r="AT108">
        <v>296119010.23000002</v>
      </c>
      <c r="AU108">
        <v>143586647.40000001</v>
      </c>
      <c r="AV108" s="16">
        <f t="shared" si="15"/>
        <v>439705658.28999984</v>
      </c>
      <c r="AW108" s="13" t="str">
        <f t="shared" si="16"/>
        <v>SIM</v>
      </c>
      <c r="AX108" s="13" t="str">
        <f t="shared" si="17"/>
        <v>VER CAPITAL</v>
      </c>
      <c r="AY108" s="13" t="str">
        <f t="shared" si="18"/>
        <v>OK</v>
      </c>
      <c r="AZ108">
        <f t="shared" si="19"/>
        <v>-9.2021876864061003</v>
      </c>
    </row>
    <row r="109" spans="2:52" x14ac:dyDescent="0.3">
      <c r="B109" t="s">
        <v>547</v>
      </c>
      <c r="C109" t="s">
        <v>553</v>
      </c>
      <c r="D109" t="s">
        <v>554</v>
      </c>
      <c r="E109" t="s">
        <v>555</v>
      </c>
      <c r="F109" t="s">
        <v>46</v>
      </c>
      <c r="G109" t="s">
        <v>314</v>
      </c>
      <c r="H109" t="s">
        <v>48</v>
      </c>
      <c r="I109" t="s">
        <v>76</v>
      </c>
      <c r="J109" t="s">
        <v>50</v>
      </c>
      <c r="K109" t="s">
        <v>51</v>
      </c>
      <c r="L109" t="s">
        <v>51</v>
      </c>
      <c r="M109" t="s">
        <v>134</v>
      </c>
      <c r="N109" t="s">
        <v>556</v>
      </c>
      <c r="O109" s="11" t="str">
        <f t="shared" si="10"/>
        <v>OK</v>
      </c>
      <c r="P109" t="s">
        <v>54</v>
      </c>
      <c r="Q109" t="s">
        <v>54</v>
      </c>
      <c r="R109" t="s">
        <v>54</v>
      </c>
      <c r="S109" t="s">
        <v>557</v>
      </c>
      <c r="T109" s="1">
        <v>426934396.68000001</v>
      </c>
      <c r="U109" s="1">
        <v>118005030.55</v>
      </c>
      <c r="V109" s="13" t="str">
        <f t="shared" si="11"/>
        <v>OK</v>
      </c>
      <c r="W109" s="1">
        <v>303985185</v>
      </c>
      <c r="X109" s="1">
        <v>136340021.81</v>
      </c>
      <c r="Y109" t="s">
        <v>54</v>
      </c>
      <c r="Z109">
        <v>936063.44</v>
      </c>
      <c r="AA109">
        <v>205789.96</v>
      </c>
      <c r="AB109">
        <v>195012.25</v>
      </c>
      <c r="AC109">
        <v>85242915.689999998</v>
      </c>
      <c r="AD109" s="13" t="str">
        <f t="shared" si="12"/>
        <v>OK</v>
      </c>
      <c r="AE109">
        <v>960599571.83000004</v>
      </c>
      <c r="AF109">
        <v>0</v>
      </c>
      <c r="AG109">
        <v>0</v>
      </c>
      <c r="AH109">
        <v>0</v>
      </c>
      <c r="AI109">
        <v>0</v>
      </c>
      <c r="AJ109" s="13" t="str">
        <f t="shared" si="13"/>
        <v>OK</v>
      </c>
      <c r="AK109">
        <v>0</v>
      </c>
      <c r="AL109">
        <v>0</v>
      </c>
      <c r="AM109">
        <v>0</v>
      </c>
      <c r="AN109">
        <v>0</v>
      </c>
      <c r="AO109">
        <v>375668391</v>
      </c>
      <c r="AP109">
        <v>375668391</v>
      </c>
      <c r="AQ109" s="15">
        <f t="shared" si="14"/>
        <v>0</v>
      </c>
      <c r="AR109">
        <v>370668392</v>
      </c>
      <c r="AS109">
        <v>370668392</v>
      </c>
      <c r="AT109">
        <v>5000000</v>
      </c>
      <c r="AU109">
        <v>5000000</v>
      </c>
      <c r="AV109" s="16">
        <f t="shared" si="15"/>
        <v>5000000</v>
      </c>
      <c r="AW109" s="13" t="str">
        <f t="shared" si="16"/>
        <v>SIM</v>
      </c>
      <c r="AX109" s="13" t="str">
        <f t="shared" si="17"/>
        <v>OK</v>
      </c>
      <c r="AY109" s="13" t="str">
        <f t="shared" si="18"/>
        <v>OK</v>
      </c>
      <c r="AZ109">
        <f t="shared" si="19"/>
        <v>8.8739281371536638</v>
      </c>
    </row>
    <row r="110" spans="2:52" x14ac:dyDescent="0.3">
      <c r="B110" t="s">
        <v>547</v>
      </c>
      <c r="C110" t="s">
        <v>558</v>
      </c>
      <c r="D110" t="s">
        <v>559</v>
      </c>
      <c r="E110" t="s">
        <v>560</v>
      </c>
      <c r="F110" t="s">
        <v>46</v>
      </c>
      <c r="G110" t="s">
        <v>121</v>
      </c>
      <c r="H110" t="s">
        <v>48</v>
      </c>
      <c r="I110" t="s">
        <v>76</v>
      </c>
      <c r="J110" t="s">
        <v>50</v>
      </c>
      <c r="K110" t="s">
        <v>51</v>
      </c>
      <c r="L110" t="s">
        <v>51</v>
      </c>
      <c r="M110" t="s">
        <v>134</v>
      </c>
      <c r="N110" t="s">
        <v>561</v>
      </c>
      <c r="O110" s="11" t="str">
        <f t="shared" si="10"/>
        <v>OK</v>
      </c>
      <c r="P110" t="s">
        <v>54</v>
      </c>
      <c r="Q110" t="s">
        <v>54</v>
      </c>
      <c r="R110" t="s">
        <v>54</v>
      </c>
      <c r="S110" t="s">
        <v>562</v>
      </c>
      <c r="T110" s="1">
        <v>2203307241.9000001</v>
      </c>
      <c r="U110" s="1">
        <v>930032581.67999995</v>
      </c>
      <c r="V110" s="13" t="str">
        <f t="shared" si="11"/>
        <v>OK</v>
      </c>
      <c r="W110" s="1">
        <v>2297526690.8400002</v>
      </c>
      <c r="X110" s="1">
        <v>1982224.1</v>
      </c>
      <c r="Y110" t="s">
        <v>51</v>
      </c>
      <c r="Z110">
        <v>357403.74</v>
      </c>
      <c r="AA110">
        <v>0</v>
      </c>
      <c r="AB110">
        <v>0</v>
      </c>
      <c r="AC110">
        <v>-89943597.790000007</v>
      </c>
      <c r="AD110" s="13" t="str">
        <f t="shared" si="12"/>
        <v>OK</v>
      </c>
      <c r="AE110">
        <v>682843299.20000005</v>
      </c>
      <c r="AF110">
        <v>0</v>
      </c>
      <c r="AG110">
        <v>0</v>
      </c>
      <c r="AH110">
        <v>0</v>
      </c>
      <c r="AI110">
        <v>0</v>
      </c>
      <c r="AJ110" s="13" t="str">
        <f t="shared" si="13"/>
        <v>OK</v>
      </c>
      <c r="AK110">
        <v>0</v>
      </c>
      <c r="AL110">
        <v>0</v>
      </c>
      <c r="AM110">
        <v>0</v>
      </c>
      <c r="AN110">
        <v>0</v>
      </c>
      <c r="AO110">
        <v>1000000</v>
      </c>
      <c r="AP110">
        <v>1000000</v>
      </c>
      <c r="AQ110" s="15">
        <f t="shared" si="14"/>
        <v>0</v>
      </c>
      <c r="AR110">
        <v>1000000</v>
      </c>
      <c r="AS110">
        <v>1000000</v>
      </c>
      <c r="AT110">
        <v>0</v>
      </c>
      <c r="AU110">
        <v>0</v>
      </c>
      <c r="AV110" s="16">
        <f t="shared" si="15"/>
        <v>0</v>
      </c>
      <c r="AW110" s="13" t="str">
        <f t="shared" si="16"/>
        <v>NÃO</v>
      </c>
      <c r="AX110" s="13" t="str">
        <f t="shared" si="17"/>
        <v>OK</v>
      </c>
      <c r="AY110" s="13" t="str">
        <f t="shared" si="18"/>
        <v>OK</v>
      </c>
      <c r="AZ110">
        <f t="shared" si="19"/>
        <v>-13.171923616351714</v>
      </c>
    </row>
    <row r="111" spans="2:52" x14ac:dyDescent="0.3">
      <c r="B111" t="s">
        <v>547</v>
      </c>
      <c r="C111" t="s">
        <v>563</v>
      </c>
      <c r="D111" t="s">
        <v>564</v>
      </c>
      <c r="E111" t="s">
        <v>565</v>
      </c>
      <c r="F111" t="s">
        <v>46</v>
      </c>
      <c r="G111" t="s">
        <v>139</v>
      </c>
      <c r="H111" t="s">
        <v>60</v>
      </c>
      <c r="I111" t="s">
        <v>49</v>
      </c>
      <c r="J111" t="s">
        <v>50</v>
      </c>
      <c r="K111" t="s">
        <v>51</v>
      </c>
      <c r="L111" t="s">
        <v>51</v>
      </c>
      <c r="M111" t="s">
        <v>134</v>
      </c>
      <c r="N111" t="s">
        <v>566</v>
      </c>
      <c r="O111" s="11" t="str">
        <f t="shared" si="10"/>
        <v>OK</v>
      </c>
      <c r="P111" t="s">
        <v>54</v>
      </c>
      <c r="Q111" t="s">
        <v>54</v>
      </c>
      <c r="R111" t="s">
        <v>51</v>
      </c>
      <c r="S111" t="s">
        <v>567</v>
      </c>
      <c r="T111" s="1">
        <v>98778097.939999998</v>
      </c>
      <c r="U111" s="1">
        <v>6263172.9800000004</v>
      </c>
      <c r="V111" s="13" t="str">
        <f t="shared" si="11"/>
        <v>OK</v>
      </c>
      <c r="W111" s="1">
        <v>65276059.329999998</v>
      </c>
      <c r="X111" s="1">
        <v>53078051.32</v>
      </c>
      <c r="Y111" t="s">
        <v>54</v>
      </c>
      <c r="Z111">
        <v>304971.12</v>
      </c>
      <c r="AA111">
        <v>105724.21</v>
      </c>
      <c r="AB111">
        <v>9764.5</v>
      </c>
      <c r="AC111">
        <v>24465519.670000002</v>
      </c>
      <c r="AD111" s="13" t="str">
        <f t="shared" si="12"/>
        <v>OK</v>
      </c>
      <c r="AE111">
        <v>7920000</v>
      </c>
      <c r="AF111">
        <v>0</v>
      </c>
      <c r="AG111">
        <v>1349754.6</v>
      </c>
      <c r="AH111">
        <v>0</v>
      </c>
      <c r="AI111">
        <v>0</v>
      </c>
      <c r="AJ111" s="13" t="str">
        <f t="shared" si="13"/>
        <v>OK</v>
      </c>
      <c r="AK111">
        <v>0</v>
      </c>
      <c r="AL111">
        <v>0</v>
      </c>
      <c r="AM111">
        <v>0</v>
      </c>
      <c r="AN111">
        <v>0</v>
      </c>
      <c r="AO111">
        <v>593999</v>
      </c>
      <c r="AP111">
        <v>593999</v>
      </c>
      <c r="AQ111" s="15">
        <f t="shared" si="14"/>
        <v>0</v>
      </c>
      <c r="AR111">
        <v>2020000</v>
      </c>
      <c r="AS111">
        <v>2020000</v>
      </c>
      <c r="AT111">
        <v>0</v>
      </c>
      <c r="AU111">
        <v>0</v>
      </c>
      <c r="AV111" s="16">
        <f t="shared" si="15"/>
        <v>0</v>
      </c>
      <c r="AW111" s="13" t="str">
        <f t="shared" si="16"/>
        <v>NÃO</v>
      </c>
      <c r="AX111" s="13" t="str">
        <f t="shared" si="17"/>
        <v>OK</v>
      </c>
      <c r="AY111" s="13" t="str">
        <f t="shared" si="18"/>
        <v>OK</v>
      </c>
      <c r="AZ111">
        <f t="shared" si="19"/>
        <v>308.90807664141414</v>
      </c>
    </row>
    <row r="112" spans="2:52" x14ac:dyDescent="0.3">
      <c r="B112" t="s">
        <v>547</v>
      </c>
      <c r="C112" t="s">
        <v>568</v>
      </c>
      <c r="D112" t="s">
        <v>569</v>
      </c>
      <c r="E112" t="s">
        <v>570</v>
      </c>
      <c r="F112" t="s">
        <v>46</v>
      </c>
      <c r="G112" t="s">
        <v>133</v>
      </c>
      <c r="H112" t="s">
        <v>60</v>
      </c>
      <c r="I112" t="s">
        <v>49</v>
      </c>
      <c r="J112" t="s">
        <v>50</v>
      </c>
      <c r="K112" t="s">
        <v>51</v>
      </c>
      <c r="L112" t="s">
        <v>51</v>
      </c>
      <c r="M112" t="s">
        <v>134</v>
      </c>
      <c r="N112" t="s">
        <v>571</v>
      </c>
      <c r="O112" s="11" t="str">
        <f t="shared" si="10"/>
        <v>OK</v>
      </c>
      <c r="P112" t="s">
        <v>54</v>
      </c>
      <c r="Q112" t="s">
        <v>54</v>
      </c>
      <c r="R112" t="s">
        <v>51</v>
      </c>
      <c r="S112" t="s">
        <v>572</v>
      </c>
      <c r="T112" s="1">
        <v>3235353.69</v>
      </c>
      <c r="U112" s="1">
        <v>38374674.399999999</v>
      </c>
      <c r="V112" s="13" t="str">
        <f t="shared" si="11"/>
        <v>OK</v>
      </c>
      <c r="W112" s="1">
        <v>64317590.960000001</v>
      </c>
      <c r="X112" s="1">
        <v>0</v>
      </c>
      <c r="Y112" t="s">
        <v>51</v>
      </c>
      <c r="Z112">
        <v>566196.54</v>
      </c>
      <c r="AA112">
        <v>0</v>
      </c>
      <c r="AB112">
        <v>0</v>
      </c>
      <c r="AC112">
        <v>-59216926.920000002</v>
      </c>
      <c r="AD112" s="13" t="str">
        <f t="shared" si="12"/>
        <v>OK</v>
      </c>
      <c r="AE112">
        <v>57554594.789999999</v>
      </c>
      <c r="AF112">
        <v>0</v>
      </c>
      <c r="AG112">
        <v>0</v>
      </c>
      <c r="AH112">
        <v>0</v>
      </c>
      <c r="AI112">
        <v>0</v>
      </c>
      <c r="AJ112" s="13" t="str">
        <f t="shared" si="13"/>
        <v>OK</v>
      </c>
      <c r="AK112">
        <v>0</v>
      </c>
      <c r="AL112">
        <v>0</v>
      </c>
      <c r="AM112">
        <v>0</v>
      </c>
      <c r="AN112">
        <v>0</v>
      </c>
      <c r="AO112">
        <v>2532640561</v>
      </c>
      <c r="AP112">
        <v>2532640561</v>
      </c>
      <c r="AQ112" s="15">
        <f t="shared" si="14"/>
        <v>0</v>
      </c>
      <c r="AR112">
        <v>67806094.379999995</v>
      </c>
      <c r="AS112">
        <v>58282518.840000004</v>
      </c>
      <c r="AT112">
        <v>58282518.840000004</v>
      </c>
      <c r="AU112">
        <v>57233360.289999999</v>
      </c>
      <c r="AV112" s="16">
        <f t="shared" si="15"/>
        <v>47709784.750000007</v>
      </c>
      <c r="AW112" s="13" t="str">
        <f t="shared" si="16"/>
        <v>SIM</v>
      </c>
      <c r="AX112" s="13" t="str">
        <f t="shared" si="17"/>
        <v>OK</v>
      </c>
      <c r="AY112" s="13" t="str">
        <f t="shared" si="18"/>
        <v>OK</v>
      </c>
      <c r="AZ112">
        <f t="shared" si="19"/>
        <v>-102.88827006091411</v>
      </c>
    </row>
    <row r="113" spans="2:52" x14ac:dyDescent="0.3">
      <c r="B113" t="s">
        <v>573</v>
      </c>
      <c r="C113" t="s">
        <v>589</v>
      </c>
      <c r="D113" t="s">
        <v>590</v>
      </c>
      <c r="E113" t="s">
        <v>591</v>
      </c>
      <c r="F113" t="s">
        <v>46</v>
      </c>
      <c r="G113" t="s">
        <v>71</v>
      </c>
      <c r="H113" t="s">
        <v>48</v>
      </c>
      <c r="I113" t="s">
        <v>49</v>
      </c>
      <c r="J113" t="s">
        <v>50</v>
      </c>
      <c r="K113" t="s">
        <v>51</v>
      </c>
      <c r="L113" t="s">
        <v>51</v>
      </c>
      <c r="M113" t="s">
        <v>134</v>
      </c>
      <c r="N113" t="s">
        <v>592</v>
      </c>
      <c r="O113" s="11" t="str">
        <f t="shared" si="10"/>
        <v>OK</v>
      </c>
      <c r="P113" t="s">
        <v>54</v>
      </c>
      <c r="Q113" t="s">
        <v>54</v>
      </c>
      <c r="R113" t="s">
        <v>54</v>
      </c>
      <c r="S113" t="s">
        <v>593</v>
      </c>
      <c r="T113" s="1">
        <v>1276045256.6099999</v>
      </c>
      <c r="U113" s="1">
        <v>207437223.37</v>
      </c>
      <c r="V113" s="13" t="str">
        <f t="shared" si="11"/>
        <v>OK</v>
      </c>
      <c r="W113" s="1">
        <v>2117606856.6600001</v>
      </c>
      <c r="X113" s="1">
        <v>21622577.300000001</v>
      </c>
      <c r="Y113" t="s">
        <v>54</v>
      </c>
      <c r="Z113">
        <v>600253</v>
      </c>
      <c r="AA113">
        <v>25421.41</v>
      </c>
      <c r="AB113">
        <v>0</v>
      </c>
      <c r="AC113">
        <v>134545295.59999999</v>
      </c>
      <c r="AD113" s="13" t="str">
        <f t="shared" si="12"/>
        <v>OK</v>
      </c>
      <c r="AE113">
        <v>2263664144.6500001</v>
      </c>
      <c r="AF113">
        <v>0</v>
      </c>
      <c r="AG113">
        <v>69436124.189999998</v>
      </c>
      <c r="AH113">
        <v>0</v>
      </c>
      <c r="AI113">
        <v>0</v>
      </c>
      <c r="AJ113" s="13" t="str">
        <f t="shared" si="13"/>
        <v>OK</v>
      </c>
      <c r="AK113">
        <v>0</v>
      </c>
      <c r="AL113">
        <v>0</v>
      </c>
      <c r="AM113">
        <v>0</v>
      </c>
      <c r="AN113">
        <v>0</v>
      </c>
      <c r="AO113">
        <v>74173276182</v>
      </c>
      <c r="AP113">
        <v>76668991052</v>
      </c>
      <c r="AQ113" s="15">
        <f t="shared" si="14"/>
        <v>2495714870</v>
      </c>
      <c r="AR113">
        <v>2199586881.8299999</v>
      </c>
      <c r="AS113">
        <v>2296855999.6300001</v>
      </c>
      <c r="AT113">
        <v>0</v>
      </c>
      <c r="AU113">
        <v>0</v>
      </c>
      <c r="AV113" s="16">
        <f t="shared" si="15"/>
        <v>97269117.800000191</v>
      </c>
      <c r="AW113" s="13" t="str">
        <f t="shared" si="16"/>
        <v>SIM</v>
      </c>
      <c r="AX113" s="13" t="str">
        <f t="shared" si="17"/>
        <v>OK</v>
      </c>
      <c r="AY113" s="13" t="str">
        <f t="shared" si="18"/>
        <v>OK</v>
      </c>
      <c r="AZ113">
        <f t="shared" si="19"/>
        <v>5.9436951333079904</v>
      </c>
    </row>
    <row r="114" spans="2:52" x14ac:dyDescent="0.3">
      <c r="B114" t="s">
        <v>573</v>
      </c>
      <c r="C114" t="s">
        <v>594</v>
      </c>
      <c r="D114" t="s">
        <v>595</v>
      </c>
      <c r="E114" t="s">
        <v>596</v>
      </c>
      <c r="F114" t="s">
        <v>46</v>
      </c>
      <c r="G114" t="s">
        <v>409</v>
      </c>
      <c r="H114" t="s">
        <v>60</v>
      </c>
      <c r="I114" t="s">
        <v>49</v>
      </c>
      <c r="J114" t="s">
        <v>373</v>
      </c>
      <c r="K114" t="s">
        <v>54</v>
      </c>
      <c r="L114" t="s">
        <v>51</v>
      </c>
      <c r="M114" t="s">
        <v>134</v>
      </c>
      <c r="N114" t="s">
        <v>597</v>
      </c>
      <c r="O114" s="11" t="str">
        <f t="shared" si="10"/>
        <v>OK</v>
      </c>
      <c r="P114" t="s">
        <v>54</v>
      </c>
      <c r="Q114" t="s">
        <v>54</v>
      </c>
      <c r="R114" t="s">
        <v>54</v>
      </c>
      <c r="S114" t="s">
        <v>598</v>
      </c>
      <c r="T114" s="1">
        <v>39819620000</v>
      </c>
      <c r="U114" s="1">
        <v>5695982000</v>
      </c>
      <c r="V114" s="13" t="str">
        <f t="shared" si="11"/>
        <v>OK</v>
      </c>
      <c r="W114" s="1">
        <v>30165402000</v>
      </c>
      <c r="X114" s="1">
        <v>5713680000</v>
      </c>
      <c r="Y114" t="s">
        <v>54</v>
      </c>
      <c r="Z114">
        <v>1760465.45</v>
      </c>
      <c r="AA114">
        <v>1679119</v>
      </c>
      <c r="AB114">
        <v>0</v>
      </c>
      <c r="AC114">
        <v>7119287000</v>
      </c>
      <c r="AD114" s="13" t="str">
        <f t="shared" si="12"/>
        <v>OK</v>
      </c>
      <c r="AE114">
        <v>27383079000</v>
      </c>
      <c r="AF114">
        <v>35145544000</v>
      </c>
      <c r="AG114">
        <v>774546699.61000001</v>
      </c>
      <c r="AH114">
        <v>0</v>
      </c>
      <c r="AI114">
        <v>0</v>
      </c>
      <c r="AJ114" s="13" t="str">
        <f t="shared" si="13"/>
        <v>OK</v>
      </c>
      <c r="AK114">
        <v>0</v>
      </c>
      <c r="AL114">
        <v>0</v>
      </c>
      <c r="AM114">
        <v>0</v>
      </c>
      <c r="AN114">
        <v>0</v>
      </c>
      <c r="AO114">
        <v>375048387</v>
      </c>
      <c r="AP114">
        <v>487562874</v>
      </c>
      <c r="AQ114" s="15">
        <f t="shared" si="14"/>
        <v>112514487</v>
      </c>
      <c r="AR114">
        <v>11006853000</v>
      </c>
      <c r="AS114">
        <v>14308909000</v>
      </c>
      <c r="AT114">
        <v>0</v>
      </c>
      <c r="AU114">
        <v>0</v>
      </c>
      <c r="AV114" s="16">
        <f t="shared" si="15"/>
        <v>3302056000</v>
      </c>
      <c r="AW114" s="13" t="str">
        <f t="shared" si="16"/>
        <v>SIM</v>
      </c>
      <c r="AX114" s="13" t="str">
        <f t="shared" si="17"/>
        <v>OK</v>
      </c>
      <c r="AY114" s="13" t="str">
        <f t="shared" si="18"/>
        <v>OK</v>
      </c>
      <c r="AZ114">
        <f t="shared" si="19"/>
        <v>25.998854986322026</v>
      </c>
    </row>
    <row r="115" spans="2:52" x14ac:dyDescent="0.3">
      <c r="B115" t="s">
        <v>573</v>
      </c>
      <c r="C115" t="s">
        <v>599</v>
      </c>
      <c r="D115" t="s">
        <v>600</v>
      </c>
      <c r="E115" t="s">
        <v>601</v>
      </c>
      <c r="F115" t="s">
        <v>46</v>
      </c>
      <c r="G115" t="s">
        <v>65</v>
      </c>
      <c r="H115" t="s">
        <v>48</v>
      </c>
      <c r="I115" t="s">
        <v>49</v>
      </c>
      <c r="J115" t="s">
        <v>50</v>
      </c>
      <c r="K115" t="s">
        <v>51</v>
      </c>
      <c r="L115" t="s">
        <v>51</v>
      </c>
      <c r="M115" t="s">
        <v>134</v>
      </c>
      <c r="N115" t="s">
        <v>602</v>
      </c>
      <c r="O115" s="11" t="str">
        <f t="shared" si="10"/>
        <v>OK</v>
      </c>
      <c r="P115" t="s">
        <v>54</v>
      </c>
      <c r="Q115" t="s">
        <v>54</v>
      </c>
      <c r="R115" t="s">
        <v>54</v>
      </c>
      <c r="S115" t="s">
        <v>603</v>
      </c>
      <c r="T115" s="1">
        <v>84840815.909999996</v>
      </c>
      <c r="U115" s="1">
        <v>114565231.13</v>
      </c>
      <c r="V115" s="13" t="str">
        <f t="shared" si="11"/>
        <v>OK</v>
      </c>
      <c r="W115" s="1">
        <v>314493546.17000002</v>
      </c>
      <c r="X115" s="1">
        <v>8674651.7100000009</v>
      </c>
      <c r="Y115" t="s">
        <v>54</v>
      </c>
      <c r="Z115">
        <v>952462.04</v>
      </c>
      <c r="AA115">
        <v>102749.33</v>
      </c>
      <c r="AB115">
        <v>0</v>
      </c>
      <c r="AC115">
        <v>891168243.76999998</v>
      </c>
      <c r="AD115" s="13" t="str">
        <f t="shared" si="12"/>
        <v>OK</v>
      </c>
      <c r="AE115">
        <v>2080285686.8199999</v>
      </c>
      <c r="AF115">
        <v>0</v>
      </c>
      <c r="AG115">
        <v>681808320.33000004</v>
      </c>
      <c r="AH115">
        <v>0</v>
      </c>
      <c r="AI115">
        <v>0</v>
      </c>
      <c r="AJ115" s="13" t="str">
        <f t="shared" si="13"/>
        <v>OK</v>
      </c>
      <c r="AK115">
        <v>0</v>
      </c>
      <c r="AL115">
        <v>0</v>
      </c>
      <c r="AM115">
        <v>0</v>
      </c>
      <c r="AN115">
        <v>0</v>
      </c>
      <c r="AO115">
        <v>205219</v>
      </c>
      <c r="AP115">
        <v>205219</v>
      </c>
      <c r="AQ115" s="15">
        <f t="shared" si="14"/>
        <v>0</v>
      </c>
      <c r="AR115">
        <v>574392847.02999997</v>
      </c>
      <c r="AS115">
        <v>546842388.64999998</v>
      </c>
      <c r="AT115">
        <v>0</v>
      </c>
      <c r="AU115">
        <v>0</v>
      </c>
      <c r="AV115" s="16">
        <f t="shared" si="15"/>
        <v>-27550458.379999995</v>
      </c>
      <c r="AW115" s="13" t="str">
        <f t="shared" si="16"/>
        <v>NÃO</v>
      </c>
      <c r="AX115" s="13" t="str">
        <f t="shared" si="17"/>
        <v>OK</v>
      </c>
      <c r="AY115" s="13" t="str">
        <f t="shared" si="18"/>
        <v>OK</v>
      </c>
      <c r="AZ115">
        <f t="shared" si="19"/>
        <v>42.838743227247413</v>
      </c>
    </row>
    <row r="116" spans="2:52" x14ac:dyDescent="0.3">
      <c r="B116" t="s">
        <v>573</v>
      </c>
      <c r="C116" t="s">
        <v>604</v>
      </c>
      <c r="D116" t="s">
        <v>605</v>
      </c>
      <c r="E116" t="s">
        <v>606</v>
      </c>
      <c r="F116" t="s">
        <v>46</v>
      </c>
      <c r="G116" t="s">
        <v>65</v>
      </c>
      <c r="H116" t="s">
        <v>60</v>
      </c>
      <c r="I116" t="s">
        <v>49</v>
      </c>
      <c r="J116" t="s">
        <v>50</v>
      </c>
      <c r="K116" t="s">
        <v>51</v>
      </c>
      <c r="L116" t="s">
        <v>54</v>
      </c>
      <c r="M116" t="s">
        <v>134</v>
      </c>
      <c r="N116" t="s">
        <v>66</v>
      </c>
      <c r="O116" s="11" t="str">
        <f t="shared" si="10"/>
        <v>VERIFICAR</v>
      </c>
      <c r="P116" t="s">
        <v>54</v>
      </c>
      <c r="Q116" t="s">
        <v>54</v>
      </c>
      <c r="R116" t="s">
        <v>54</v>
      </c>
      <c r="S116" t="s">
        <v>607</v>
      </c>
      <c r="T116" s="1">
        <v>1688729531</v>
      </c>
      <c r="U116" s="1">
        <v>7857111.8799999999</v>
      </c>
      <c r="V116" s="13" t="str">
        <f t="shared" si="11"/>
        <v>VERIFICAR</v>
      </c>
      <c r="W116" s="1">
        <v>148753816.25999999</v>
      </c>
      <c r="X116" s="1">
        <v>0</v>
      </c>
      <c r="Y116" t="s">
        <v>51</v>
      </c>
      <c r="Z116">
        <v>0</v>
      </c>
      <c r="AA116">
        <v>0</v>
      </c>
      <c r="AB116">
        <v>0</v>
      </c>
      <c r="AC116">
        <v>1732350393.1800001</v>
      </c>
      <c r="AD116" s="13" t="str">
        <f t="shared" si="12"/>
        <v>OK</v>
      </c>
      <c r="AE116">
        <v>618798417.38999999</v>
      </c>
      <c r="AF116">
        <v>0</v>
      </c>
      <c r="AG116">
        <v>755051997.47000003</v>
      </c>
      <c r="AH116">
        <v>0</v>
      </c>
      <c r="AI116">
        <v>0</v>
      </c>
      <c r="AJ116" s="13" t="str">
        <f t="shared" si="13"/>
        <v>OK</v>
      </c>
      <c r="AK116">
        <v>0</v>
      </c>
      <c r="AL116">
        <v>0</v>
      </c>
      <c r="AM116">
        <v>0</v>
      </c>
      <c r="AN116">
        <v>0</v>
      </c>
      <c r="AO116">
        <v>176825</v>
      </c>
      <c r="AP116">
        <v>176825</v>
      </c>
      <c r="AQ116" s="15">
        <f t="shared" si="14"/>
        <v>0</v>
      </c>
      <c r="AR116">
        <v>5028066.57</v>
      </c>
      <c r="AS116">
        <v>5028066.57</v>
      </c>
      <c r="AT116">
        <v>0</v>
      </c>
      <c r="AU116">
        <v>0</v>
      </c>
      <c r="AV116" s="16">
        <f t="shared" si="15"/>
        <v>0</v>
      </c>
      <c r="AW116" s="13" t="str">
        <f t="shared" si="16"/>
        <v>NÃO</v>
      </c>
      <c r="AX116" s="13" t="str">
        <f t="shared" si="17"/>
        <v>OK</v>
      </c>
      <c r="AY116" s="13" t="str">
        <f t="shared" si="18"/>
        <v>OK</v>
      </c>
      <c r="AZ116">
        <f t="shared" si="19"/>
        <v>279.95391463455854</v>
      </c>
    </row>
    <row r="117" spans="2:52" x14ac:dyDescent="0.3">
      <c r="B117" t="s">
        <v>573</v>
      </c>
      <c r="C117" t="s">
        <v>608</v>
      </c>
      <c r="D117" t="s">
        <v>609</v>
      </c>
      <c r="E117" t="s">
        <v>610</v>
      </c>
      <c r="F117" t="s">
        <v>46</v>
      </c>
      <c r="G117" t="s">
        <v>93</v>
      </c>
      <c r="H117" t="s">
        <v>60</v>
      </c>
      <c r="I117" t="s">
        <v>49</v>
      </c>
      <c r="J117" t="s">
        <v>50</v>
      </c>
      <c r="K117" t="s">
        <v>51</v>
      </c>
      <c r="L117" t="s">
        <v>51</v>
      </c>
      <c r="M117" t="s">
        <v>134</v>
      </c>
      <c r="N117" t="s">
        <v>611</v>
      </c>
      <c r="O117" s="11" t="str">
        <f t="shared" si="10"/>
        <v>OK</v>
      </c>
      <c r="P117" t="s">
        <v>54</v>
      </c>
      <c r="Q117" t="s">
        <v>54</v>
      </c>
      <c r="R117" t="s">
        <v>51</v>
      </c>
      <c r="S117" t="s">
        <v>612</v>
      </c>
      <c r="T117" s="1">
        <v>11724802.5</v>
      </c>
      <c r="U117" s="1">
        <v>42323554.590000004</v>
      </c>
      <c r="V117" s="13" t="str">
        <f t="shared" si="11"/>
        <v>OK</v>
      </c>
      <c r="W117" s="1">
        <v>51909000</v>
      </c>
      <c r="X117" s="1">
        <v>0</v>
      </c>
      <c r="Y117" t="s">
        <v>51</v>
      </c>
      <c r="Z117">
        <v>273888.03999999998</v>
      </c>
      <c r="AA117">
        <v>0</v>
      </c>
      <c r="AB117">
        <v>8073.96</v>
      </c>
      <c r="AC117">
        <v>-45750000</v>
      </c>
      <c r="AD117" s="13" t="str">
        <f t="shared" si="12"/>
        <v>OK</v>
      </c>
      <c r="AE117">
        <v>-345896366.66000003</v>
      </c>
      <c r="AF117">
        <v>0</v>
      </c>
      <c r="AG117">
        <v>0</v>
      </c>
      <c r="AH117">
        <v>0</v>
      </c>
      <c r="AI117">
        <v>0</v>
      </c>
      <c r="AJ117" s="13" t="str">
        <f t="shared" si="13"/>
        <v>OK</v>
      </c>
      <c r="AK117">
        <v>0</v>
      </c>
      <c r="AL117">
        <v>0</v>
      </c>
      <c r="AM117">
        <v>16673866.23</v>
      </c>
      <c r="AN117">
        <v>57860465</v>
      </c>
      <c r="AO117">
        <v>102426784</v>
      </c>
      <c r="AP117">
        <v>160287249</v>
      </c>
      <c r="AQ117" s="15">
        <f t="shared" si="14"/>
        <v>57860465</v>
      </c>
      <c r="AR117">
        <v>102427249.34999999</v>
      </c>
      <c r="AS117">
        <v>160287249.34999999</v>
      </c>
      <c r="AT117">
        <v>127572750.65000001</v>
      </c>
      <c r="AU117">
        <v>69712750.650000006</v>
      </c>
      <c r="AV117" s="16">
        <f t="shared" si="15"/>
        <v>127572750.65000001</v>
      </c>
      <c r="AW117" s="13" t="str">
        <f t="shared" si="16"/>
        <v>SIM</v>
      </c>
      <c r="AX117" s="13" t="str">
        <f t="shared" si="17"/>
        <v>VER CAPITAL</v>
      </c>
      <c r="AY117" s="13" t="str">
        <f t="shared" si="18"/>
        <v>OK</v>
      </c>
      <c r="AZ117">
        <f t="shared" si="19"/>
        <v>13.226504933187146</v>
      </c>
    </row>
    <row r="118" spans="2:52" x14ac:dyDescent="0.3">
      <c r="B118" t="s">
        <v>573</v>
      </c>
      <c r="C118" t="s">
        <v>613</v>
      </c>
      <c r="D118" t="s">
        <v>614</v>
      </c>
      <c r="E118" t="s">
        <v>615</v>
      </c>
      <c r="F118" t="s">
        <v>46</v>
      </c>
      <c r="G118" t="s">
        <v>107</v>
      </c>
      <c r="H118" t="s">
        <v>60</v>
      </c>
      <c r="I118" t="s">
        <v>49</v>
      </c>
      <c r="J118" t="s">
        <v>50</v>
      </c>
      <c r="K118" t="s">
        <v>51</v>
      </c>
      <c r="L118" t="s">
        <v>54</v>
      </c>
      <c r="M118" t="s">
        <v>134</v>
      </c>
      <c r="N118" t="s">
        <v>616</v>
      </c>
      <c r="O118" s="11" t="str">
        <f t="shared" si="10"/>
        <v>OK</v>
      </c>
      <c r="P118" t="s">
        <v>51</v>
      </c>
      <c r="Q118" t="s">
        <v>54</v>
      </c>
      <c r="R118" t="s">
        <v>51</v>
      </c>
      <c r="S118" t="s">
        <v>617</v>
      </c>
      <c r="T118" s="1">
        <v>91549724.530000001</v>
      </c>
      <c r="U118" s="1">
        <v>29245429.199999999</v>
      </c>
      <c r="V118" s="13" t="str">
        <f t="shared" si="11"/>
        <v>OK</v>
      </c>
      <c r="W118" s="1">
        <v>107328046.55</v>
      </c>
      <c r="X118" s="1">
        <v>46049968.920000002</v>
      </c>
      <c r="Y118" t="s">
        <v>51</v>
      </c>
      <c r="Z118">
        <v>112818.8</v>
      </c>
      <c r="AA118">
        <v>0</v>
      </c>
      <c r="AB118">
        <v>809.4</v>
      </c>
      <c r="AC118">
        <v>-9505323.0899999999</v>
      </c>
      <c r="AD118" s="13" t="str">
        <f t="shared" si="12"/>
        <v>OK</v>
      </c>
      <c r="AE118">
        <v>312524386.82999998</v>
      </c>
      <c r="AF118">
        <v>0</v>
      </c>
      <c r="AG118">
        <v>0</v>
      </c>
      <c r="AH118">
        <v>0</v>
      </c>
      <c r="AI118">
        <v>0</v>
      </c>
      <c r="AJ118" s="13" t="str">
        <f t="shared" si="13"/>
        <v>OK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s="15">
        <f t="shared" si="14"/>
        <v>0</v>
      </c>
      <c r="AR118">
        <v>0</v>
      </c>
      <c r="AS118">
        <v>0</v>
      </c>
      <c r="AT118">
        <v>0</v>
      </c>
      <c r="AU118">
        <v>0</v>
      </c>
      <c r="AV118" s="16">
        <f t="shared" si="15"/>
        <v>0</v>
      </c>
      <c r="AW118" s="13" t="str">
        <f t="shared" si="16"/>
        <v>NÃO</v>
      </c>
      <c r="AX118" s="13" t="str">
        <f t="shared" si="17"/>
        <v>OK</v>
      </c>
      <c r="AY118" s="13" t="str">
        <f t="shared" si="18"/>
        <v>OK</v>
      </c>
      <c r="AZ118">
        <f t="shared" si="19"/>
        <v>-3.0414660393111954</v>
      </c>
    </row>
    <row r="119" spans="2:52" x14ac:dyDescent="0.3">
      <c r="B119" t="s">
        <v>573</v>
      </c>
      <c r="C119" t="s">
        <v>618</v>
      </c>
      <c r="D119" t="s">
        <v>619</v>
      </c>
      <c r="E119" t="s">
        <v>620</v>
      </c>
      <c r="F119" t="s">
        <v>46</v>
      </c>
      <c r="G119" t="s">
        <v>107</v>
      </c>
      <c r="H119" t="s">
        <v>60</v>
      </c>
      <c r="I119" t="s">
        <v>49</v>
      </c>
      <c r="J119" t="s">
        <v>373</v>
      </c>
      <c r="K119" t="s">
        <v>54</v>
      </c>
      <c r="L119" t="s">
        <v>51</v>
      </c>
      <c r="M119" t="s">
        <v>134</v>
      </c>
      <c r="N119" t="s">
        <v>621</v>
      </c>
      <c r="O119" s="11" t="str">
        <f t="shared" si="10"/>
        <v>OK</v>
      </c>
      <c r="P119" t="s">
        <v>54</v>
      </c>
      <c r="Q119" t="s">
        <v>54</v>
      </c>
      <c r="R119" t="s">
        <v>54</v>
      </c>
      <c r="S119" t="s">
        <v>622</v>
      </c>
      <c r="T119" s="1">
        <v>7786456648.1000004</v>
      </c>
      <c r="U119" s="1">
        <v>1733868046.7</v>
      </c>
      <c r="V119" s="13" t="str">
        <f t="shared" si="11"/>
        <v>OK</v>
      </c>
      <c r="W119" s="1">
        <v>5829172605</v>
      </c>
      <c r="X119" s="1">
        <v>1938860917.96</v>
      </c>
      <c r="Y119" t="s">
        <v>54</v>
      </c>
      <c r="Z119">
        <v>1425200.93</v>
      </c>
      <c r="AA119">
        <v>792550.5</v>
      </c>
      <c r="AB119">
        <v>19445.62</v>
      </c>
      <c r="AC119">
        <v>1316920190.0599999</v>
      </c>
      <c r="AD119" s="13" t="str">
        <f t="shared" si="12"/>
        <v>OK</v>
      </c>
      <c r="AE119">
        <v>8048228646.2600002</v>
      </c>
      <c r="AF119">
        <v>7735301172</v>
      </c>
      <c r="AG119">
        <v>689867090.22000003</v>
      </c>
      <c r="AH119">
        <v>0</v>
      </c>
      <c r="AI119">
        <v>0</v>
      </c>
      <c r="AJ119" s="13" t="str">
        <f t="shared" si="13"/>
        <v>OK</v>
      </c>
      <c r="AK119">
        <v>0</v>
      </c>
      <c r="AL119">
        <v>0</v>
      </c>
      <c r="AM119">
        <v>0</v>
      </c>
      <c r="AN119">
        <v>0</v>
      </c>
      <c r="AO119">
        <v>190249612</v>
      </c>
      <c r="AP119">
        <v>190249612</v>
      </c>
      <c r="AQ119" s="15">
        <f t="shared" si="14"/>
        <v>0</v>
      </c>
      <c r="AR119">
        <v>1702294063.74</v>
      </c>
      <c r="AS119">
        <v>1804432924.55</v>
      </c>
      <c r="AT119">
        <v>0</v>
      </c>
      <c r="AU119">
        <v>0</v>
      </c>
      <c r="AV119" s="16">
        <f t="shared" si="15"/>
        <v>102138860.80999994</v>
      </c>
      <c r="AW119" s="13" t="str">
        <f t="shared" si="16"/>
        <v>SIM</v>
      </c>
      <c r="AX119" s="13" t="str">
        <f t="shared" si="17"/>
        <v>OK</v>
      </c>
      <c r="AY119" s="13" t="str">
        <f t="shared" si="18"/>
        <v>OK</v>
      </c>
      <c r="AZ119">
        <f t="shared" si="19"/>
        <v>16.36285756707435</v>
      </c>
    </row>
    <row r="120" spans="2:52" x14ac:dyDescent="0.3">
      <c r="B120" t="s">
        <v>573</v>
      </c>
      <c r="C120" t="s">
        <v>574</v>
      </c>
      <c r="D120" t="s">
        <v>575</v>
      </c>
      <c r="E120" t="s">
        <v>576</v>
      </c>
      <c r="F120" t="s">
        <v>46</v>
      </c>
      <c r="G120" t="s">
        <v>102</v>
      </c>
      <c r="H120" t="s">
        <v>48</v>
      </c>
      <c r="I120" t="s">
        <v>363</v>
      </c>
      <c r="J120" t="s">
        <v>50</v>
      </c>
      <c r="K120" t="s">
        <v>51</v>
      </c>
      <c r="L120" t="s">
        <v>51</v>
      </c>
      <c r="M120" t="s">
        <v>52</v>
      </c>
      <c r="N120" t="s">
        <v>577</v>
      </c>
      <c r="O120" s="11" t="str">
        <f t="shared" si="10"/>
        <v>OK</v>
      </c>
      <c r="P120" t="s">
        <v>54</v>
      </c>
      <c r="Q120" t="s">
        <v>54</v>
      </c>
      <c r="R120" t="s">
        <v>51</v>
      </c>
      <c r="S120" t="s">
        <v>578</v>
      </c>
      <c r="T120" s="1">
        <v>43631716.640000001</v>
      </c>
      <c r="U120" s="1">
        <v>319609028.08999997</v>
      </c>
      <c r="V120" s="13" t="str">
        <f t="shared" si="11"/>
        <v>OK</v>
      </c>
      <c r="W120" s="1">
        <v>429064951.17000002</v>
      </c>
      <c r="X120" s="1">
        <v>20355152</v>
      </c>
      <c r="Y120" t="s">
        <v>51</v>
      </c>
      <c r="Z120">
        <v>398892.78</v>
      </c>
      <c r="AA120">
        <v>0</v>
      </c>
      <c r="AB120">
        <v>0</v>
      </c>
      <c r="AC120">
        <v>-13963005.26</v>
      </c>
      <c r="AD120" s="13" t="str">
        <f t="shared" si="12"/>
        <v>OK</v>
      </c>
      <c r="AE120">
        <v>73638884.340000004</v>
      </c>
      <c r="AF120">
        <v>0</v>
      </c>
      <c r="AG120">
        <v>0</v>
      </c>
      <c r="AH120">
        <v>219808184.53999999</v>
      </c>
      <c r="AI120">
        <v>232902830.65000001</v>
      </c>
      <c r="AJ120" s="13" t="str">
        <f t="shared" si="13"/>
        <v>OK</v>
      </c>
      <c r="AK120">
        <v>0</v>
      </c>
      <c r="AL120" s="14">
        <v>0</v>
      </c>
      <c r="AM120">
        <v>0</v>
      </c>
      <c r="AN120">
        <v>0</v>
      </c>
      <c r="AO120">
        <v>74990</v>
      </c>
      <c r="AP120">
        <v>74990</v>
      </c>
      <c r="AQ120" s="15">
        <f t="shared" si="14"/>
        <v>0</v>
      </c>
      <c r="AR120">
        <v>48597738.68</v>
      </c>
      <c r="AS120">
        <v>48597738.68</v>
      </c>
      <c r="AT120">
        <v>0</v>
      </c>
      <c r="AU120">
        <v>0</v>
      </c>
      <c r="AV120" s="16">
        <f t="shared" si="15"/>
        <v>0</v>
      </c>
      <c r="AW120" s="13" t="str">
        <f t="shared" si="16"/>
        <v>NÃO</v>
      </c>
      <c r="AX120" s="13" t="str">
        <f t="shared" si="17"/>
        <v>OK</v>
      </c>
      <c r="AY120" s="13" t="str">
        <f t="shared" si="18"/>
        <v>OK</v>
      </c>
      <c r="AZ120">
        <f t="shared" si="19"/>
        <v>-18.961456824265625</v>
      </c>
    </row>
    <row r="121" spans="2:52" x14ac:dyDescent="0.3">
      <c r="B121" t="s">
        <v>573</v>
      </c>
      <c r="C121" t="s">
        <v>579</v>
      </c>
      <c r="D121" t="s">
        <v>580</v>
      </c>
      <c r="E121" t="s">
        <v>581</v>
      </c>
      <c r="F121" t="s">
        <v>46</v>
      </c>
      <c r="G121" t="s">
        <v>150</v>
      </c>
      <c r="H121" t="s">
        <v>48</v>
      </c>
      <c r="I121" t="s">
        <v>363</v>
      </c>
      <c r="J121" t="s">
        <v>50</v>
      </c>
      <c r="K121" t="s">
        <v>51</v>
      </c>
      <c r="L121" t="s">
        <v>51</v>
      </c>
      <c r="M121" t="s">
        <v>52</v>
      </c>
      <c r="N121" t="s">
        <v>582</v>
      </c>
      <c r="O121" s="11" t="str">
        <f t="shared" si="10"/>
        <v>OK</v>
      </c>
      <c r="P121" t="s">
        <v>54</v>
      </c>
      <c r="Q121" t="s">
        <v>54</v>
      </c>
      <c r="R121" t="s">
        <v>51</v>
      </c>
      <c r="S121" t="s">
        <v>583</v>
      </c>
      <c r="T121" s="1">
        <v>29199584.609999999</v>
      </c>
      <c r="U121" s="1">
        <v>16963572.140000001</v>
      </c>
      <c r="V121" s="13" t="str">
        <f t="shared" si="11"/>
        <v>OK</v>
      </c>
      <c r="W121" s="1">
        <v>27876209.09</v>
      </c>
      <c r="X121" s="1">
        <v>0</v>
      </c>
      <c r="Y121" t="s">
        <v>51</v>
      </c>
      <c r="Z121">
        <v>198763.51999999999</v>
      </c>
      <c r="AA121">
        <v>0</v>
      </c>
      <c r="AB121">
        <v>0</v>
      </c>
      <c r="AC121">
        <v>829328.57</v>
      </c>
      <c r="AD121" s="13" t="str">
        <f t="shared" si="12"/>
        <v>OK</v>
      </c>
      <c r="AE121">
        <v>33255645.829999998</v>
      </c>
      <c r="AF121">
        <v>0</v>
      </c>
      <c r="AG121">
        <v>0</v>
      </c>
      <c r="AH121">
        <v>18586987.039999999</v>
      </c>
      <c r="AI121">
        <v>27634969.629999999</v>
      </c>
      <c r="AJ121" s="13" t="str">
        <f t="shared" si="13"/>
        <v>OK</v>
      </c>
      <c r="AK121">
        <v>0</v>
      </c>
      <c r="AL121" s="14">
        <v>0</v>
      </c>
      <c r="AM121">
        <v>0</v>
      </c>
      <c r="AN121">
        <v>0</v>
      </c>
      <c r="AO121">
        <v>9990</v>
      </c>
      <c r="AP121">
        <v>9990</v>
      </c>
      <c r="AQ121" s="15">
        <f t="shared" si="14"/>
        <v>0</v>
      </c>
      <c r="AR121">
        <v>9124916.25</v>
      </c>
      <c r="AS121">
        <v>9124916.25</v>
      </c>
      <c r="AT121">
        <v>0</v>
      </c>
      <c r="AU121">
        <v>0</v>
      </c>
      <c r="AV121" s="16">
        <f t="shared" si="15"/>
        <v>0</v>
      </c>
      <c r="AW121" s="13" t="str">
        <f t="shared" si="16"/>
        <v>NÃO</v>
      </c>
      <c r="AX121" s="13" t="str">
        <f t="shared" si="17"/>
        <v>OK</v>
      </c>
      <c r="AY121" s="13" t="str">
        <f t="shared" si="18"/>
        <v>OK</v>
      </c>
      <c r="AZ121">
        <f t="shared" si="19"/>
        <v>2.493797817788463</v>
      </c>
    </row>
    <row r="122" spans="2:52" x14ac:dyDescent="0.3">
      <c r="B122" t="s">
        <v>573</v>
      </c>
      <c r="C122" t="s">
        <v>584</v>
      </c>
      <c r="D122" t="s">
        <v>585</v>
      </c>
      <c r="E122" t="s">
        <v>586</v>
      </c>
      <c r="F122" t="s">
        <v>46</v>
      </c>
      <c r="G122" t="s">
        <v>102</v>
      </c>
      <c r="H122" t="s">
        <v>48</v>
      </c>
      <c r="I122" t="s">
        <v>363</v>
      </c>
      <c r="J122" t="s">
        <v>50</v>
      </c>
      <c r="K122" t="s">
        <v>51</v>
      </c>
      <c r="L122" t="s">
        <v>51</v>
      </c>
      <c r="M122" t="s">
        <v>52</v>
      </c>
      <c r="N122" t="s">
        <v>587</v>
      </c>
      <c r="O122" s="11" t="str">
        <f t="shared" si="10"/>
        <v>OK</v>
      </c>
      <c r="P122" t="s">
        <v>54</v>
      </c>
      <c r="Q122" t="s">
        <v>54</v>
      </c>
      <c r="R122" t="s">
        <v>51</v>
      </c>
      <c r="S122" t="s">
        <v>588</v>
      </c>
      <c r="T122" s="1">
        <v>14166551.220000001</v>
      </c>
      <c r="U122" s="1">
        <v>95798379.120000005</v>
      </c>
      <c r="V122" s="13" t="str">
        <f t="shared" si="11"/>
        <v>OK</v>
      </c>
      <c r="W122" s="1">
        <v>135695037.88</v>
      </c>
      <c r="X122" s="1">
        <v>11875469.060000001</v>
      </c>
      <c r="Y122" t="s">
        <v>51</v>
      </c>
      <c r="Z122">
        <v>361782.88</v>
      </c>
      <c r="AA122">
        <v>0</v>
      </c>
      <c r="AB122">
        <v>0</v>
      </c>
      <c r="AC122">
        <v>2487805.84</v>
      </c>
      <c r="AD122" s="13" t="str">
        <f t="shared" si="12"/>
        <v>OK</v>
      </c>
      <c r="AE122">
        <v>70576911.629999995</v>
      </c>
      <c r="AF122">
        <v>0</v>
      </c>
      <c r="AG122">
        <v>0</v>
      </c>
      <c r="AH122">
        <v>113599676.16</v>
      </c>
      <c r="AI122">
        <v>118790786.05</v>
      </c>
      <c r="AJ122" s="13" t="str">
        <f t="shared" si="13"/>
        <v>OK</v>
      </c>
      <c r="AK122">
        <v>266643.34000000003</v>
      </c>
      <c r="AL122" s="14">
        <v>343003.25</v>
      </c>
      <c r="AM122">
        <v>0</v>
      </c>
      <c r="AN122">
        <v>0</v>
      </c>
      <c r="AO122">
        <v>19998000</v>
      </c>
      <c r="AP122">
        <v>19998000</v>
      </c>
      <c r="AQ122" s="15">
        <f t="shared" si="14"/>
        <v>0</v>
      </c>
      <c r="AR122">
        <v>31600000</v>
      </c>
      <c r="AS122">
        <v>31600000</v>
      </c>
      <c r="AT122">
        <v>0</v>
      </c>
      <c r="AU122">
        <v>0</v>
      </c>
      <c r="AV122" s="16">
        <f t="shared" si="15"/>
        <v>0</v>
      </c>
      <c r="AW122" s="13" t="str">
        <f t="shared" si="16"/>
        <v>NÃO</v>
      </c>
      <c r="AX122" s="13" t="str">
        <f t="shared" si="17"/>
        <v>OK</v>
      </c>
      <c r="AY122" s="13" t="str">
        <f t="shared" si="18"/>
        <v>OK</v>
      </c>
      <c r="AZ122">
        <f t="shared" si="19"/>
        <v>3.5249570752576158</v>
      </c>
    </row>
    <row r="123" spans="2:52" x14ac:dyDescent="0.3">
      <c r="B123" t="s">
        <v>573</v>
      </c>
      <c r="C123" t="s">
        <v>623</v>
      </c>
      <c r="D123" t="s">
        <v>624</v>
      </c>
      <c r="E123" t="s">
        <v>625</v>
      </c>
      <c r="F123" t="s">
        <v>46</v>
      </c>
      <c r="G123" t="s">
        <v>139</v>
      </c>
      <c r="H123" t="s">
        <v>60</v>
      </c>
      <c r="I123" t="s">
        <v>49</v>
      </c>
      <c r="J123" t="s">
        <v>373</v>
      </c>
      <c r="K123" t="s">
        <v>51</v>
      </c>
      <c r="L123" t="s">
        <v>54</v>
      </c>
      <c r="M123" t="s">
        <v>134</v>
      </c>
      <c r="N123" t="s">
        <v>626</v>
      </c>
      <c r="O123" s="11" t="str">
        <f t="shared" si="10"/>
        <v>OK</v>
      </c>
      <c r="P123" t="s">
        <v>54</v>
      </c>
      <c r="Q123" t="s">
        <v>54</v>
      </c>
      <c r="R123" t="s">
        <v>54</v>
      </c>
      <c r="S123" t="s">
        <v>627</v>
      </c>
      <c r="T123" s="1">
        <v>3458686648.9499998</v>
      </c>
      <c r="U123" s="1">
        <v>93762518.140000001</v>
      </c>
      <c r="V123" s="13" t="str">
        <f t="shared" si="11"/>
        <v>OK</v>
      </c>
      <c r="W123" s="1">
        <v>452196084.11000001</v>
      </c>
      <c r="X123" s="1">
        <v>358433565.97000003</v>
      </c>
      <c r="Y123" t="s">
        <v>54</v>
      </c>
      <c r="Z123">
        <v>815264.41</v>
      </c>
      <c r="AA123">
        <v>551691.86</v>
      </c>
      <c r="AB123">
        <v>10871</v>
      </c>
      <c r="AC123">
        <v>497906912.35000002</v>
      </c>
      <c r="AD123" s="13" t="str">
        <f t="shared" si="12"/>
        <v>OK</v>
      </c>
      <c r="AE123">
        <v>1231157903.1800001</v>
      </c>
      <c r="AF123">
        <v>0</v>
      </c>
      <c r="AG123">
        <v>524647823.12</v>
      </c>
      <c r="AH123">
        <v>0</v>
      </c>
      <c r="AI123">
        <v>0</v>
      </c>
      <c r="AJ123" s="13" t="str">
        <f t="shared" si="13"/>
        <v>OK</v>
      </c>
      <c r="AK123">
        <v>0</v>
      </c>
      <c r="AL123">
        <v>0</v>
      </c>
      <c r="AM123">
        <v>0</v>
      </c>
      <c r="AN123">
        <v>0</v>
      </c>
      <c r="AO123">
        <v>305621639</v>
      </c>
      <c r="AP123">
        <v>305621639</v>
      </c>
      <c r="AQ123" s="15">
        <f t="shared" si="14"/>
        <v>0</v>
      </c>
      <c r="AR123">
        <v>662567679.27999997</v>
      </c>
      <c r="AS123">
        <v>662567679.27999997</v>
      </c>
      <c r="AT123">
        <v>0</v>
      </c>
      <c r="AU123">
        <v>0</v>
      </c>
      <c r="AV123" s="16">
        <f t="shared" si="15"/>
        <v>0</v>
      </c>
      <c r="AW123" s="13" t="str">
        <f t="shared" si="16"/>
        <v>NÃO</v>
      </c>
      <c r="AX123" s="13" t="str">
        <f t="shared" si="17"/>
        <v>OK</v>
      </c>
      <c r="AY123" s="13" t="str">
        <f t="shared" si="18"/>
        <v>OK</v>
      </c>
      <c r="AZ123">
        <f t="shared" si="19"/>
        <v>40.442165140957073</v>
      </c>
    </row>
    <row r="124" spans="2:52" x14ac:dyDescent="0.3">
      <c r="B124" t="s">
        <v>573</v>
      </c>
      <c r="C124" t="s">
        <v>628</v>
      </c>
      <c r="D124" t="s">
        <v>629</v>
      </c>
      <c r="E124" t="s">
        <v>630</v>
      </c>
      <c r="F124" t="s">
        <v>46</v>
      </c>
      <c r="G124" t="s">
        <v>240</v>
      </c>
      <c r="H124" t="s">
        <v>48</v>
      </c>
      <c r="I124" t="s">
        <v>49</v>
      </c>
      <c r="J124" t="s">
        <v>50</v>
      </c>
      <c r="K124" t="s">
        <v>51</v>
      </c>
      <c r="L124" t="s">
        <v>51</v>
      </c>
      <c r="M124" t="s">
        <v>134</v>
      </c>
      <c r="N124" t="s">
        <v>66</v>
      </c>
      <c r="O124" s="11" t="str">
        <f t="shared" si="10"/>
        <v>VERIFICAR</v>
      </c>
      <c r="P124" t="s">
        <v>54</v>
      </c>
      <c r="Q124" t="s">
        <v>54</v>
      </c>
      <c r="R124" t="s">
        <v>51</v>
      </c>
      <c r="S124" t="s">
        <v>631</v>
      </c>
      <c r="T124" s="1">
        <v>-1569</v>
      </c>
      <c r="U124" s="1">
        <v>0</v>
      </c>
      <c r="V124" s="13" t="str">
        <f t="shared" si="11"/>
        <v>OK</v>
      </c>
      <c r="W124" s="1">
        <v>79111</v>
      </c>
      <c r="X124" s="1">
        <v>0</v>
      </c>
      <c r="Y124" t="s">
        <v>51</v>
      </c>
      <c r="Z124">
        <v>0</v>
      </c>
      <c r="AA124">
        <v>0</v>
      </c>
      <c r="AB124">
        <v>0</v>
      </c>
      <c r="AC124">
        <v>-80681</v>
      </c>
      <c r="AD124" s="13" t="str">
        <f t="shared" si="12"/>
        <v>OK</v>
      </c>
      <c r="AE124">
        <v>9507</v>
      </c>
      <c r="AF124">
        <v>0</v>
      </c>
      <c r="AG124">
        <v>0</v>
      </c>
      <c r="AH124">
        <v>0</v>
      </c>
      <c r="AI124">
        <v>0</v>
      </c>
      <c r="AJ124" s="13" t="str">
        <f t="shared" si="13"/>
        <v>OK</v>
      </c>
      <c r="AK124">
        <v>0</v>
      </c>
      <c r="AL124">
        <v>0</v>
      </c>
      <c r="AM124">
        <v>0</v>
      </c>
      <c r="AN124">
        <v>66480.179999999993</v>
      </c>
      <c r="AO124">
        <v>2365310</v>
      </c>
      <c r="AP124">
        <v>2431790</v>
      </c>
      <c r="AQ124" s="15">
        <f t="shared" si="14"/>
        <v>66480</v>
      </c>
      <c r="AR124">
        <v>2365310</v>
      </c>
      <c r="AS124">
        <v>2431790.1800000002</v>
      </c>
      <c r="AT124">
        <v>0</v>
      </c>
      <c r="AU124">
        <v>0</v>
      </c>
      <c r="AV124" s="16">
        <f t="shared" si="15"/>
        <v>66480.180000000168</v>
      </c>
      <c r="AW124" s="13" t="str">
        <f t="shared" si="16"/>
        <v>SIM</v>
      </c>
      <c r="AX124" s="13" t="str">
        <f t="shared" si="17"/>
        <v>VER CAPITAL</v>
      </c>
      <c r="AY124" s="13" t="str">
        <f t="shared" si="18"/>
        <v>OK</v>
      </c>
      <c r="AZ124">
        <f t="shared" si="19"/>
        <v>-848.64836436310088</v>
      </c>
    </row>
    <row r="125" spans="2:52" x14ac:dyDescent="0.3">
      <c r="B125" t="s">
        <v>573</v>
      </c>
      <c r="C125" t="s">
        <v>632</v>
      </c>
      <c r="D125" t="s">
        <v>633</v>
      </c>
      <c r="E125" t="s">
        <v>634</v>
      </c>
      <c r="F125" t="s">
        <v>46</v>
      </c>
      <c r="G125" t="s">
        <v>133</v>
      </c>
      <c r="H125" t="s">
        <v>60</v>
      </c>
      <c r="I125" t="s">
        <v>49</v>
      </c>
      <c r="J125" t="s">
        <v>50</v>
      </c>
      <c r="K125" t="s">
        <v>51</v>
      </c>
      <c r="L125" t="s">
        <v>51</v>
      </c>
      <c r="M125" t="s">
        <v>134</v>
      </c>
      <c r="N125" t="s">
        <v>635</v>
      </c>
      <c r="O125" s="11" t="str">
        <f t="shared" si="10"/>
        <v>OK</v>
      </c>
      <c r="P125" t="s">
        <v>54</v>
      </c>
      <c r="Q125" t="s">
        <v>54</v>
      </c>
      <c r="R125" t="s">
        <v>54</v>
      </c>
      <c r="S125" t="s">
        <v>636</v>
      </c>
      <c r="T125" s="1">
        <v>243324950.13</v>
      </c>
      <c r="U125" s="1">
        <v>14628163</v>
      </c>
      <c r="V125" s="13" t="str">
        <f t="shared" si="11"/>
        <v>OK</v>
      </c>
      <c r="W125" s="1">
        <v>652720868.80999994</v>
      </c>
      <c r="X125" s="1">
        <v>0</v>
      </c>
      <c r="Y125" t="s">
        <v>51</v>
      </c>
      <c r="Z125">
        <v>341318.03</v>
      </c>
      <c r="AA125">
        <v>0</v>
      </c>
      <c r="AB125">
        <v>19237.32</v>
      </c>
      <c r="AC125">
        <v>37554565.049999997</v>
      </c>
      <c r="AD125" s="13" t="str">
        <f t="shared" si="12"/>
        <v>OK</v>
      </c>
      <c r="AE125">
        <v>1248280389.54</v>
      </c>
      <c r="AF125">
        <v>0</v>
      </c>
      <c r="AG125">
        <v>0</v>
      </c>
      <c r="AH125">
        <v>0</v>
      </c>
      <c r="AI125">
        <v>0</v>
      </c>
      <c r="AJ125" s="13" t="str">
        <f t="shared" si="13"/>
        <v>OK</v>
      </c>
      <c r="AK125">
        <v>0</v>
      </c>
      <c r="AL125">
        <v>0</v>
      </c>
      <c r="AM125">
        <v>75200578.469999999</v>
      </c>
      <c r="AN125">
        <v>0</v>
      </c>
      <c r="AO125">
        <v>574184398</v>
      </c>
      <c r="AP125">
        <v>574184398</v>
      </c>
      <c r="AQ125" s="15">
        <f t="shared" si="14"/>
        <v>0</v>
      </c>
      <c r="AR125">
        <v>1404828906.05</v>
      </c>
      <c r="AS125">
        <v>1573664210.1700001</v>
      </c>
      <c r="AT125">
        <v>115906179.75</v>
      </c>
      <c r="AU125">
        <v>0</v>
      </c>
      <c r="AV125" s="16">
        <f t="shared" si="15"/>
        <v>168835304.12000012</v>
      </c>
      <c r="AW125" s="13" t="str">
        <f t="shared" si="16"/>
        <v>SIM</v>
      </c>
      <c r="AX125" s="13" t="str">
        <f t="shared" si="17"/>
        <v>OK</v>
      </c>
      <c r="AY125" s="13" t="str">
        <f t="shared" si="18"/>
        <v>OK</v>
      </c>
      <c r="AZ125">
        <f t="shared" si="19"/>
        <v>3.0085039679137404</v>
      </c>
    </row>
    <row r="126" spans="2:52" x14ac:dyDescent="0.3">
      <c r="B126" t="s">
        <v>573</v>
      </c>
      <c r="C126" t="s">
        <v>637</v>
      </c>
      <c r="D126" t="s">
        <v>638</v>
      </c>
      <c r="E126" t="s">
        <v>639</v>
      </c>
      <c r="F126" t="s">
        <v>46</v>
      </c>
      <c r="G126" t="s">
        <v>133</v>
      </c>
      <c r="H126" t="s">
        <v>48</v>
      </c>
      <c r="I126" t="s">
        <v>49</v>
      </c>
      <c r="J126" t="s">
        <v>50</v>
      </c>
      <c r="K126" t="s">
        <v>51</v>
      </c>
      <c r="L126" t="s">
        <v>51</v>
      </c>
      <c r="M126" t="s">
        <v>134</v>
      </c>
      <c r="N126" t="s">
        <v>640</v>
      </c>
      <c r="O126" s="11" t="str">
        <f t="shared" si="10"/>
        <v>OK</v>
      </c>
      <c r="P126" t="s">
        <v>54</v>
      </c>
      <c r="Q126" t="s">
        <v>54</v>
      </c>
      <c r="R126" t="s">
        <v>54</v>
      </c>
      <c r="S126" t="s">
        <v>641</v>
      </c>
      <c r="T126" s="1">
        <v>1720116110.0699999</v>
      </c>
      <c r="U126" s="1">
        <v>55760382.450000003</v>
      </c>
      <c r="V126" s="13" t="str">
        <f t="shared" si="11"/>
        <v>OK</v>
      </c>
      <c r="W126" s="1">
        <v>117810517.81999999</v>
      </c>
      <c r="X126" s="1">
        <v>5804708.6799999997</v>
      </c>
      <c r="Y126" t="s">
        <v>54</v>
      </c>
      <c r="Z126">
        <v>578233.28</v>
      </c>
      <c r="AA126">
        <v>83503.240000000005</v>
      </c>
      <c r="AB126">
        <v>6156.24</v>
      </c>
      <c r="AC126">
        <v>87388294.439999998</v>
      </c>
      <c r="AD126" s="13" t="str">
        <f t="shared" si="12"/>
        <v>OK</v>
      </c>
      <c r="AE126">
        <v>210778487.74000001</v>
      </c>
      <c r="AF126">
        <v>0</v>
      </c>
      <c r="AG126">
        <v>66773167.840000004</v>
      </c>
      <c r="AH126">
        <v>0</v>
      </c>
      <c r="AI126">
        <v>0</v>
      </c>
      <c r="AJ126" s="13" t="str">
        <f t="shared" si="13"/>
        <v>OK</v>
      </c>
      <c r="AK126">
        <v>0</v>
      </c>
      <c r="AL126">
        <v>0</v>
      </c>
      <c r="AM126">
        <v>0</v>
      </c>
      <c r="AN126">
        <v>0</v>
      </c>
      <c r="AO126">
        <v>9965000</v>
      </c>
      <c r="AP126">
        <v>9965000</v>
      </c>
      <c r="AQ126" s="15">
        <f t="shared" si="14"/>
        <v>0</v>
      </c>
      <c r="AR126">
        <v>91717114.019999996</v>
      </c>
      <c r="AS126">
        <v>91717114.019999996</v>
      </c>
      <c r="AT126">
        <v>0</v>
      </c>
      <c r="AU126">
        <v>0</v>
      </c>
      <c r="AV126" s="16">
        <f t="shared" si="15"/>
        <v>0</v>
      </c>
      <c r="AW126" s="13" t="str">
        <f t="shared" si="16"/>
        <v>NÃO</v>
      </c>
      <c r="AX126" s="13" t="str">
        <f t="shared" si="17"/>
        <v>OK</v>
      </c>
      <c r="AY126" s="13" t="str">
        <f t="shared" si="18"/>
        <v>OK</v>
      </c>
      <c r="AZ126">
        <f t="shared" si="19"/>
        <v>41.459778641070535</v>
      </c>
    </row>
    <row r="127" spans="2:52" x14ac:dyDescent="0.3">
      <c r="B127" t="s">
        <v>573</v>
      </c>
      <c r="C127" t="s">
        <v>642</v>
      </c>
      <c r="D127" t="s">
        <v>643</v>
      </c>
      <c r="E127" t="s">
        <v>644</v>
      </c>
      <c r="F127" t="s">
        <v>46</v>
      </c>
      <c r="G127" t="s">
        <v>47</v>
      </c>
      <c r="H127" t="s">
        <v>60</v>
      </c>
      <c r="I127" t="s">
        <v>49</v>
      </c>
      <c r="J127" t="s">
        <v>50</v>
      </c>
      <c r="K127" t="s">
        <v>51</v>
      </c>
      <c r="L127" t="s">
        <v>51</v>
      </c>
      <c r="M127" t="s">
        <v>134</v>
      </c>
      <c r="N127" t="s">
        <v>645</v>
      </c>
      <c r="O127" s="11" t="str">
        <f t="shared" si="10"/>
        <v>OK</v>
      </c>
      <c r="P127" t="s">
        <v>54</v>
      </c>
      <c r="Q127" t="s">
        <v>54</v>
      </c>
      <c r="R127" t="s">
        <v>54</v>
      </c>
      <c r="S127" t="s">
        <v>646</v>
      </c>
      <c r="T127" s="1">
        <v>350204013.68000001</v>
      </c>
      <c r="U127" s="1">
        <v>221076443.03</v>
      </c>
      <c r="V127" s="13" t="str">
        <f t="shared" si="11"/>
        <v>OK</v>
      </c>
      <c r="W127" s="1">
        <v>336430553.51999998</v>
      </c>
      <c r="X127" s="1">
        <v>14581738.32</v>
      </c>
      <c r="Y127" t="s">
        <v>54</v>
      </c>
      <c r="Z127">
        <v>553123.18000000005</v>
      </c>
      <c r="AA127">
        <v>1722.34</v>
      </c>
      <c r="AB127">
        <v>20603.84</v>
      </c>
      <c r="AC127">
        <v>37565212.810000002</v>
      </c>
      <c r="AD127" s="13" t="str">
        <f t="shared" si="12"/>
        <v>OK</v>
      </c>
      <c r="AE127">
        <v>156642005.97999999</v>
      </c>
      <c r="AF127">
        <v>0</v>
      </c>
      <c r="AG127">
        <v>52189765.799999997</v>
      </c>
      <c r="AH127">
        <v>0</v>
      </c>
      <c r="AI127">
        <v>0</v>
      </c>
      <c r="AJ127" s="13" t="str">
        <f t="shared" si="13"/>
        <v>OK</v>
      </c>
      <c r="AK127">
        <v>0</v>
      </c>
      <c r="AL127">
        <v>0</v>
      </c>
      <c r="AM127">
        <v>0</v>
      </c>
      <c r="AN127">
        <v>0</v>
      </c>
      <c r="AO127">
        <v>96481395</v>
      </c>
      <c r="AP127">
        <v>96481395</v>
      </c>
      <c r="AQ127" s="15">
        <f t="shared" si="14"/>
        <v>0</v>
      </c>
      <c r="AR127">
        <v>96481395</v>
      </c>
      <c r="AS127">
        <v>96481395</v>
      </c>
      <c r="AT127">
        <v>0</v>
      </c>
      <c r="AU127">
        <v>0</v>
      </c>
      <c r="AV127" s="16">
        <f t="shared" si="15"/>
        <v>0</v>
      </c>
      <c r="AW127" s="13" t="str">
        <f t="shared" si="16"/>
        <v>NÃO</v>
      </c>
      <c r="AX127" s="13" t="str">
        <f t="shared" si="17"/>
        <v>OK</v>
      </c>
      <c r="AY127" s="13" t="str">
        <f t="shared" si="18"/>
        <v>OK</v>
      </c>
      <c r="AZ127">
        <f t="shared" si="19"/>
        <v>23.981570316966138</v>
      </c>
    </row>
    <row r="128" spans="2:52" ht="43.2" x14ac:dyDescent="0.3">
      <c r="B128" t="s">
        <v>647</v>
      </c>
      <c r="C128" t="s">
        <v>648</v>
      </c>
      <c r="D128" t="s">
        <v>649</v>
      </c>
      <c r="E128" t="s">
        <v>650</v>
      </c>
      <c r="F128" t="s">
        <v>70</v>
      </c>
      <c r="G128" s="6" t="s">
        <v>75</v>
      </c>
      <c r="H128" t="s">
        <v>48</v>
      </c>
      <c r="I128" t="s">
        <v>76</v>
      </c>
      <c r="J128" t="s">
        <v>50</v>
      </c>
      <c r="K128" t="s">
        <v>51</v>
      </c>
      <c r="L128" t="s">
        <v>51</v>
      </c>
      <c r="M128" t="s">
        <v>52</v>
      </c>
      <c r="N128" t="s">
        <v>66</v>
      </c>
      <c r="O128" s="11" t="str">
        <f t="shared" si="10"/>
        <v>OK</v>
      </c>
      <c r="P128" t="s">
        <v>51</v>
      </c>
      <c r="Q128" t="s">
        <v>54</v>
      </c>
      <c r="R128" t="s">
        <v>51</v>
      </c>
      <c r="S128" t="s">
        <v>55</v>
      </c>
      <c r="T128" s="1">
        <v>0</v>
      </c>
      <c r="U128" s="1">
        <v>0</v>
      </c>
      <c r="V128" s="13" t="str">
        <f t="shared" si="11"/>
        <v>OK</v>
      </c>
      <c r="W128" s="1">
        <v>0</v>
      </c>
      <c r="X128" s="1">
        <v>0</v>
      </c>
      <c r="Y128" t="s">
        <v>51</v>
      </c>
      <c r="Z128">
        <v>0</v>
      </c>
      <c r="AA128">
        <v>0</v>
      </c>
      <c r="AB128">
        <v>0</v>
      </c>
      <c r="AC128">
        <v>-85216056.489999995</v>
      </c>
      <c r="AD128" s="13" t="str">
        <f t="shared" si="12"/>
        <v>OK</v>
      </c>
      <c r="AE128">
        <v>-1184642144.1300001</v>
      </c>
      <c r="AG128">
        <v>0</v>
      </c>
      <c r="AH128">
        <v>0</v>
      </c>
      <c r="AI128">
        <v>0</v>
      </c>
      <c r="AJ128" s="13" t="str">
        <f t="shared" si="13"/>
        <v>OK</v>
      </c>
      <c r="AK128">
        <v>0</v>
      </c>
      <c r="AL128">
        <v>0</v>
      </c>
      <c r="AM128">
        <v>0</v>
      </c>
      <c r="AN128">
        <v>0</v>
      </c>
      <c r="AO128">
        <v>100</v>
      </c>
      <c r="AP128">
        <v>100</v>
      </c>
      <c r="AQ128" s="15">
        <f t="shared" si="14"/>
        <v>0</v>
      </c>
      <c r="AR128">
        <v>13803453.68</v>
      </c>
      <c r="AS128">
        <v>13803453.68</v>
      </c>
      <c r="AT128">
        <v>0</v>
      </c>
      <c r="AU128">
        <v>0</v>
      </c>
      <c r="AV128" s="16">
        <f t="shared" si="15"/>
        <v>0</v>
      </c>
      <c r="AW128" s="13" t="str">
        <f t="shared" si="16"/>
        <v>NÃO</v>
      </c>
      <c r="AX128" s="13" t="str">
        <f t="shared" si="17"/>
        <v>OK</v>
      </c>
      <c r="AY128" s="13" t="str">
        <f t="shared" si="18"/>
        <v>OK</v>
      </c>
      <c r="AZ128">
        <f t="shared" si="19"/>
        <v>7.1934007170226559</v>
      </c>
    </row>
    <row r="129" spans="2:52" x14ac:dyDescent="0.3">
      <c r="B129" t="s">
        <v>647</v>
      </c>
      <c r="C129" t="s">
        <v>655</v>
      </c>
      <c r="D129" t="s">
        <v>303</v>
      </c>
      <c r="E129" t="s">
        <v>656</v>
      </c>
      <c r="F129" t="s">
        <v>46</v>
      </c>
      <c r="G129" t="s">
        <v>75</v>
      </c>
      <c r="H129" t="s">
        <v>60</v>
      </c>
      <c r="I129" t="s">
        <v>49</v>
      </c>
      <c r="J129" t="s">
        <v>50</v>
      </c>
      <c r="K129" t="s">
        <v>51</v>
      </c>
      <c r="L129" t="s">
        <v>51</v>
      </c>
      <c r="M129" t="s">
        <v>134</v>
      </c>
      <c r="N129" t="s">
        <v>657</v>
      </c>
      <c r="O129" s="11" t="str">
        <f t="shared" si="10"/>
        <v>OK</v>
      </c>
      <c r="P129" t="s">
        <v>54</v>
      </c>
      <c r="Q129" t="s">
        <v>54</v>
      </c>
      <c r="R129" t="s">
        <v>51</v>
      </c>
      <c r="S129" t="s">
        <v>55</v>
      </c>
      <c r="T129" s="1">
        <v>3835260.71</v>
      </c>
      <c r="U129" s="1">
        <v>2165434.9700000002</v>
      </c>
      <c r="V129" s="13" t="str">
        <f t="shared" si="11"/>
        <v>OK</v>
      </c>
      <c r="W129" s="1">
        <v>6220790.0999999996</v>
      </c>
      <c r="X129" s="1">
        <v>4055355.13</v>
      </c>
      <c r="Y129" t="s">
        <v>51</v>
      </c>
      <c r="Z129">
        <v>73976.479999999996</v>
      </c>
      <c r="AA129">
        <v>0</v>
      </c>
      <c r="AB129">
        <v>0</v>
      </c>
      <c r="AC129">
        <v>887475.99</v>
      </c>
      <c r="AD129" s="13" t="str">
        <f t="shared" si="12"/>
        <v>OK</v>
      </c>
      <c r="AE129">
        <v>3170620.97</v>
      </c>
      <c r="AG129">
        <v>0</v>
      </c>
      <c r="AH129">
        <v>0</v>
      </c>
      <c r="AI129">
        <v>0</v>
      </c>
      <c r="AJ129" s="13" t="str">
        <f t="shared" si="13"/>
        <v>OK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s="15">
        <f t="shared" si="14"/>
        <v>0</v>
      </c>
      <c r="AR129">
        <v>593931</v>
      </c>
      <c r="AS129">
        <v>593931</v>
      </c>
      <c r="AT129">
        <v>0</v>
      </c>
      <c r="AU129">
        <v>0</v>
      </c>
      <c r="AV129" s="16">
        <f t="shared" si="15"/>
        <v>0</v>
      </c>
      <c r="AW129" s="13" t="str">
        <f t="shared" si="16"/>
        <v>NÃO</v>
      </c>
      <c r="AX129" s="13" t="str">
        <f t="shared" si="17"/>
        <v>OK</v>
      </c>
      <c r="AY129" s="13" t="str">
        <f t="shared" si="18"/>
        <v>OK</v>
      </c>
      <c r="AZ129">
        <f t="shared" si="19"/>
        <v>27.990604944494514</v>
      </c>
    </row>
    <row r="130" spans="2:52" x14ac:dyDescent="0.3">
      <c r="B130" t="s">
        <v>647</v>
      </c>
      <c r="C130" t="s">
        <v>658</v>
      </c>
      <c r="D130" t="s">
        <v>659</v>
      </c>
      <c r="E130" t="s">
        <v>660</v>
      </c>
      <c r="F130" t="s">
        <v>46</v>
      </c>
      <c r="G130" t="s">
        <v>71</v>
      </c>
      <c r="H130" t="s">
        <v>48</v>
      </c>
      <c r="I130" t="s">
        <v>76</v>
      </c>
      <c r="J130" t="s">
        <v>50</v>
      </c>
      <c r="K130" t="s">
        <v>51</v>
      </c>
      <c r="L130" t="s">
        <v>51</v>
      </c>
      <c r="M130" t="s">
        <v>134</v>
      </c>
      <c r="N130" t="s">
        <v>66</v>
      </c>
      <c r="O130" s="11" t="str">
        <f t="shared" ref="O130:O193" si="20">IF(AND(F130="ATIVA",VALUE(N130)=0),"VERIFICAR","OK")</f>
        <v>VERIFICAR</v>
      </c>
      <c r="P130" t="s">
        <v>51</v>
      </c>
      <c r="Q130" t="s">
        <v>51</v>
      </c>
      <c r="R130" t="s">
        <v>51</v>
      </c>
      <c r="S130" t="s">
        <v>55</v>
      </c>
      <c r="T130" s="1">
        <v>0</v>
      </c>
      <c r="U130" s="1">
        <v>0</v>
      </c>
      <c r="V130" s="13" t="str">
        <f t="shared" ref="V130:V193" si="21">IF(AND(VALUE(N130)=0,VALUE(U130)&gt;0),"VERIFICAR","OK")</f>
        <v>OK</v>
      </c>
      <c r="W130" s="1">
        <v>0</v>
      </c>
      <c r="X130" s="1">
        <v>0</v>
      </c>
      <c r="Y130" t="s">
        <v>51</v>
      </c>
      <c r="Z130">
        <v>0</v>
      </c>
      <c r="AA130">
        <v>0</v>
      </c>
      <c r="AB130">
        <v>0</v>
      </c>
      <c r="AC130">
        <v>0</v>
      </c>
      <c r="AD130" s="13" t="str">
        <f t="shared" ref="AD130:AD193" si="22">IF(AND(Y130="SIM",VALUE(AC130)&lt;0),"VERIFICAR","OK")</f>
        <v>OK</v>
      </c>
      <c r="AE130">
        <v>0</v>
      </c>
      <c r="AG130">
        <v>0</v>
      </c>
      <c r="AH130">
        <v>0</v>
      </c>
      <c r="AI130">
        <v>0</v>
      </c>
      <c r="AJ130" s="13" t="str">
        <f t="shared" ref="AJ130:AJ193" si="23">IF(AND(M130="NÃO DEPENDENTE",VALUE(AI130)&gt;0),"INDÍCIO DE DEPENDÊNCIA POR SUBVENÇÃO","OK")</f>
        <v>OK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s="15">
        <f t="shared" ref="AQ130:AQ193" si="24">AP130-AO130</f>
        <v>0</v>
      </c>
      <c r="AR130">
        <v>0</v>
      </c>
      <c r="AS130">
        <v>0</v>
      </c>
      <c r="AT130">
        <v>0</v>
      </c>
      <c r="AU130">
        <v>0</v>
      </c>
      <c r="AV130" s="16">
        <f t="shared" ref="AV130:AV193" si="25">(AS130-AR130)+(AU130)</f>
        <v>0</v>
      </c>
      <c r="AW130" s="13" t="str">
        <f t="shared" ref="AW130:AW193" si="26">IF(OR(VALUE(AQ130)&gt;0,VALUE(AV130)&gt;0),"SIM","NÃO")</f>
        <v>NÃO</v>
      </c>
      <c r="AX130" s="13" t="str">
        <f t="shared" ref="AX130:AX193" si="27">IF(AND(M130="NÃO DEPENDENTE",VALUE(AN130)&gt;0),"VER CAPITAL","OK")</f>
        <v>OK</v>
      </c>
      <c r="AY130" s="13" t="str">
        <f t="shared" ref="AY130:AY193" si="28">IF(AND(AX130="VER CAPITAL",AW130="NÃO"),"INDÍCIO DE DEPENDÊNCIA POR CAPITAL","OK")</f>
        <v>OK</v>
      </c>
      <c r="AZ130" t="e">
        <f t="shared" ref="AZ130:AZ193" si="29">AC130*100/AE130</f>
        <v>#DIV/0!</v>
      </c>
    </row>
    <row r="131" spans="2:52" x14ac:dyDescent="0.3">
      <c r="B131" t="s">
        <v>647</v>
      </c>
      <c r="C131" t="s">
        <v>661</v>
      </c>
      <c r="D131" t="s">
        <v>662</v>
      </c>
      <c r="E131" t="s">
        <v>663</v>
      </c>
      <c r="F131" t="s">
        <v>46</v>
      </c>
      <c r="G131" t="s">
        <v>139</v>
      </c>
      <c r="H131" t="s">
        <v>60</v>
      </c>
      <c r="I131" t="s">
        <v>49</v>
      </c>
      <c r="J131" t="s">
        <v>50</v>
      </c>
      <c r="K131" t="s">
        <v>51</v>
      </c>
      <c r="L131" t="s">
        <v>51</v>
      </c>
      <c r="M131" t="s">
        <v>134</v>
      </c>
      <c r="N131" t="s">
        <v>664</v>
      </c>
      <c r="O131" s="11" t="str">
        <f t="shared" si="20"/>
        <v>OK</v>
      </c>
      <c r="P131" t="s">
        <v>54</v>
      </c>
      <c r="Q131" t="s">
        <v>54</v>
      </c>
      <c r="R131" t="s">
        <v>54</v>
      </c>
      <c r="S131" t="s">
        <v>55</v>
      </c>
      <c r="T131" s="1">
        <v>489229991.79000002</v>
      </c>
      <c r="U131" s="1">
        <v>26407633.699999999</v>
      </c>
      <c r="V131" s="13" t="str">
        <f t="shared" si="21"/>
        <v>OK</v>
      </c>
      <c r="W131" s="1">
        <v>69577864.739999995</v>
      </c>
      <c r="X131" s="1">
        <v>29146880.550000001</v>
      </c>
      <c r="Y131" t="s">
        <v>54</v>
      </c>
      <c r="Z131">
        <v>533402.72</v>
      </c>
      <c r="AA131">
        <v>52668.24</v>
      </c>
      <c r="AB131">
        <v>28335.11</v>
      </c>
      <c r="AC131">
        <v>43489794.689999998</v>
      </c>
      <c r="AD131" s="13" t="str">
        <f t="shared" si="22"/>
        <v>OK</v>
      </c>
      <c r="AE131">
        <v>188683337.38</v>
      </c>
      <c r="AG131">
        <v>29365700.050000001</v>
      </c>
      <c r="AH131">
        <v>0</v>
      </c>
      <c r="AI131">
        <v>0</v>
      </c>
      <c r="AJ131" s="13" t="str">
        <f t="shared" si="23"/>
        <v>OK</v>
      </c>
      <c r="AK131">
        <v>0</v>
      </c>
      <c r="AL131">
        <v>0</v>
      </c>
      <c r="AM131">
        <v>0</v>
      </c>
      <c r="AN131">
        <v>0</v>
      </c>
      <c r="AO131">
        <v>39953400</v>
      </c>
      <c r="AP131">
        <v>399534</v>
      </c>
      <c r="AQ131" s="15">
        <f t="shared" si="24"/>
        <v>-39553866</v>
      </c>
      <c r="AR131">
        <v>39953400</v>
      </c>
      <c r="AS131">
        <v>0</v>
      </c>
      <c r="AT131">
        <v>0</v>
      </c>
      <c r="AU131">
        <v>0</v>
      </c>
      <c r="AV131" s="16">
        <f t="shared" si="25"/>
        <v>-39953400</v>
      </c>
      <c r="AW131" s="13" t="str">
        <f t="shared" si="26"/>
        <v>NÃO</v>
      </c>
      <c r="AX131" s="13" t="str">
        <f t="shared" si="27"/>
        <v>OK</v>
      </c>
      <c r="AY131" s="13" t="str">
        <f t="shared" si="28"/>
        <v>OK</v>
      </c>
      <c r="AZ131">
        <f t="shared" si="29"/>
        <v>23.04909129438041</v>
      </c>
    </row>
    <row r="132" spans="2:52" x14ac:dyDescent="0.3">
      <c r="B132" t="s">
        <v>647</v>
      </c>
      <c r="C132" t="s">
        <v>651</v>
      </c>
      <c r="D132" t="s">
        <v>652</v>
      </c>
      <c r="E132" t="s">
        <v>653</v>
      </c>
      <c r="F132" t="s">
        <v>46</v>
      </c>
      <c r="G132" t="s">
        <v>224</v>
      </c>
      <c r="H132" t="s">
        <v>48</v>
      </c>
      <c r="I132" t="s">
        <v>76</v>
      </c>
      <c r="J132" t="s">
        <v>50</v>
      </c>
      <c r="K132" t="s">
        <v>51</v>
      </c>
      <c r="L132" t="s">
        <v>51</v>
      </c>
      <c r="M132" t="s">
        <v>52</v>
      </c>
      <c r="N132" t="s">
        <v>654</v>
      </c>
      <c r="O132" s="11" t="str">
        <f t="shared" si="20"/>
        <v>OK</v>
      </c>
      <c r="P132" t="s">
        <v>54</v>
      </c>
      <c r="Q132" t="s">
        <v>54</v>
      </c>
      <c r="R132" t="s">
        <v>51</v>
      </c>
      <c r="S132" t="s">
        <v>55</v>
      </c>
      <c r="T132" s="1">
        <v>72574.5</v>
      </c>
      <c r="U132" s="1">
        <v>201250.05</v>
      </c>
      <c r="V132" s="13" t="str">
        <f t="shared" si="21"/>
        <v>OK</v>
      </c>
      <c r="W132" s="1">
        <v>214488.62</v>
      </c>
      <c r="X132" s="1">
        <v>0</v>
      </c>
      <c r="Y132" t="s">
        <v>51</v>
      </c>
      <c r="Z132">
        <v>16695.84</v>
      </c>
      <c r="AA132">
        <v>0</v>
      </c>
      <c r="AB132">
        <v>0</v>
      </c>
      <c r="AC132">
        <v>-138579.04999999999</v>
      </c>
      <c r="AD132" s="13" t="str">
        <f t="shared" si="22"/>
        <v>OK</v>
      </c>
      <c r="AE132">
        <v>1002194.11</v>
      </c>
      <c r="AG132">
        <v>0</v>
      </c>
      <c r="AH132">
        <v>0</v>
      </c>
      <c r="AI132">
        <v>0</v>
      </c>
      <c r="AJ132" s="13" t="str">
        <f t="shared" si="23"/>
        <v>OK</v>
      </c>
      <c r="AK132">
        <v>0</v>
      </c>
      <c r="AL132">
        <v>0</v>
      </c>
      <c r="AM132">
        <v>0</v>
      </c>
      <c r="AN132">
        <v>0</v>
      </c>
      <c r="AO132">
        <v>100</v>
      </c>
      <c r="AP132">
        <v>100</v>
      </c>
      <c r="AQ132" s="15">
        <f t="shared" si="24"/>
        <v>0</v>
      </c>
      <c r="AR132">
        <v>3426643.64</v>
      </c>
      <c r="AS132">
        <v>3426643.64</v>
      </c>
      <c r="AT132">
        <v>0</v>
      </c>
      <c r="AU132">
        <v>0</v>
      </c>
      <c r="AV132" s="16">
        <f t="shared" si="25"/>
        <v>0</v>
      </c>
      <c r="AW132" s="13" t="str">
        <f t="shared" si="26"/>
        <v>NÃO</v>
      </c>
      <c r="AX132" s="13" t="str">
        <f t="shared" si="27"/>
        <v>OK</v>
      </c>
      <c r="AY132" s="13" t="str">
        <f t="shared" si="28"/>
        <v>OK</v>
      </c>
      <c r="AZ132">
        <f t="shared" si="29"/>
        <v>-13.82756579960343</v>
      </c>
    </row>
    <row r="133" spans="2:52" x14ac:dyDescent="0.3">
      <c r="B133" t="s">
        <v>647</v>
      </c>
      <c r="C133" t="s">
        <v>665</v>
      </c>
      <c r="D133" t="s">
        <v>666</v>
      </c>
      <c r="E133" t="s">
        <v>667</v>
      </c>
      <c r="F133" t="s">
        <v>46</v>
      </c>
      <c r="G133" t="s">
        <v>107</v>
      </c>
      <c r="H133" t="s">
        <v>60</v>
      </c>
      <c r="I133" t="s">
        <v>49</v>
      </c>
      <c r="J133" t="s">
        <v>50</v>
      </c>
      <c r="K133" t="s">
        <v>51</v>
      </c>
      <c r="L133" t="s">
        <v>51</v>
      </c>
      <c r="M133" t="s">
        <v>134</v>
      </c>
      <c r="N133" t="s">
        <v>668</v>
      </c>
      <c r="O133" s="11" t="str">
        <f t="shared" si="20"/>
        <v>OK</v>
      </c>
      <c r="P133" t="s">
        <v>54</v>
      </c>
      <c r="Q133" t="s">
        <v>54</v>
      </c>
      <c r="R133" t="s">
        <v>54</v>
      </c>
      <c r="S133" t="s">
        <v>669</v>
      </c>
      <c r="T133" s="1">
        <v>836133064.83000004</v>
      </c>
      <c r="U133" s="1">
        <v>219335241.81999999</v>
      </c>
      <c r="V133" s="13" t="str">
        <f t="shared" si="21"/>
        <v>OK</v>
      </c>
      <c r="W133" s="1">
        <v>742719704.63</v>
      </c>
      <c r="X133" s="1">
        <v>236421341.36000001</v>
      </c>
      <c r="Y133" t="s">
        <v>54</v>
      </c>
      <c r="Z133">
        <v>508603.9</v>
      </c>
      <c r="AA133">
        <v>22444.17</v>
      </c>
      <c r="AB133">
        <v>19133.009999999998</v>
      </c>
      <c r="AC133">
        <v>90586784.700000003</v>
      </c>
      <c r="AD133" s="13" t="str">
        <f t="shared" si="22"/>
        <v>OK</v>
      </c>
      <c r="AE133">
        <v>1236679607.96</v>
      </c>
      <c r="AG133">
        <v>0</v>
      </c>
      <c r="AH133">
        <v>0</v>
      </c>
      <c r="AI133">
        <v>0</v>
      </c>
      <c r="AJ133" s="13" t="str">
        <f t="shared" si="23"/>
        <v>OK</v>
      </c>
      <c r="AK133">
        <v>0</v>
      </c>
      <c r="AL133">
        <v>0</v>
      </c>
      <c r="AM133">
        <v>75178884.189999998</v>
      </c>
      <c r="AN133">
        <v>77351959.790000007</v>
      </c>
      <c r="AO133">
        <v>100</v>
      </c>
      <c r="AP133">
        <v>100</v>
      </c>
      <c r="AQ133" s="15">
        <f t="shared" si="24"/>
        <v>0</v>
      </c>
      <c r="AR133">
        <v>891788338.08000004</v>
      </c>
      <c r="AS133">
        <v>969140297.87</v>
      </c>
      <c r="AT133">
        <v>0</v>
      </c>
      <c r="AU133">
        <v>0</v>
      </c>
      <c r="AV133" s="16">
        <f t="shared" si="25"/>
        <v>77351959.789999962</v>
      </c>
      <c r="AW133" s="13" t="str">
        <f t="shared" si="26"/>
        <v>SIM</v>
      </c>
      <c r="AX133" s="13" t="str">
        <f t="shared" si="27"/>
        <v>VER CAPITAL</v>
      </c>
      <c r="AY133" s="13" t="str">
        <f t="shared" si="28"/>
        <v>OK</v>
      </c>
      <c r="AZ133">
        <f t="shared" si="29"/>
        <v>7.3250002762987254</v>
      </c>
    </row>
    <row r="134" spans="2:52" x14ac:dyDescent="0.3">
      <c r="B134" t="s">
        <v>670</v>
      </c>
      <c r="C134" t="s">
        <v>707</v>
      </c>
      <c r="D134" t="s">
        <v>708</v>
      </c>
      <c r="E134" t="s">
        <v>709</v>
      </c>
      <c r="F134" t="s">
        <v>46</v>
      </c>
      <c r="G134" t="s">
        <v>71</v>
      </c>
      <c r="H134" t="s">
        <v>60</v>
      </c>
      <c r="I134" t="s">
        <v>49</v>
      </c>
      <c r="J134" t="s">
        <v>50</v>
      </c>
      <c r="K134" t="s">
        <v>51</v>
      </c>
      <c r="L134" t="s">
        <v>51</v>
      </c>
      <c r="M134" t="s">
        <v>134</v>
      </c>
      <c r="N134" t="s">
        <v>710</v>
      </c>
      <c r="O134" s="11" t="str">
        <f t="shared" si="20"/>
        <v>OK</v>
      </c>
      <c r="P134" t="s">
        <v>54</v>
      </c>
      <c r="Q134" t="s">
        <v>54</v>
      </c>
      <c r="R134" t="s">
        <v>51</v>
      </c>
      <c r="S134" t="s">
        <v>675</v>
      </c>
      <c r="T134" s="1">
        <v>25598000</v>
      </c>
      <c r="U134" s="1">
        <v>1201752</v>
      </c>
      <c r="V134" s="13" t="str">
        <f t="shared" si="21"/>
        <v>OK</v>
      </c>
      <c r="W134" s="1">
        <v>2666982</v>
      </c>
      <c r="X134" s="1">
        <v>4068</v>
      </c>
      <c r="Y134" t="s">
        <v>51</v>
      </c>
      <c r="Z134">
        <v>265490</v>
      </c>
      <c r="AA134">
        <v>0</v>
      </c>
      <c r="AB134">
        <v>0</v>
      </c>
      <c r="AC134">
        <v>4919619</v>
      </c>
      <c r="AD134" s="13" t="str">
        <f t="shared" si="22"/>
        <v>OK</v>
      </c>
      <c r="AE134">
        <v>219285</v>
      </c>
      <c r="AF134">
        <v>0</v>
      </c>
      <c r="AG134">
        <v>0</v>
      </c>
      <c r="AH134">
        <v>0</v>
      </c>
      <c r="AI134">
        <v>0</v>
      </c>
      <c r="AJ134" s="13" t="str">
        <f t="shared" si="23"/>
        <v>OK</v>
      </c>
      <c r="AK134">
        <v>0</v>
      </c>
      <c r="AL134">
        <v>0</v>
      </c>
      <c r="AM134">
        <v>78580936.790000007</v>
      </c>
      <c r="AN134">
        <v>0</v>
      </c>
      <c r="AO134">
        <v>99.99</v>
      </c>
      <c r="AP134">
        <v>99.99</v>
      </c>
      <c r="AQ134" s="15">
        <f t="shared" si="24"/>
        <v>0</v>
      </c>
      <c r="AR134">
        <v>210141484.66999999</v>
      </c>
      <c r="AS134">
        <v>210141484.66999999</v>
      </c>
      <c r="AT134">
        <v>0</v>
      </c>
      <c r="AU134">
        <v>0</v>
      </c>
      <c r="AV134" s="16">
        <f t="shared" si="25"/>
        <v>0</v>
      </c>
      <c r="AW134" s="13" t="str">
        <f t="shared" si="26"/>
        <v>NÃO</v>
      </c>
      <c r="AX134" s="13" t="str">
        <f t="shared" si="27"/>
        <v>OK</v>
      </c>
      <c r="AY134" s="13" t="str">
        <f t="shared" si="28"/>
        <v>OK</v>
      </c>
      <c r="AZ134">
        <f t="shared" si="29"/>
        <v>2243.4817702989262</v>
      </c>
    </row>
    <row r="135" spans="2:52" x14ac:dyDescent="0.3">
      <c r="B135" t="s">
        <v>670</v>
      </c>
      <c r="C135" t="s">
        <v>671</v>
      </c>
      <c r="D135" t="s">
        <v>672</v>
      </c>
      <c r="E135" t="s">
        <v>673</v>
      </c>
      <c r="F135" t="s">
        <v>46</v>
      </c>
      <c r="G135" t="s">
        <v>102</v>
      </c>
      <c r="H135" t="s">
        <v>48</v>
      </c>
      <c r="I135" t="s">
        <v>76</v>
      </c>
      <c r="J135" t="s">
        <v>50</v>
      </c>
      <c r="K135" t="s">
        <v>51</v>
      </c>
      <c r="L135" t="s">
        <v>51</v>
      </c>
      <c r="M135" t="s">
        <v>52</v>
      </c>
      <c r="N135" t="s">
        <v>674</v>
      </c>
      <c r="O135" s="11" t="str">
        <f t="shared" si="20"/>
        <v>OK</v>
      </c>
      <c r="P135" t="s">
        <v>54</v>
      </c>
      <c r="Q135" t="s">
        <v>54</v>
      </c>
      <c r="R135" t="s">
        <v>51</v>
      </c>
      <c r="S135" t="s">
        <v>675</v>
      </c>
      <c r="T135" s="1">
        <v>1586186.01</v>
      </c>
      <c r="U135" s="1">
        <v>127547925.81</v>
      </c>
      <c r="V135" s="13" t="str">
        <f t="shared" si="21"/>
        <v>OK</v>
      </c>
      <c r="W135" s="1">
        <v>142208198.66</v>
      </c>
      <c r="X135" s="1">
        <v>3062369.86</v>
      </c>
      <c r="Y135" t="s">
        <v>51</v>
      </c>
      <c r="Z135">
        <v>408008.49</v>
      </c>
      <c r="AA135">
        <v>0</v>
      </c>
      <c r="AB135">
        <v>151.25</v>
      </c>
      <c r="AC135">
        <v>3510344.61</v>
      </c>
      <c r="AD135" s="13" t="str">
        <f t="shared" si="22"/>
        <v>OK</v>
      </c>
      <c r="AE135">
        <v>103203565.26000001</v>
      </c>
      <c r="AF135">
        <v>0</v>
      </c>
      <c r="AG135">
        <v>0</v>
      </c>
      <c r="AH135">
        <v>185017057.93000001</v>
      </c>
      <c r="AI135">
        <v>145339209.13999999</v>
      </c>
      <c r="AJ135" s="13" t="str">
        <f t="shared" si="23"/>
        <v>OK</v>
      </c>
      <c r="AK135">
        <v>144257699.21000001</v>
      </c>
      <c r="AL135" s="14">
        <v>140619688.66</v>
      </c>
      <c r="AM135">
        <v>0</v>
      </c>
      <c r="AN135">
        <v>0</v>
      </c>
      <c r="AO135">
        <v>100</v>
      </c>
      <c r="AP135">
        <v>100</v>
      </c>
      <c r="AQ135" s="15">
        <f t="shared" si="24"/>
        <v>0</v>
      </c>
      <c r="AR135">
        <v>34889260.759999998</v>
      </c>
      <c r="AS135">
        <v>34889260.759999998</v>
      </c>
      <c r="AT135">
        <v>0</v>
      </c>
      <c r="AU135">
        <v>0</v>
      </c>
      <c r="AV135" s="16">
        <f t="shared" si="25"/>
        <v>0</v>
      </c>
      <c r="AW135" s="13" t="str">
        <f t="shared" si="26"/>
        <v>NÃO</v>
      </c>
      <c r="AX135" s="13" t="str">
        <f t="shared" si="27"/>
        <v>OK</v>
      </c>
      <c r="AY135" s="13" t="str">
        <f t="shared" si="28"/>
        <v>OK</v>
      </c>
      <c r="AZ135">
        <f t="shared" si="29"/>
        <v>3.4013792073523952</v>
      </c>
    </row>
    <row r="136" spans="2:52" x14ac:dyDescent="0.3">
      <c r="B136" t="s">
        <v>670</v>
      </c>
      <c r="C136" t="s">
        <v>676</v>
      </c>
      <c r="D136" t="s">
        <v>677</v>
      </c>
      <c r="E136" t="s">
        <v>678</v>
      </c>
      <c r="F136" t="s">
        <v>70</v>
      </c>
      <c r="G136" t="s">
        <v>224</v>
      </c>
      <c r="H136" t="s">
        <v>60</v>
      </c>
      <c r="I136" t="s">
        <v>76</v>
      </c>
      <c r="J136" t="s">
        <v>50</v>
      </c>
      <c r="K136" t="s">
        <v>51</v>
      </c>
      <c r="L136" t="s">
        <v>51</v>
      </c>
      <c r="M136" t="s">
        <v>52</v>
      </c>
      <c r="N136" t="s">
        <v>679</v>
      </c>
      <c r="O136" s="11" t="str">
        <f t="shared" si="20"/>
        <v>OK</v>
      </c>
      <c r="P136" t="s">
        <v>54</v>
      </c>
      <c r="Q136" t="s">
        <v>54</v>
      </c>
      <c r="R136" t="s">
        <v>51</v>
      </c>
      <c r="S136" t="s">
        <v>675</v>
      </c>
      <c r="T136" s="1">
        <v>0</v>
      </c>
      <c r="U136" s="1">
        <v>23939272.850000001</v>
      </c>
      <c r="V136" s="13" t="str">
        <f t="shared" si="21"/>
        <v>OK</v>
      </c>
      <c r="W136" s="1">
        <v>56903961.350000001</v>
      </c>
      <c r="X136" s="1">
        <v>1162596</v>
      </c>
      <c r="Y136" t="s">
        <v>51</v>
      </c>
      <c r="Z136">
        <v>94063.76</v>
      </c>
      <c r="AA136">
        <v>0</v>
      </c>
      <c r="AB136">
        <v>62558.85</v>
      </c>
      <c r="AC136">
        <v>-6844361</v>
      </c>
      <c r="AD136" s="13" t="str">
        <f t="shared" si="22"/>
        <v>OK</v>
      </c>
      <c r="AE136">
        <v>33761392.759999998</v>
      </c>
      <c r="AF136">
        <v>0</v>
      </c>
      <c r="AG136">
        <v>0</v>
      </c>
      <c r="AH136">
        <v>38369237</v>
      </c>
      <c r="AI136">
        <v>77666491</v>
      </c>
      <c r="AJ136" s="13" t="str">
        <f t="shared" si="23"/>
        <v>OK</v>
      </c>
      <c r="AK136">
        <v>2424223</v>
      </c>
      <c r="AL136" s="14">
        <v>3199488.37</v>
      </c>
      <c r="AM136">
        <v>298165</v>
      </c>
      <c r="AN136">
        <v>0</v>
      </c>
      <c r="AO136">
        <v>99.99</v>
      </c>
      <c r="AP136">
        <v>99.99</v>
      </c>
      <c r="AQ136" s="15">
        <f t="shared" si="24"/>
        <v>0</v>
      </c>
      <c r="AR136">
        <v>61171276</v>
      </c>
      <c r="AS136">
        <v>0</v>
      </c>
      <c r="AT136">
        <v>0</v>
      </c>
      <c r="AU136">
        <v>0</v>
      </c>
      <c r="AV136" s="16">
        <f t="shared" si="25"/>
        <v>-61171276</v>
      </c>
      <c r="AW136" s="13" t="str">
        <f t="shared" si="26"/>
        <v>NÃO</v>
      </c>
      <c r="AX136" s="13" t="str">
        <f t="shared" si="27"/>
        <v>OK</v>
      </c>
      <c r="AY136" s="13" t="str">
        <f t="shared" si="28"/>
        <v>OK</v>
      </c>
      <c r="AZ136">
        <f t="shared" si="29"/>
        <v>-20.272744814334491</v>
      </c>
    </row>
    <row r="137" spans="2:52" x14ac:dyDescent="0.3">
      <c r="B137" t="s">
        <v>670</v>
      </c>
      <c r="C137" t="s">
        <v>680</v>
      </c>
      <c r="D137" t="s">
        <v>681</v>
      </c>
      <c r="E137" t="s">
        <v>682</v>
      </c>
      <c r="F137" t="s">
        <v>46</v>
      </c>
      <c r="G137" t="s">
        <v>139</v>
      </c>
      <c r="H137" t="s">
        <v>60</v>
      </c>
      <c r="I137" t="s">
        <v>49</v>
      </c>
      <c r="J137" t="s">
        <v>50</v>
      </c>
      <c r="K137" t="s">
        <v>51</v>
      </c>
      <c r="L137" t="s">
        <v>51</v>
      </c>
      <c r="M137" t="s">
        <v>52</v>
      </c>
      <c r="N137" t="s">
        <v>683</v>
      </c>
      <c r="O137" s="11" t="str">
        <f t="shared" si="20"/>
        <v>OK</v>
      </c>
      <c r="P137" t="s">
        <v>54</v>
      </c>
      <c r="Q137" t="s">
        <v>54</v>
      </c>
      <c r="R137" t="s">
        <v>51</v>
      </c>
      <c r="S137" t="s">
        <v>675</v>
      </c>
      <c r="T137" s="1">
        <v>33328033.870000001</v>
      </c>
      <c r="U137" s="1">
        <v>4524613.93</v>
      </c>
      <c r="V137" s="13" t="str">
        <f t="shared" si="21"/>
        <v>OK</v>
      </c>
      <c r="W137" s="1">
        <v>120697167.48</v>
      </c>
      <c r="X137" s="1">
        <v>852340.08</v>
      </c>
      <c r="Y137" t="s">
        <v>51</v>
      </c>
      <c r="Z137">
        <v>328577.76</v>
      </c>
      <c r="AA137">
        <v>0</v>
      </c>
      <c r="AB137">
        <v>143589.12</v>
      </c>
      <c r="AC137">
        <v>0</v>
      </c>
      <c r="AD137" s="13" t="str">
        <f t="shared" si="22"/>
        <v>OK</v>
      </c>
      <c r="AE137">
        <v>0</v>
      </c>
      <c r="AF137">
        <v>0</v>
      </c>
      <c r="AG137">
        <v>0</v>
      </c>
      <c r="AH137">
        <v>8011265.4900000002</v>
      </c>
      <c r="AI137">
        <v>113581.49</v>
      </c>
      <c r="AJ137" s="13" t="str">
        <f t="shared" si="23"/>
        <v>OK</v>
      </c>
      <c r="AK137">
        <v>0</v>
      </c>
      <c r="AL137" s="14">
        <v>0</v>
      </c>
      <c r="AM137">
        <v>0</v>
      </c>
      <c r="AN137">
        <v>0</v>
      </c>
      <c r="AO137">
        <v>99.99</v>
      </c>
      <c r="AP137">
        <v>99.99</v>
      </c>
      <c r="AQ137" s="15">
        <f t="shared" si="24"/>
        <v>0</v>
      </c>
      <c r="AR137">
        <v>8500007</v>
      </c>
      <c r="AS137">
        <v>8500007</v>
      </c>
      <c r="AT137">
        <v>0</v>
      </c>
      <c r="AU137">
        <v>0</v>
      </c>
      <c r="AV137" s="16">
        <f t="shared" si="25"/>
        <v>0</v>
      </c>
      <c r="AW137" s="13" t="str">
        <f t="shared" si="26"/>
        <v>NÃO</v>
      </c>
      <c r="AX137" s="13" t="str">
        <f t="shared" si="27"/>
        <v>OK</v>
      </c>
      <c r="AY137" s="13" t="str">
        <f t="shared" si="28"/>
        <v>OK</v>
      </c>
      <c r="AZ137" t="e">
        <f t="shared" si="29"/>
        <v>#DIV/0!</v>
      </c>
    </row>
    <row r="138" spans="2:52" x14ac:dyDescent="0.3">
      <c r="B138" t="s">
        <v>670</v>
      </c>
      <c r="C138" t="s">
        <v>684</v>
      </c>
      <c r="D138" t="s">
        <v>685</v>
      </c>
      <c r="E138" t="s">
        <v>686</v>
      </c>
      <c r="F138" t="s">
        <v>46</v>
      </c>
      <c r="G138" t="s">
        <v>133</v>
      </c>
      <c r="H138" t="s">
        <v>60</v>
      </c>
      <c r="I138" t="s">
        <v>49</v>
      </c>
      <c r="J138" t="s">
        <v>50</v>
      </c>
      <c r="K138" t="s">
        <v>51</v>
      </c>
      <c r="L138" t="s">
        <v>51</v>
      </c>
      <c r="M138" t="s">
        <v>52</v>
      </c>
      <c r="N138" t="s">
        <v>687</v>
      </c>
      <c r="O138" s="11" t="str">
        <f t="shared" si="20"/>
        <v>OK</v>
      </c>
      <c r="P138" t="s">
        <v>54</v>
      </c>
      <c r="Q138" t="s">
        <v>54</v>
      </c>
      <c r="R138" t="s">
        <v>51</v>
      </c>
      <c r="S138" t="s">
        <v>688</v>
      </c>
      <c r="T138" s="1">
        <v>392423949.07999998</v>
      </c>
      <c r="U138" s="1">
        <v>1676736.39</v>
      </c>
      <c r="V138" s="13" t="str">
        <f t="shared" si="21"/>
        <v>OK</v>
      </c>
      <c r="W138" s="1">
        <v>67511791.519999996</v>
      </c>
      <c r="X138" s="1">
        <v>53312410.109999999</v>
      </c>
      <c r="Y138" t="s">
        <v>51</v>
      </c>
      <c r="Z138">
        <v>464500.76</v>
      </c>
      <c r="AA138">
        <v>0</v>
      </c>
      <c r="AB138">
        <v>177487.66</v>
      </c>
      <c r="AC138">
        <v>38357340.439999998</v>
      </c>
      <c r="AD138" s="13" t="str">
        <f t="shared" si="22"/>
        <v>OK</v>
      </c>
      <c r="AE138">
        <v>1238329036.54</v>
      </c>
      <c r="AF138">
        <v>1200000000</v>
      </c>
      <c r="AG138">
        <v>0</v>
      </c>
      <c r="AH138">
        <v>14992000.84</v>
      </c>
      <c r="AI138">
        <v>392423949.07999998</v>
      </c>
      <c r="AJ138" s="13" t="str">
        <f t="shared" si="23"/>
        <v>OK</v>
      </c>
      <c r="AK138">
        <v>0</v>
      </c>
      <c r="AL138" s="14">
        <v>0</v>
      </c>
      <c r="AM138">
        <v>856786746.74000001</v>
      </c>
      <c r="AN138">
        <v>0</v>
      </c>
      <c r="AO138">
        <v>99.99</v>
      </c>
      <c r="AP138">
        <v>99.99</v>
      </c>
      <c r="AQ138" s="15">
        <f t="shared" si="24"/>
        <v>0</v>
      </c>
      <c r="AR138">
        <v>150000000</v>
      </c>
      <c r="AS138">
        <v>1200000000</v>
      </c>
      <c r="AT138">
        <v>100000000</v>
      </c>
      <c r="AU138">
        <v>0</v>
      </c>
      <c r="AV138" s="16">
        <f t="shared" si="25"/>
        <v>1050000000</v>
      </c>
      <c r="AW138" s="13" t="str">
        <f t="shared" si="26"/>
        <v>SIM</v>
      </c>
      <c r="AX138" s="13" t="str">
        <f t="shared" si="27"/>
        <v>OK</v>
      </c>
      <c r="AY138" s="13" t="str">
        <f t="shared" si="28"/>
        <v>OK</v>
      </c>
      <c r="AZ138">
        <f t="shared" si="29"/>
        <v>3.0975079569460613</v>
      </c>
    </row>
    <row r="139" spans="2:52" x14ac:dyDescent="0.3">
      <c r="B139" t="s">
        <v>670</v>
      </c>
      <c r="C139" t="s">
        <v>689</v>
      </c>
      <c r="D139" t="s">
        <v>690</v>
      </c>
      <c r="E139" t="s">
        <v>691</v>
      </c>
      <c r="F139" t="s">
        <v>46</v>
      </c>
      <c r="G139" t="s">
        <v>65</v>
      </c>
      <c r="H139" t="s">
        <v>60</v>
      </c>
      <c r="I139" t="s">
        <v>49</v>
      </c>
      <c r="J139" t="s">
        <v>50</v>
      </c>
      <c r="K139" t="s">
        <v>51</v>
      </c>
      <c r="L139" t="s">
        <v>54</v>
      </c>
      <c r="M139" t="s">
        <v>52</v>
      </c>
      <c r="N139" t="s">
        <v>66</v>
      </c>
      <c r="O139" s="11" t="str">
        <f t="shared" si="20"/>
        <v>VERIFICAR</v>
      </c>
      <c r="P139" t="s">
        <v>54</v>
      </c>
      <c r="Q139" t="s">
        <v>54</v>
      </c>
      <c r="R139" t="s">
        <v>51</v>
      </c>
      <c r="S139" t="s">
        <v>675</v>
      </c>
      <c r="T139" s="1">
        <v>0</v>
      </c>
      <c r="U139" s="1">
        <v>0</v>
      </c>
      <c r="V139" s="13" t="str">
        <f t="shared" si="21"/>
        <v>OK</v>
      </c>
      <c r="W139" s="1">
        <v>0</v>
      </c>
      <c r="X139" s="1">
        <v>0</v>
      </c>
      <c r="Y139" t="s">
        <v>51</v>
      </c>
      <c r="Z139">
        <v>0</v>
      </c>
      <c r="AA139">
        <v>0</v>
      </c>
      <c r="AB139">
        <v>0</v>
      </c>
      <c r="AC139">
        <v>0</v>
      </c>
      <c r="AD139" s="13" t="str">
        <f t="shared" si="22"/>
        <v>OK</v>
      </c>
      <c r="AE139">
        <v>5000000</v>
      </c>
      <c r="AF139">
        <v>5000000</v>
      </c>
      <c r="AG139">
        <v>0</v>
      </c>
      <c r="AH139">
        <v>0</v>
      </c>
      <c r="AI139">
        <v>0</v>
      </c>
      <c r="AJ139" s="13" t="str">
        <f t="shared" si="23"/>
        <v>OK</v>
      </c>
      <c r="AK139">
        <v>0</v>
      </c>
      <c r="AL139">
        <v>0</v>
      </c>
      <c r="AM139">
        <v>0</v>
      </c>
      <c r="AN139">
        <v>0</v>
      </c>
      <c r="AO139">
        <v>100</v>
      </c>
      <c r="AP139">
        <v>100</v>
      </c>
      <c r="AQ139" s="15">
        <f t="shared" si="24"/>
        <v>0</v>
      </c>
      <c r="AR139">
        <v>5000000</v>
      </c>
      <c r="AS139">
        <v>5000000</v>
      </c>
      <c r="AT139">
        <v>0</v>
      </c>
      <c r="AU139">
        <v>0</v>
      </c>
      <c r="AV139" s="16">
        <f t="shared" si="25"/>
        <v>0</v>
      </c>
      <c r="AW139" s="13" t="str">
        <f t="shared" si="26"/>
        <v>NÃO</v>
      </c>
      <c r="AX139" s="13" t="str">
        <f t="shared" si="27"/>
        <v>OK</v>
      </c>
      <c r="AY139" s="13" t="str">
        <f t="shared" si="28"/>
        <v>OK</v>
      </c>
      <c r="AZ139">
        <f t="shared" si="29"/>
        <v>0</v>
      </c>
    </row>
    <row r="140" spans="2:52" x14ac:dyDescent="0.3">
      <c r="B140" t="s">
        <v>670</v>
      </c>
      <c r="C140" t="s">
        <v>692</v>
      </c>
      <c r="D140" t="s">
        <v>693</v>
      </c>
      <c r="E140" t="s">
        <v>694</v>
      </c>
      <c r="F140" t="s">
        <v>46</v>
      </c>
      <c r="G140" t="s">
        <v>162</v>
      </c>
      <c r="H140" t="s">
        <v>60</v>
      </c>
      <c r="I140" t="s">
        <v>49</v>
      </c>
      <c r="J140" t="s">
        <v>50</v>
      </c>
      <c r="K140" t="s">
        <v>51</v>
      </c>
      <c r="L140" t="s">
        <v>54</v>
      </c>
      <c r="M140" t="s">
        <v>52</v>
      </c>
      <c r="N140" t="s">
        <v>66</v>
      </c>
      <c r="O140" s="11" t="str">
        <f t="shared" si="20"/>
        <v>VERIFICAR</v>
      </c>
      <c r="P140" t="s">
        <v>54</v>
      </c>
      <c r="Q140" t="s">
        <v>54</v>
      </c>
      <c r="R140" t="s">
        <v>51</v>
      </c>
      <c r="S140" t="s">
        <v>675</v>
      </c>
      <c r="T140" s="1">
        <v>0</v>
      </c>
      <c r="U140" s="1">
        <v>0</v>
      </c>
      <c r="V140" s="13" t="str">
        <f t="shared" si="21"/>
        <v>OK</v>
      </c>
      <c r="W140" s="1">
        <v>0</v>
      </c>
      <c r="X140" s="1">
        <v>0</v>
      </c>
      <c r="Y140" t="s">
        <v>51</v>
      </c>
      <c r="Z140">
        <v>0</v>
      </c>
      <c r="AA140">
        <v>0</v>
      </c>
      <c r="AB140">
        <v>0</v>
      </c>
      <c r="AC140">
        <v>0</v>
      </c>
      <c r="AD140" s="13" t="str">
        <f t="shared" si="22"/>
        <v>OK</v>
      </c>
      <c r="AE140">
        <v>5500000</v>
      </c>
      <c r="AF140">
        <v>5500000</v>
      </c>
      <c r="AG140">
        <v>0</v>
      </c>
      <c r="AH140">
        <v>0</v>
      </c>
      <c r="AI140">
        <v>0</v>
      </c>
      <c r="AJ140" s="13" t="str">
        <f t="shared" si="23"/>
        <v>OK</v>
      </c>
      <c r="AK140">
        <v>0</v>
      </c>
      <c r="AL140">
        <v>0</v>
      </c>
      <c r="AM140">
        <v>0</v>
      </c>
      <c r="AN140">
        <v>0</v>
      </c>
      <c r="AO140">
        <v>100</v>
      </c>
      <c r="AP140">
        <v>100</v>
      </c>
      <c r="AQ140" s="15">
        <f t="shared" si="24"/>
        <v>0</v>
      </c>
      <c r="AR140">
        <v>5500000</v>
      </c>
      <c r="AS140">
        <v>5500000</v>
      </c>
      <c r="AT140">
        <v>0</v>
      </c>
      <c r="AU140">
        <v>0</v>
      </c>
      <c r="AV140" s="16">
        <f t="shared" si="25"/>
        <v>0</v>
      </c>
      <c r="AW140" s="13" t="str">
        <f t="shared" si="26"/>
        <v>NÃO</v>
      </c>
      <c r="AX140" s="13" t="str">
        <f t="shared" si="27"/>
        <v>OK</v>
      </c>
      <c r="AY140" s="13" t="str">
        <f t="shared" si="28"/>
        <v>OK</v>
      </c>
      <c r="AZ140">
        <f t="shared" si="29"/>
        <v>0</v>
      </c>
    </row>
    <row r="141" spans="2:52" x14ac:dyDescent="0.3">
      <c r="B141" t="s">
        <v>670</v>
      </c>
      <c r="C141" t="s">
        <v>695</v>
      </c>
      <c r="D141" t="s">
        <v>696</v>
      </c>
      <c r="E141" t="s">
        <v>697</v>
      </c>
      <c r="F141" t="s">
        <v>46</v>
      </c>
      <c r="G141" t="s">
        <v>47</v>
      </c>
      <c r="H141" t="s">
        <v>48</v>
      </c>
      <c r="I141" t="s">
        <v>76</v>
      </c>
      <c r="J141" t="s">
        <v>50</v>
      </c>
      <c r="K141" t="s">
        <v>51</v>
      </c>
      <c r="L141" t="s">
        <v>51</v>
      </c>
      <c r="M141" t="s">
        <v>52</v>
      </c>
      <c r="N141" t="s">
        <v>698</v>
      </c>
      <c r="O141" s="11" t="str">
        <f t="shared" si="20"/>
        <v>OK</v>
      </c>
      <c r="P141" t="s">
        <v>54</v>
      </c>
      <c r="Q141" t="s">
        <v>54</v>
      </c>
      <c r="R141" t="s">
        <v>51</v>
      </c>
      <c r="S141" t="s">
        <v>699</v>
      </c>
      <c r="T141" s="1">
        <v>82875490.269999996</v>
      </c>
      <c r="U141" s="1">
        <v>105697124.40000001</v>
      </c>
      <c r="V141" s="13" t="str">
        <f t="shared" si="21"/>
        <v>OK</v>
      </c>
      <c r="W141" s="1">
        <v>230792933.22999999</v>
      </c>
      <c r="X141" s="1">
        <v>55079369.640000001</v>
      </c>
      <c r="Y141" t="s">
        <v>51</v>
      </c>
      <c r="Z141">
        <v>516329.84</v>
      </c>
      <c r="AA141">
        <v>0</v>
      </c>
      <c r="AB141">
        <v>0</v>
      </c>
      <c r="AC141">
        <v>2196138.02</v>
      </c>
      <c r="AD141" s="13" t="str">
        <f t="shared" si="22"/>
        <v>OK</v>
      </c>
      <c r="AE141">
        <v>100381544.69</v>
      </c>
      <c r="AF141">
        <v>0</v>
      </c>
      <c r="AG141">
        <v>0</v>
      </c>
      <c r="AH141">
        <v>117747282.2</v>
      </c>
      <c r="AI141">
        <v>123713622.3</v>
      </c>
      <c r="AJ141" s="13" t="str">
        <f t="shared" si="23"/>
        <v>OK</v>
      </c>
      <c r="AK141">
        <v>0</v>
      </c>
      <c r="AL141" s="14">
        <v>0</v>
      </c>
      <c r="AM141">
        <v>4000000</v>
      </c>
      <c r="AN141">
        <v>0</v>
      </c>
      <c r="AO141">
        <v>100</v>
      </c>
      <c r="AP141">
        <v>100</v>
      </c>
      <c r="AQ141" s="15">
        <f t="shared" si="24"/>
        <v>0</v>
      </c>
      <c r="AR141">
        <v>90600149.030000001</v>
      </c>
      <c r="AS141">
        <v>90600149.030000001</v>
      </c>
      <c r="AT141">
        <v>9399850.9700000007</v>
      </c>
      <c r="AU141">
        <v>9399850.9700000007</v>
      </c>
      <c r="AV141" s="16">
        <f t="shared" si="25"/>
        <v>9399850.9700000007</v>
      </c>
      <c r="AW141" s="13" t="str">
        <f t="shared" si="26"/>
        <v>SIM</v>
      </c>
      <c r="AX141" s="13" t="str">
        <f t="shared" si="27"/>
        <v>OK</v>
      </c>
      <c r="AY141" s="13" t="str">
        <f t="shared" si="28"/>
        <v>OK</v>
      </c>
      <c r="AZ141">
        <f t="shared" si="29"/>
        <v>2.1877906210570388</v>
      </c>
    </row>
    <row r="142" spans="2:52" x14ac:dyDescent="0.3">
      <c r="B142" t="s">
        <v>670</v>
      </c>
      <c r="C142" t="s">
        <v>711</v>
      </c>
      <c r="D142" t="s">
        <v>712</v>
      </c>
      <c r="E142" t="s">
        <v>713</v>
      </c>
      <c r="F142" t="s">
        <v>46</v>
      </c>
      <c r="G142" t="s">
        <v>59</v>
      </c>
      <c r="H142" t="s">
        <v>60</v>
      </c>
      <c r="I142" t="s">
        <v>49</v>
      </c>
      <c r="J142" t="s">
        <v>50</v>
      </c>
      <c r="K142" t="s">
        <v>51</v>
      </c>
      <c r="L142" t="s">
        <v>54</v>
      </c>
      <c r="M142" t="s">
        <v>134</v>
      </c>
      <c r="N142" t="s">
        <v>714</v>
      </c>
      <c r="O142" s="11" t="str">
        <f t="shared" si="20"/>
        <v>OK</v>
      </c>
      <c r="P142" t="s">
        <v>54</v>
      </c>
      <c r="Q142" t="s">
        <v>54</v>
      </c>
      <c r="R142" t="s">
        <v>51</v>
      </c>
      <c r="S142" t="s">
        <v>675</v>
      </c>
      <c r="T142" s="1">
        <v>672323000</v>
      </c>
      <c r="U142" s="1">
        <v>72706000</v>
      </c>
      <c r="V142" s="13" t="str">
        <f t="shared" si="21"/>
        <v>OK</v>
      </c>
      <c r="W142" s="1">
        <v>1521761000</v>
      </c>
      <c r="X142" s="1">
        <v>1196770000</v>
      </c>
      <c r="Y142" t="s">
        <v>54</v>
      </c>
      <c r="Z142">
        <v>0</v>
      </c>
      <c r="AA142">
        <v>0</v>
      </c>
      <c r="AB142">
        <v>0</v>
      </c>
      <c r="AC142">
        <v>344203000</v>
      </c>
      <c r="AD142" s="13" t="str">
        <f t="shared" si="22"/>
        <v>OK</v>
      </c>
      <c r="AE142">
        <v>2715197000</v>
      </c>
      <c r="AF142">
        <v>0</v>
      </c>
      <c r="AG142">
        <v>0</v>
      </c>
      <c r="AH142">
        <v>0</v>
      </c>
      <c r="AI142">
        <v>0</v>
      </c>
      <c r="AJ142" s="13" t="str">
        <f t="shared" si="23"/>
        <v>OK</v>
      </c>
      <c r="AK142">
        <v>1008727139.36</v>
      </c>
      <c r="AL142">
        <v>1008727140</v>
      </c>
      <c r="AM142">
        <v>690000000</v>
      </c>
      <c r="AN142">
        <v>510000000</v>
      </c>
      <c r="AO142">
        <v>100</v>
      </c>
      <c r="AP142">
        <v>100</v>
      </c>
      <c r="AQ142" s="15">
        <f t="shared" si="24"/>
        <v>0</v>
      </c>
      <c r="AR142">
        <v>1521810533.01</v>
      </c>
      <c r="AS142">
        <v>2031810533.01</v>
      </c>
      <c r="AT142">
        <v>0</v>
      </c>
      <c r="AU142">
        <v>350000000</v>
      </c>
      <c r="AV142" s="16">
        <f t="shared" si="25"/>
        <v>860000000</v>
      </c>
      <c r="AW142" s="13" t="str">
        <f t="shared" si="26"/>
        <v>SIM</v>
      </c>
      <c r="AX142" s="13" t="str">
        <f t="shared" si="27"/>
        <v>VER CAPITAL</v>
      </c>
      <c r="AY142" s="13" t="str">
        <f t="shared" si="28"/>
        <v>OK</v>
      </c>
      <c r="AZ142">
        <f t="shared" si="29"/>
        <v>12.67690705315305</v>
      </c>
    </row>
    <row r="143" spans="2:52" x14ac:dyDescent="0.3">
      <c r="B143" t="s">
        <v>670</v>
      </c>
      <c r="C143" t="s">
        <v>700</v>
      </c>
      <c r="D143" t="s">
        <v>701</v>
      </c>
      <c r="E143" t="s">
        <v>702</v>
      </c>
      <c r="F143" t="s">
        <v>70</v>
      </c>
      <c r="G143" t="s">
        <v>107</v>
      </c>
      <c r="H143" t="s">
        <v>60</v>
      </c>
      <c r="I143" t="s">
        <v>363</v>
      </c>
      <c r="J143" t="s">
        <v>373</v>
      </c>
      <c r="K143" t="s">
        <v>51</v>
      </c>
      <c r="L143" t="s">
        <v>51</v>
      </c>
      <c r="M143" t="s">
        <v>52</v>
      </c>
      <c r="N143" t="s">
        <v>703</v>
      </c>
      <c r="O143" s="11" t="str">
        <f t="shared" si="20"/>
        <v>OK</v>
      </c>
      <c r="P143" t="s">
        <v>54</v>
      </c>
      <c r="Q143" t="s">
        <v>54</v>
      </c>
      <c r="R143" t="s">
        <v>51</v>
      </c>
      <c r="S143" t="s">
        <v>675</v>
      </c>
      <c r="T143" s="1">
        <v>0</v>
      </c>
      <c r="U143" s="1">
        <v>1761866.61</v>
      </c>
      <c r="V143" s="13" t="str">
        <f t="shared" si="21"/>
        <v>OK</v>
      </c>
      <c r="W143" s="1">
        <v>22091692.329999998</v>
      </c>
      <c r="X143" s="1">
        <v>0</v>
      </c>
      <c r="Y143" t="s">
        <v>51</v>
      </c>
      <c r="Z143">
        <v>339751.8</v>
      </c>
      <c r="AA143">
        <v>0</v>
      </c>
      <c r="AB143">
        <v>148387.72</v>
      </c>
      <c r="AC143">
        <v>-13857395.01</v>
      </c>
      <c r="AD143" s="13" t="str">
        <f t="shared" si="22"/>
        <v>OK</v>
      </c>
      <c r="AE143">
        <v>7260371.8799999999</v>
      </c>
      <c r="AF143">
        <v>0</v>
      </c>
      <c r="AG143">
        <v>0</v>
      </c>
      <c r="AH143">
        <v>23683899.27</v>
      </c>
      <c r="AI143">
        <v>21542319.469999999</v>
      </c>
      <c r="AJ143" s="13" t="str">
        <f t="shared" si="23"/>
        <v>OK</v>
      </c>
      <c r="AK143">
        <v>0</v>
      </c>
      <c r="AL143" s="14">
        <v>0</v>
      </c>
      <c r="AM143">
        <v>0</v>
      </c>
      <c r="AN143">
        <v>0</v>
      </c>
      <c r="AO143">
        <v>82.6</v>
      </c>
      <c r="AP143">
        <v>82.6</v>
      </c>
      <c r="AQ143" s="15">
        <f t="shared" si="24"/>
        <v>0</v>
      </c>
      <c r="AR143">
        <v>0</v>
      </c>
      <c r="AS143">
        <v>0</v>
      </c>
      <c r="AT143">
        <v>0</v>
      </c>
      <c r="AU143">
        <v>0</v>
      </c>
      <c r="AV143" s="16">
        <f t="shared" si="25"/>
        <v>0</v>
      </c>
      <c r="AW143" s="13" t="str">
        <f t="shared" si="26"/>
        <v>NÃO</v>
      </c>
      <c r="AX143" s="13" t="str">
        <f t="shared" si="27"/>
        <v>OK</v>
      </c>
      <c r="AY143" s="13" t="str">
        <f t="shared" si="28"/>
        <v>OK</v>
      </c>
      <c r="AZ143">
        <f t="shared" si="29"/>
        <v>-190.8634328796943</v>
      </c>
    </row>
    <row r="144" spans="2:52" x14ac:dyDescent="0.3">
      <c r="B144" t="s">
        <v>670</v>
      </c>
      <c r="C144" t="s">
        <v>704</v>
      </c>
      <c r="D144" t="s">
        <v>705</v>
      </c>
      <c r="E144" t="s">
        <v>706</v>
      </c>
      <c r="F144" t="s">
        <v>46</v>
      </c>
      <c r="G144" t="s">
        <v>314</v>
      </c>
      <c r="H144" t="s">
        <v>60</v>
      </c>
      <c r="I144" t="s">
        <v>49</v>
      </c>
      <c r="J144" t="s">
        <v>50</v>
      </c>
      <c r="K144" t="s">
        <v>51</v>
      </c>
      <c r="L144" t="s">
        <v>54</v>
      </c>
      <c r="M144" t="s">
        <v>52</v>
      </c>
      <c r="N144" t="s">
        <v>66</v>
      </c>
      <c r="O144" s="11" t="str">
        <f t="shared" si="20"/>
        <v>VERIFICAR</v>
      </c>
      <c r="P144" t="s">
        <v>54</v>
      </c>
      <c r="Q144" t="s">
        <v>54</v>
      </c>
      <c r="R144" t="s">
        <v>51</v>
      </c>
      <c r="S144" t="s">
        <v>675</v>
      </c>
      <c r="T144" s="1">
        <v>0</v>
      </c>
      <c r="U144" s="1">
        <v>0</v>
      </c>
      <c r="V144" s="13" t="str">
        <f t="shared" si="21"/>
        <v>OK</v>
      </c>
      <c r="W144" s="1">
        <v>0</v>
      </c>
      <c r="X144" s="1">
        <v>0</v>
      </c>
      <c r="Y144" t="s">
        <v>51</v>
      </c>
      <c r="Z144">
        <v>0</v>
      </c>
      <c r="AA144">
        <v>0</v>
      </c>
      <c r="AB144">
        <v>0</v>
      </c>
      <c r="AC144">
        <v>0</v>
      </c>
      <c r="AD144" s="13" t="str">
        <f t="shared" si="22"/>
        <v>OK</v>
      </c>
      <c r="AE144">
        <v>1000000</v>
      </c>
      <c r="AF144">
        <v>1000000</v>
      </c>
      <c r="AG144">
        <v>0</v>
      </c>
      <c r="AH144">
        <v>0</v>
      </c>
      <c r="AI144">
        <v>0</v>
      </c>
      <c r="AJ144" s="13" t="str">
        <f t="shared" si="23"/>
        <v>OK</v>
      </c>
      <c r="AK144">
        <v>0</v>
      </c>
      <c r="AL144">
        <v>0</v>
      </c>
      <c r="AM144">
        <v>0</v>
      </c>
      <c r="AN144">
        <v>0</v>
      </c>
      <c r="AO144">
        <v>100</v>
      </c>
      <c r="AP144">
        <v>100</v>
      </c>
      <c r="AQ144" s="15">
        <f t="shared" si="24"/>
        <v>0</v>
      </c>
      <c r="AR144">
        <v>1000000</v>
      </c>
      <c r="AS144">
        <v>1000000</v>
      </c>
      <c r="AT144">
        <v>0</v>
      </c>
      <c r="AU144">
        <v>0</v>
      </c>
      <c r="AV144" s="16">
        <f t="shared" si="25"/>
        <v>0</v>
      </c>
      <c r="AW144" s="13" t="str">
        <f t="shared" si="26"/>
        <v>NÃO</v>
      </c>
      <c r="AX144" s="13" t="str">
        <f t="shared" si="27"/>
        <v>OK</v>
      </c>
      <c r="AY144" s="13" t="str">
        <f t="shared" si="28"/>
        <v>OK</v>
      </c>
      <c r="AZ144">
        <f t="shared" si="29"/>
        <v>0</v>
      </c>
    </row>
    <row r="145" spans="2:52" x14ac:dyDescent="0.3">
      <c r="B145" t="s">
        <v>715</v>
      </c>
      <c r="C145" t="s">
        <v>738</v>
      </c>
      <c r="D145" t="s">
        <v>739</v>
      </c>
      <c r="E145" t="s">
        <v>740</v>
      </c>
      <c r="F145" t="s">
        <v>46</v>
      </c>
      <c r="G145" t="s">
        <v>71</v>
      </c>
      <c r="H145" t="s">
        <v>60</v>
      </c>
      <c r="I145" t="s">
        <v>49</v>
      </c>
      <c r="J145" t="s">
        <v>373</v>
      </c>
      <c r="K145" t="s">
        <v>54</v>
      </c>
      <c r="L145" t="s">
        <v>51</v>
      </c>
      <c r="M145" t="s">
        <v>134</v>
      </c>
      <c r="N145" t="s">
        <v>741</v>
      </c>
      <c r="O145" s="11" t="str">
        <f t="shared" si="20"/>
        <v>OK</v>
      </c>
      <c r="P145" t="s">
        <v>54</v>
      </c>
      <c r="Q145" t="s">
        <v>54</v>
      </c>
      <c r="R145" t="s">
        <v>54</v>
      </c>
      <c r="S145" t="s">
        <v>742</v>
      </c>
      <c r="T145" s="1">
        <v>2344017159.2800002</v>
      </c>
      <c r="U145" s="1">
        <v>444038096.83999997</v>
      </c>
      <c r="V145" s="13" t="str">
        <f t="shared" si="21"/>
        <v>OK</v>
      </c>
      <c r="W145" s="1">
        <v>1567290913.28</v>
      </c>
      <c r="X145" s="1">
        <v>137280294.09999999</v>
      </c>
      <c r="Y145" t="s">
        <v>54</v>
      </c>
      <c r="Z145">
        <v>603867.88</v>
      </c>
      <c r="AA145">
        <v>31139.919999999998</v>
      </c>
      <c r="AB145">
        <v>1492.15</v>
      </c>
      <c r="AC145">
        <v>368068562.88999999</v>
      </c>
      <c r="AD145" s="13" t="str">
        <f t="shared" si="22"/>
        <v>OK</v>
      </c>
      <c r="AE145">
        <v>2106279880.3099999</v>
      </c>
      <c r="AF145">
        <v>1084962547.3499999</v>
      </c>
      <c r="AG145">
        <v>172797599.81</v>
      </c>
      <c r="AH145">
        <v>0</v>
      </c>
      <c r="AI145">
        <v>0</v>
      </c>
      <c r="AJ145" s="13" t="str">
        <f t="shared" si="23"/>
        <v>OK</v>
      </c>
      <c r="AK145">
        <v>0</v>
      </c>
      <c r="AL145">
        <v>0</v>
      </c>
      <c r="AM145">
        <v>0</v>
      </c>
      <c r="AN145">
        <v>0</v>
      </c>
      <c r="AO145">
        <v>99.98</v>
      </c>
      <c r="AP145">
        <v>99.98</v>
      </c>
      <c r="AQ145" s="15">
        <f t="shared" si="24"/>
        <v>0</v>
      </c>
      <c r="AR145">
        <v>1472778725.04</v>
      </c>
      <c r="AS145">
        <v>1472778726.04</v>
      </c>
      <c r="AT145">
        <v>0</v>
      </c>
      <c r="AU145">
        <v>0</v>
      </c>
      <c r="AV145" s="16">
        <f t="shared" si="25"/>
        <v>1</v>
      </c>
      <c r="AW145" s="13" t="str">
        <f t="shared" si="26"/>
        <v>SIM</v>
      </c>
      <c r="AX145" s="13" t="str">
        <f t="shared" si="27"/>
        <v>OK</v>
      </c>
      <c r="AY145" s="13" t="str">
        <f t="shared" si="28"/>
        <v>OK</v>
      </c>
      <c r="AZ145">
        <f t="shared" si="29"/>
        <v>17.474817393965139</v>
      </c>
    </row>
    <row r="146" spans="2:52" x14ac:dyDescent="0.3">
      <c r="B146" t="s">
        <v>715</v>
      </c>
      <c r="C146" t="s">
        <v>743</v>
      </c>
      <c r="D146" t="s">
        <v>744</v>
      </c>
      <c r="E146" t="s">
        <v>745</v>
      </c>
      <c r="F146" t="s">
        <v>46</v>
      </c>
      <c r="G146" t="s">
        <v>65</v>
      </c>
      <c r="H146" t="s">
        <v>60</v>
      </c>
      <c r="I146" t="s">
        <v>49</v>
      </c>
      <c r="J146" t="s">
        <v>50</v>
      </c>
      <c r="K146" t="s">
        <v>51</v>
      </c>
      <c r="L146" t="s">
        <v>54</v>
      </c>
      <c r="M146" t="s">
        <v>134</v>
      </c>
      <c r="N146" t="s">
        <v>66</v>
      </c>
      <c r="O146" s="11" t="str">
        <f t="shared" si="20"/>
        <v>VERIFICAR</v>
      </c>
      <c r="P146" t="s">
        <v>54</v>
      </c>
      <c r="Q146" t="s">
        <v>54</v>
      </c>
      <c r="R146" t="s">
        <v>51</v>
      </c>
      <c r="S146" t="s">
        <v>723</v>
      </c>
      <c r="T146" s="1">
        <v>0</v>
      </c>
      <c r="U146" s="1">
        <v>0</v>
      </c>
      <c r="V146" s="13" t="str">
        <f t="shared" si="21"/>
        <v>OK</v>
      </c>
      <c r="W146" s="1">
        <v>87843.44</v>
      </c>
      <c r="X146" s="1">
        <v>0</v>
      </c>
      <c r="Y146" t="s">
        <v>51</v>
      </c>
      <c r="Z146">
        <v>0</v>
      </c>
      <c r="AA146">
        <v>0</v>
      </c>
      <c r="AB146">
        <v>0</v>
      </c>
      <c r="AC146">
        <v>52628.13</v>
      </c>
      <c r="AD146" s="13" t="str">
        <f t="shared" si="22"/>
        <v>OK</v>
      </c>
      <c r="AE146">
        <v>24842900.489999998</v>
      </c>
      <c r="AF146">
        <v>0</v>
      </c>
      <c r="AG146">
        <v>0</v>
      </c>
      <c r="AH146">
        <v>0</v>
      </c>
      <c r="AI146">
        <v>0</v>
      </c>
      <c r="AJ146" s="13" t="str">
        <f t="shared" si="23"/>
        <v>OK</v>
      </c>
      <c r="AK146">
        <v>0</v>
      </c>
      <c r="AL146">
        <v>0</v>
      </c>
      <c r="AM146">
        <v>0</v>
      </c>
      <c r="AN146">
        <v>0</v>
      </c>
      <c r="AO146">
        <v>99.53</v>
      </c>
      <c r="AP146">
        <v>99.53</v>
      </c>
      <c r="AQ146" s="15">
        <f t="shared" si="24"/>
        <v>0</v>
      </c>
      <c r="AR146">
        <v>28487875</v>
      </c>
      <c r="AS146">
        <v>28487875</v>
      </c>
      <c r="AT146">
        <v>15512125</v>
      </c>
      <c r="AU146">
        <v>15512125</v>
      </c>
      <c r="AV146" s="16">
        <f t="shared" si="25"/>
        <v>15512125</v>
      </c>
      <c r="AW146" s="13" t="str">
        <f t="shared" si="26"/>
        <v>SIM</v>
      </c>
      <c r="AX146" s="13" t="str">
        <f t="shared" si="27"/>
        <v>OK</v>
      </c>
      <c r="AY146" s="13" t="str">
        <f t="shared" si="28"/>
        <v>OK</v>
      </c>
      <c r="AZ146">
        <f t="shared" si="29"/>
        <v>0.21184374192210115</v>
      </c>
    </row>
    <row r="147" spans="2:52" x14ac:dyDescent="0.3">
      <c r="B147" t="s">
        <v>715</v>
      </c>
      <c r="C147" t="s">
        <v>716</v>
      </c>
      <c r="D147" t="s">
        <v>303</v>
      </c>
      <c r="E147" t="s">
        <v>717</v>
      </c>
      <c r="F147" t="s">
        <v>46</v>
      </c>
      <c r="G147" t="s">
        <v>75</v>
      </c>
      <c r="H147" t="s">
        <v>60</v>
      </c>
      <c r="I147" t="s">
        <v>49</v>
      </c>
      <c r="J147" t="s">
        <v>50</v>
      </c>
      <c r="K147" t="s">
        <v>51</v>
      </c>
      <c r="L147" t="s">
        <v>54</v>
      </c>
      <c r="M147" t="s">
        <v>52</v>
      </c>
      <c r="N147" t="s">
        <v>718</v>
      </c>
      <c r="O147" s="11" t="str">
        <f t="shared" si="20"/>
        <v>OK</v>
      </c>
      <c r="P147" t="s">
        <v>54</v>
      </c>
      <c r="Q147" t="s">
        <v>54</v>
      </c>
      <c r="R147" t="s">
        <v>54</v>
      </c>
      <c r="S147" t="s">
        <v>55</v>
      </c>
      <c r="T147" s="1">
        <v>2654629.66</v>
      </c>
      <c r="U147" s="1">
        <v>7705774.29</v>
      </c>
      <c r="V147" s="13" t="str">
        <f t="shared" si="21"/>
        <v>OK</v>
      </c>
      <c r="W147" s="1">
        <v>29188721.280000001</v>
      </c>
      <c r="X147" s="1">
        <v>0</v>
      </c>
      <c r="Y147" t="s">
        <v>51</v>
      </c>
      <c r="Z147">
        <v>7705774.29</v>
      </c>
      <c r="AA147">
        <v>0</v>
      </c>
      <c r="AB147">
        <v>14476.88</v>
      </c>
      <c r="AC147">
        <v>-1214479.29</v>
      </c>
      <c r="AD147" s="13" t="str">
        <f t="shared" si="22"/>
        <v>OK</v>
      </c>
      <c r="AE147">
        <v>-17175189.010000002</v>
      </c>
      <c r="AF147">
        <v>0</v>
      </c>
      <c r="AG147">
        <v>0</v>
      </c>
      <c r="AH147">
        <v>20533029.77</v>
      </c>
      <c r="AI147">
        <v>19765292.32</v>
      </c>
      <c r="AJ147" s="13" t="str">
        <f t="shared" si="23"/>
        <v>OK</v>
      </c>
      <c r="AK147">
        <v>1116638.8400000001</v>
      </c>
      <c r="AL147" s="14">
        <v>866222.58</v>
      </c>
      <c r="AM147">
        <v>0</v>
      </c>
      <c r="AN147">
        <v>0</v>
      </c>
      <c r="AO147">
        <v>99.99</v>
      </c>
      <c r="AP147">
        <v>99.99</v>
      </c>
      <c r="AQ147" s="15">
        <f t="shared" si="24"/>
        <v>0</v>
      </c>
      <c r="AR147">
        <v>3833847.05</v>
      </c>
      <c r="AS147">
        <v>3833847.05</v>
      </c>
      <c r="AT147">
        <v>0</v>
      </c>
      <c r="AU147">
        <v>0</v>
      </c>
      <c r="AV147" s="16">
        <f t="shared" si="25"/>
        <v>0</v>
      </c>
      <c r="AW147" s="13" t="str">
        <f t="shared" si="26"/>
        <v>NÃO</v>
      </c>
      <c r="AX147" s="13" t="str">
        <f t="shared" si="27"/>
        <v>OK</v>
      </c>
      <c r="AY147" s="13" t="str">
        <f t="shared" si="28"/>
        <v>OK</v>
      </c>
      <c r="AZ147">
        <f t="shared" si="29"/>
        <v>7.071126200083663</v>
      </c>
    </row>
    <row r="148" spans="2:52" x14ac:dyDescent="0.3">
      <c r="B148" t="s">
        <v>715</v>
      </c>
      <c r="C148" t="s">
        <v>719</v>
      </c>
      <c r="D148" t="s">
        <v>720</v>
      </c>
      <c r="E148" t="s">
        <v>721</v>
      </c>
      <c r="F148" t="s">
        <v>46</v>
      </c>
      <c r="G148" t="s">
        <v>65</v>
      </c>
      <c r="H148" t="s">
        <v>60</v>
      </c>
      <c r="I148" t="s">
        <v>49</v>
      </c>
      <c r="J148" t="s">
        <v>50</v>
      </c>
      <c r="K148" t="s">
        <v>51</v>
      </c>
      <c r="L148" t="s">
        <v>51</v>
      </c>
      <c r="M148" t="s">
        <v>52</v>
      </c>
      <c r="N148" t="s">
        <v>722</v>
      </c>
      <c r="O148" s="11" t="str">
        <f t="shared" si="20"/>
        <v>OK</v>
      </c>
      <c r="P148" t="s">
        <v>54</v>
      </c>
      <c r="Q148" t="s">
        <v>54</v>
      </c>
      <c r="R148" t="s">
        <v>51</v>
      </c>
      <c r="S148" t="s">
        <v>723</v>
      </c>
      <c r="T148" s="1">
        <v>13029676.289999999</v>
      </c>
      <c r="U148" s="1">
        <v>7987558.1600000001</v>
      </c>
      <c r="V148" s="13" t="str">
        <f t="shared" si="21"/>
        <v>OK</v>
      </c>
      <c r="W148" s="1">
        <v>15497114.01</v>
      </c>
      <c r="X148" s="1">
        <v>87291.85</v>
      </c>
      <c r="Y148" t="s">
        <v>51</v>
      </c>
      <c r="Z148">
        <v>343295.27</v>
      </c>
      <c r="AA148">
        <v>0</v>
      </c>
      <c r="AB148">
        <v>0</v>
      </c>
      <c r="AC148">
        <v>7750703.9299999997</v>
      </c>
      <c r="AD148" s="13" t="str">
        <f t="shared" si="22"/>
        <v>OK</v>
      </c>
      <c r="AE148">
        <v>69090105.769999996</v>
      </c>
      <c r="AF148">
        <v>0</v>
      </c>
      <c r="AG148">
        <v>0</v>
      </c>
      <c r="AH148">
        <v>5296978</v>
      </c>
      <c r="AI148">
        <v>5210027.58</v>
      </c>
      <c r="AJ148" s="13" t="str">
        <f t="shared" si="23"/>
        <v>OK</v>
      </c>
      <c r="AK148">
        <v>0</v>
      </c>
      <c r="AL148" s="14">
        <v>0</v>
      </c>
      <c r="AM148">
        <v>0</v>
      </c>
      <c r="AN148">
        <v>0</v>
      </c>
      <c r="AO148">
        <v>99.53</v>
      </c>
      <c r="AP148">
        <v>99.53</v>
      </c>
      <c r="AQ148" s="15">
        <f t="shared" si="24"/>
        <v>0</v>
      </c>
      <c r="AR148">
        <v>22565720.649999999</v>
      </c>
      <c r="AS148">
        <v>22565720.649999999</v>
      </c>
      <c r="AT148">
        <v>0</v>
      </c>
      <c r="AU148">
        <v>0</v>
      </c>
      <c r="AV148" s="16">
        <f t="shared" si="25"/>
        <v>0</v>
      </c>
      <c r="AW148" s="13" t="str">
        <f t="shared" si="26"/>
        <v>NÃO</v>
      </c>
      <c r="AX148" s="13" t="str">
        <f t="shared" si="27"/>
        <v>OK</v>
      </c>
      <c r="AY148" s="13" t="str">
        <f t="shared" si="28"/>
        <v>OK</v>
      </c>
      <c r="AZ148">
        <f t="shared" si="29"/>
        <v>11.218254544003718</v>
      </c>
    </row>
    <row r="149" spans="2:52" x14ac:dyDescent="0.3">
      <c r="B149" t="s">
        <v>715</v>
      </c>
      <c r="C149" t="s">
        <v>724</v>
      </c>
      <c r="D149" t="s">
        <v>91</v>
      </c>
      <c r="E149" t="s">
        <v>725</v>
      </c>
      <c r="F149" t="s">
        <v>46</v>
      </c>
      <c r="G149" t="s">
        <v>93</v>
      </c>
      <c r="H149" t="s">
        <v>60</v>
      </c>
      <c r="I149" t="s">
        <v>49</v>
      </c>
      <c r="J149" t="s">
        <v>50</v>
      </c>
      <c r="K149" t="s">
        <v>51</v>
      </c>
      <c r="L149" t="s">
        <v>51</v>
      </c>
      <c r="M149" t="s">
        <v>52</v>
      </c>
      <c r="N149" t="s">
        <v>726</v>
      </c>
      <c r="O149" s="11" t="str">
        <f t="shared" si="20"/>
        <v>OK</v>
      </c>
      <c r="P149" t="s">
        <v>54</v>
      </c>
      <c r="Q149" t="s">
        <v>54</v>
      </c>
      <c r="R149" t="s">
        <v>51</v>
      </c>
      <c r="S149" t="s">
        <v>727</v>
      </c>
      <c r="T149" s="1">
        <v>789455.77</v>
      </c>
      <c r="U149" s="1">
        <v>39016042.960000001</v>
      </c>
      <c r="V149" s="13" t="str">
        <f t="shared" si="21"/>
        <v>OK</v>
      </c>
      <c r="W149" s="1">
        <v>112104480.81</v>
      </c>
      <c r="X149" s="1">
        <v>0</v>
      </c>
      <c r="Y149" t="s">
        <v>51</v>
      </c>
      <c r="Z149">
        <v>365222.73</v>
      </c>
      <c r="AA149">
        <v>0</v>
      </c>
      <c r="AB149">
        <v>14657.4</v>
      </c>
      <c r="AC149">
        <v>64618631.939999998</v>
      </c>
      <c r="AD149" s="13" t="str">
        <f t="shared" si="22"/>
        <v>OK</v>
      </c>
      <c r="AE149">
        <v>103353343.09</v>
      </c>
      <c r="AF149">
        <v>0</v>
      </c>
      <c r="AG149">
        <v>0</v>
      </c>
      <c r="AH149">
        <v>87776138.430000007</v>
      </c>
      <c r="AI149">
        <v>96036530.829999998</v>
      </c>
      <c r="AJ149" s="13" t="str">
        <f t="shared" si="23"/>
        <v>OK</v>
      </c>
      <c r="AK149">
        <v>2158325.04</v>
      </c>
      <c r="AL149" s="14">
        <v>112747295.40000001</v>
      </c>
      <c r="AM149">
        <v>0</v>
      </c>
      <c r="AN149">
        <v>0</v>
      </c>
      <c r="AO149">
        <v>99</v>
      </c>
      <c r="AP149">
        <v>99</v>
      </c>
      <c r="AQ149" s="15">
        <f t="shared" si="24"/>
        <v>0</v>
      </c>
      <c r="AR149">
        <v>89804780.659999996</v>
      </c>
      <c r="AS149">
        <v>89804780.659999996</v>
      </c>
      <c r="AT149">
        <v>0</v>
      </c>
      <c r="AU149">
        <v>0</v>
      </c>
      <c r="AV149" s="16">
        <f t="shared" si="25"/>
        <v>0</v>
      </c>
      <c r="AW149" s="13" t="str">
        <f t="shared" si="26"/>
        <v>NÃO</v>
      </c>
      <c r="AX149" s="13" t="str">
        <f t="shared" si="27"/>
        <v>OK</v>
      </c>
      <c r="AY149" s="13" t="str">
        <f t="shared" si="28"/>
        <v>OK</v>
      </c>
      <c r="AZ149">
        <f t="shared" si="29"/>
        <v>62.522052996128195</v>
      </c>
    </row>
    <row r="150" spans="2:52" x14ac:dyDescent="0.3">
      <c r="B150" t="s">
        <v>715</v>
      </c>
      <c r="C150" t="s">
        <v>746</v>
      </c>
      <c r="D150" t="s">
        <v>747</v>
      </c>
      <c r="E150" t="s">
        <v>748</v>
      </c>
      <c r="F150" t="s">
        <v>46</v>
      </c>
      <c r="G150" t="s">
        <v>107</v>
      </c>
      <c r="H150" t="s">
        <v>60</v>
      </c>
      <c r="I150" t="s">
        <v>49</v>
      </c>
      <c r="J150" t="s">
        <v>50</v>
      </c>
      <c r="K150" t="s">
        <v>51</v>
      </c>
      <c r="L150" t="s">
        <v>51</v>
      </c>
      <c r="M150" t="s">
        <v>134</v>
      </c>
      <c r="N150" t="s">
        <v>749</v>
      </c>
      <c r="O150" s="11" t="str">
        <f t="shared" si="20"/>
        <v>OK</v>
      </c>
      <c r="P150" t="s">
        <v>54</v>
      </c>
      <c r="Q150" t="s">
        <v>54</v>
      </c>
      <c r="R150" t="s">
        <v>54</v>
      </c>
      <c r="S150" t="s">
        <v>750</v>
      </c>
      <c r="T150" s="1">
        <v>780169317.39999998</v>
      </c>
      <c r="U150" s="1">
        <v>279616275.04000002</v>
      </c>
      <c r="V150" s="13" t="str">
        <f t="shared" si="21"/>
        <v>OK</v>
      </c>
      <c r="W150" s="1">
        <v>1251995061.27</v>
      </c>
      <c r="X150" s="1">
        <v>0</v>
      </c>
      <c r="Y150" t="s">
        <v>51</v>
      </c>
      <c r="Z150">
        <v>286193.03000000003</v>
      </c>
      <c r="AA150">
        <v>0</v>
      </c>
      <c r="AB150">
        <v>198766.15</v>
      </c>
      <c r="AC150">
        <v>-304884941.61000001</v>
      </c>
      <c r="AD150" s="13" t="str">
        <f t="shared" si="22"/>
        <v>OK</v>
      </c>
      <c r="AE150">
        <v>1414791666.26</v>
      </c>
      <c r="AF150">
        <v>0</v>
      </c>
      <c r="AG150">
        <v>0</v>
      </c>
      <c r="AH150">
        <v>0</v>
      </c>
      <c r="AI150">
        <v>0</v>
      </c>
      <c r="AJ150" s="13" t="str">
        <f t="shared" si="23"/>
        <v>OK</v>
      </c>
      <c r="AK150">
        <v>0</v>
      </c>
      <c r="AL150">
        <v>0</v>
      </c>
      <c r="AM150">
        <v>155894306.72</v>
      </c>
      <c r="AN150">
        <v>178010391.40000001</v>
      </c>
      <c r="AO150">
        <v>99.99</v>
      </c>
      <c r="AP150">
        <v>99.99</v>
      </c>
      <c r="AQ150" s="15">
        <f t="shared" si="24"/>
        <v>0</v>
      </c>
      <c r="AR150">
        <v>3977088223.27</v>
      </c>
      <c r="AS150">
        <v>4127088223.27</v>
      </c>
      <c r="AT150">
        <v>175094889.78999999</v>
      </c>
      <c r="AU150">
        <v>22911776.73</v>
      </c>
      <c r="AV150" s="16">
        <f t="shared" si="25"/>
        <v>172911776.72999999</v>
      </c>
      <c r="AW150" s="13" t="str">
        <f t="shared" si="26"/>
        <v>SIM</v>
      </c>
      <c r="AX150" s="13" t="str">
        <f t="shared" si="27"/>
        <v>VER CAPITAL</v>
      </c>
      <c r="AY150" s="13" t="str">
        <f t="shared" si="28"/>
        <v>OK</v>
      </c>
      <c r="AZ150">
        <f t="shared" si="29"/>
        <v>-21.549811811937158</v>
      </c>
    </row>
    <row r="151" spans="2:52" x14ac:dyDescent="0.3">
      <c r="B151" t="s">
        <v>715</v>
      </c>
      <c r="C151" t="s">
        <v>728</v>
      </c>
      <c r="D151" t="s">
        <v>729</v>
      </c>
      <c r="E151" t="s">
        <v>730</v>
      </c>
      <c r="F151" t="s">
        <v>46</v>
      </c>
      <c r="G151" t="s">
        <v>314</v>
      </c>
      <c r="H151" t="s">
        <v>48</v>
      </c>
      <c r="I151" t="s">
        <v>76</v>
      </c>
      <c r="J151" t="s">
        <v>50</v>
      </c>
      <c r="K151" t="s">
        <v>51</v>
      </c>
      <c r="L151" t="s">
        <v>51</v>
      </c>
      <c r="M151" t="s">
        <v>52</v>
      </c>
      <c r="N151" t="s">
        <v>466</v>
      </c>
      <c r="O151" s="11" t="str">
        <f t="shared" si="20"/>
        <v>OK</v>
      </c>
      <c r="P151" t="s">
        <v>54</v>
      </c>
      <c r="Q151" t="s">
        <v>54</v>
      </c>
      <c r="R151" t="s">
        <v>51</v>
      </c>
      <c r="S151" t="s">
        <v>55</v>
      </c>
      <c r="T151" s="1">
        <v>11585896.560000001</v>
      </c>
      <c r="U151" s="1">
        <v>3621453.2</v>
      </c>
      <c r="V151" s="13" t="str">
        <f t="shared" si="21"/>
        <v>OK</v>
      </c>
      <c r="W151" s="1">
        <v>11181259.779999999</v>
      </c>
      <c r="X151" s="1">
        <v>0</v>
      </c>
      <c r="Y151" t="s">
        <v>51</v>
      </c>
      <c r="Z151">
        <v>3256160.72</v>
      </c>
      <c r="AA151">
        <v>0</v>
      </c>
      <c r="AB151">
        <v>365292.48</v>
      </c>
      <c r="AC151">
        <v>270414783.73000002</v>
      </c>
      <c r="AD151" s="13" t="str">
        <f t="shared" si="22"/>
        <v>OK</v>
      </c>
      <c r="AE151">
        <v>216525127.71000001</v>
      </c>
      <c r="AF151">
        <v>0</v>
      </c>
      <c r="AG151">
        <v>0</v>
      </c>
      <c r="AH151">
        <v>34885831.310000002</v>
      </c>
      <c r="AI151">
        <v>22162938.52</v>
      </c>
      <c r="AJ151" s="13" t="str">
        <f t="shared" si="23"/>
        <v>OK</v>
      </c>
      <c r="AK151">
        <v>0</v>
      </c>
      <c r="AL151" s="14">
        <v>0</v>
      </c>
      <c r="AM151">
        <v>0</v>
      </c>
      <c r="AN151">
        <v>0</v>
      </c>
      <c r="AO151">
        <v>100</v>
      </c>
      <c r="AP151">
        <v>100</v>
      </c>
      <c r="AQ151" s="15">
        <f t="shared" si="24"/>
        <v>0</v>
      </c>
      <c r="AR151">
        <v>2599890.0299999998</v>
      </c>
      <c r="AS151">
        <v>2599890.0299999998</v>
      </c>
      <c r="AT151">
        <v>0</v>
      </c>
      <c r="AU151">
        <v>0</v>
      </c>
      <c r="AV151" s="16">
        <f t="shared" si="25"/>
        <v>0</v>
      </c>
      <c r="AW151" s="13" t="str">
        <f t="shared" si="26"/>
        <v>NÃO</v>
      </c>
      <c r="AX151" s="13" t="str">
        <f t="shared" si="27"/>
        <v>OK</v>
      </c>
      <c r="AY151" s="13" t="str">
        <f t="shared" si="28"/>
        <v>OK</v>
      </c>
      <c r="AZ151">
        <f t="shared" si="29"/>
        <v>124.88840745180225</v>
      </c>
    </row>
    <row r="152" spans="2:52" x14ac:dyDescent="0.3">
      <c r="B152" t="s">
        <v>715</v>
      </c>
      <c r="C152" t="s">
        <v>731</v>
      </c>
      <c r="D152" t="s">
        <v>100</v>
      </c>
      <c r="E152" t="s">
        <v>732</v>
      </c>
      <c r="F152" t="s">
        <v>46</v>
      </c>
      <c r="G152" t="s">
        <v>102</v>
      </c>
      <c r="H152" t="s">
        <v>48</v>
      </c>
      <c r="I152" t="s">
        <v>76</v>
      </c>
      <c r="J152" t="s">
        <v>50</v>
      </c>
      <c r="K152" t="s">
        <v>51</v>
      </c>
      <c r="L152" t="s">
        <v>51</v>
      </c>
      <c r="M152" t="s">
        <v>52</v>
      </c>
      <c r="N152" t="s">
        <v>733</v>
      </c>
      <c r="O152" s="11" t="str">
        <f t="shared" si="20"/>
        <v>OK</v>
      </c>
      <c r="P152" t="s">
        <v>54</v>
      </c>
      <c r="Q152" t="s">
        <v>54</v>
      </c>
      <c r="R152" t="s">
        <v>51</v>
      </c>
      <c r="S152" t="s">
        <v>734</v>
      </c>
      <c r="T152" s="1">
        <v>901202.54</v>
      </c>
      <c r="U152" s="1">
        <v>133427539.84</v>
      </c>
      <c r="V152" s="13" t="str">
        <f t="shared" si="21"/>
        <v>OK</v>
      </c>
      <c r="W152" s="1">
        <v>153684371.37</v>
      </c>
      <c r="X152" s="1">
        <v>0</v>
      </c>
      <c r="Y152" t="s">
        <v>51</v>
      </c>
      <c r="Z152">
        <v>229270.92</v>
      </c>
      <c r="AA152">
        <v>0</v>
      </c>
      <c r="AB152">
        <v>1642277.35</v>
      </c>
      <c r="AC152">
        <v>7234508.1799999997</v>
      </c>
      <c r="AD152" s="13" t="str">
        <f t="shared" si="22"/>
        <v>OK</v>
      </c>
      <c r="AE152">
        <v>1145683.94</v>
      </c>
      <c r="AF152">
        <v>0</v>
      </c>
      <c r="AG152">
        <v>0</v>
      </c>
      <c r="AH152">
        <v>162793879.80000001</v>
      </c>
      <c r="AI152">
        <v>161010046.71000001</v>
      </c>
      <c r="AJ152" s="13" t="str">
        <f t="shared" si="23"/>
        <v>OK</v>
      </c>
      <c r="AK152">
        <v>46016107.060000002</v>
      </c>
      <c r="AL152" s="14">
        <v>7480102.2300000004</v>
      </c>
      <c r="AM152">
        <v>0</v>
      </c>
      <c r="AN152">
        <v>0</v>
      </c>
      <c r="AO152">
        <v>100</v>
      </c>
      <c r="AP152">
        <v>100</v>
      </c>
      <c r="AQ152" s="15">
        <f t="shared" si="24"/>
        <v>0</v>
      </c>
      <c r="AR152">
        <v>0</v>
      </c>
      <c r="AS152">
        <v>4000000</v>
      </c>
      <c r="AT152">
        <v>0</v>
      </c>
      <c r="AU152">
        <v>0</v>
      </c>
      <c r="AV152" s="16">
        <f t="shared" si="25"/>
        <v>4000000</v>
      </c>
      <c r="AW152" s="13" t="str">
        <f t="shared" si="26"/>
        <v>SIM</v>
      </c>
      <c r="AX152" s="13" t="str">
        <f t="shared" si="27"/>
        <v>OK</v>
      </c>
      <c r="AY152" s="13" t="str">
        <f t="shared" si="28"/>
        <v>OK</v>
      </c>
      <c r="AZ152">
        <f t="shared" si="29"/>
        <v>631.45758855622955</v>
      </c>
    </row>
    <row r="153" spans="2:52" x14ac:dyDescent="0.3">
      <c r="B153" t="s">
        <v>715</v>
      </c>
      <c r="C153" t="s">
        <v>751</v>
      </c>
      <c r="D153" t="s">
        <v>752</v>
      </c>
      <c r="E153" t="s">
        <v>753</v>
      </c>
      <c r="F153" t="s">
        <v>46</v>
      </c>
      <c r="G153" t="s">
        <v>139</v>
      </c>
      <c r="H153" t="s">
        <v>60</v>
      </c>
      <c r="I153" t="s">
        <v>76</v>
      </c>
      <c r="J153" t="s">
        <v>50</v>
      </c>
      <c r="K153" t="s">
        <v>51</v>
      </c>
      <c r="L153" t="s">
        <v>51</v>
      </c>
      <c r="M153" t="s">
        <v>134</v>
      </c>
      <c r="N153" t="s">
        <v>754</v>
      </c>
      <c r="O153" s="11" t="str">
        <f t="shared" si="20"/>
        <v>OK</v>
      </c>
      <c r="P153" t="s">
        <v>54</v>
      </c>
      <c r="Q153" t="s">
        <v>54</v>
      </c>
      <c r="R153" t="s">
        <v>51</v>
      </c>
      <c r="S153" t="s">
        <v>755</v>
      </c>
      <c r="T153" s="1">
        <v>70036.800000000003</v>
      </c>
      <c r="U153" s="1">
        <v>7998229.7699999996</v>
      </c>
      <c r="V153" s="13" t="str">
        <f t="shared" si="21"/>
        <v>OK</v>
      </c>
      <c r="W153" s="1">
        <v>14254878.75</v>
      </c>
      <c r="X153" s="1">
        <v>5454382.9900000002</v>
      </c>
      <c r="Y153" t="s">
        <v>51</v>
      </c>
      <c r="Z153">
        <v>338259.34</v>
      </c>
      <c r="AA153">
        <v>0</v>
      </c>
      <c r="AB153">
        <v>0</v>
      </c>
      <c r="AC153">
        <v>36486626.579999998</v>
      </c>
      <c r="AD153" s="13" t="str">
        <f t="shared" si="22"/>
        <v>OK</v>
      </c>
      <c r="AE153">
        <v>36663898.399999999</v>
      </c>
      <c r="AF153">
        <v>0</v>
      </c>
      <c r="AG153">
        <v>0</v>
      </c>
      <c r="AH153">
        <v>0</v>
      </c>
      <c r="AI153">
        <v>0</v>
      </c>
      <c r="AJ153" s="13" t="str">
        <f t="shared" si="23"/>
        <v>OK</v>
      </c>
      <c r="AK153">
        <v>0</v>
      </c>
      <c r="AL153">
        <v>0</v>
      </c>
      <c r="AM153">
        <v>0</v>
      </c>
      <c r="AN153">
        <v>0</v>
      </c>
      <c r="AO153">
        <v>25.5</v>
      </c>
      <c r="AP153">
        <v>25.5</v>
      </c>
      <c r="AQ153" s="15">
        <f t="shared" si="24"/>
        <v>0</v>
      </c>
      <c r="AR153">
        <v>0</v>
      </c>
      <c r="AS153">
        <v>9672812.7400000002</v>
      </c>
      <c r="AT153">
        <v>2428519.46</v>
      </c>
      <c r="AU153">
        <v>0</v>
      </c>
      <c r="AV153" s="16">
        <f t="shared" si="25"/>
        <v>9672812.7400000002</v>
      </c>
      <c r="AW153" s="13" t="str">
        <f t="shared" si="26"/>
        <v>SIM</v>
      </c>
      <c r="AX153" s="13" t="str">
        <f t="shared" si="27"/>
        <v>OK</v>
      </c>
      <c r="AY153" s="13" t="str">
        <f t="shared" si="28"/>
        <v>OK</v>
      </c>
      <c r="AZ153">
        <f t="shared" si="29"/>
        <v>99.516494896243771</v>
      </c>
    </row>
    <row r="154" spans="2:52" x14ac:dyDescent="0.3">
      <c r="B154" t="s">
        <v>715</v>
      </c>
      <c r="C154" t="s">
        <v>735</v>
      </c>
      <c r="D154" t="s">
        <v>736</v>
      </c>
      <c r="E154" t="s">
        <v>737</v>
      </c>
      <c r="F154" t="s">
        <v>46</v>
      </c>
      <c r="G154" t="s">
        <v>47</v>
      </c>
      <c r="H154" t="s">
        <v>48</v>
      </c>
      <c r="I154" t="s">
        <v>49</v>
      </c>
      <c r="J154" t="s">
        <v>50</v>
      </c>
      <c r="K154" t="s">
        <v>51</v>
      </c>
      <c r="L154" t="s">
        <v>51</v>
      </c>
      <c r="M154" t="s">
        <v>52</v>
      </c>
      <c r="N154" t="s">
        <v>199</v>
      </c>
      <c r="O154" s="11" t="str">
        <f t="shared" si="20"/>
        <v>OK</v>
      </c>
      <c r="P154" t="s">
        <v>54</v>
      </c>
      <c r="Q154" t="s">
        <v>54</v>
      </c>
      <c r="R154" t="s">
        <v>51</v>
      </c>
      <c r="S154" t="s">
        <v>55</v>
      </c>
      <c r="T154" s="1">
        <v>52470657.530000001</v>
      </c>
      <c r="U154" s="1">
        <v>74099417.950000003</v>
      </c>
      <c r="V154" s="13" t="str">
        <f t="shared" si="21"/>
        <v>OK</v>
      </c>
      <c r="W154" s="1">
        <v>157505597.19</v>
      </c>
      <c r="X154" s="1">
        <v>34231846.189999998</v>
      </c>
      <c r="Y154" t="s">
        <v>51</v>
      </c>
      <c r="Z154">
        <v>532452.14</v>
      </c>
      <c r="AA154">
        <v>0</v>
      </c>
      <c r="AB154">
        <v>0</v>
      </c>
      <c r="AC154">
        <v>-3840412.37</v>
      </c>
      <c r="AD154" s="13" t="str">
        <f t="shared" si="22"/>
        <v>OK</v>
      </c>
      <c r="AE154">
        <v>93654453.849999994</v>
      </c>
      <c r="AF154">
        <v>0</v>
      </c>
      <c r="AG154">
        <v>0</v>
      </c>
      <c r="AH154">
        <v>92078748.609999999</v>
      </c>
      <c r="AI154">
        <v>100183598.5</v>
      </c>
      <c r="AJ154" s="13" t="str">
        <f t="shared" si="23"/>
        <v>OK</v>
      </c>
      <c r="AK154">
        <v>0</v>
      </c>
      <c r="AL154" s="14">
        <v>50000</v>
      </c>
      <c r="AM154">
        <v>0</v>
      </c>
      <c r="AN154">
        <v>29081412.989999998</v>
      </c>
      <c r="AO154">
        <v>50</v>
      </c>
      <c r="AP154">
        <v>0.5</v>
      </c>
      <c r="AQ154" s="15">
        <f t="shared" si="24"/>
        <v>-49.5</v>
      </c>
      <c r="AR154">
        <v>29081412.989999998</v>
      </c>
      <c r="AS154">
        <v>0</v>
      </c>
      <c r="AT154">
        <v>0</v>
      </c>
      <c r="AU154">
        <v>0</v>
      </c>
      <c r="AV154" s="16">
        <f t="shared" si="25"/>
        <v>-29081412.989999998</v>
      </c>
      <c r="AW154" s="13" t="str">
        <f t="shared" si="26"/>
        <v>NÃO</v>
      </c>
      <c r="AX154" s="13" t="str">
        <f t="shared" si="27"/>
        <v>OK</v>
      </c>
      <c r="AY154" s="13" t="str">
        <f t="shared" si="28"/>
        <v>OK</v>
      </c>
      <c r="AZ154">
        <f t="shared" si="29"/>
        <v>-4.1006190438640848</v>
      </c>
    </row>
    <row r="155" spans="2:52" x14ac:dyDescent="0.3">
      <c r="B155" t="s">
        <v>756</v>
      </c>
      <c r="C155" t="s">
        <v>792</v>
      </c>
      <c r="D155" t="s">
        <v>793</v>
      </c>
      <c r="E155" t="s">
        <v>794</v>
      </c>
      <c r="F155" t="s">
        <v>46</v>
      </c>
      <c r="G155" t="s">
        <v>107</v>
      </c>
      <c r="H155" t="s">
        <v>60</v>
      </c>
      <c r="I155" t="s">
        <v>49</v>
      </c>
      <c r="J155" t="s">
        <v>50</v>
      </c>
      <c r="K155" t="s">
        <v>51</v>
      </c>
      <c r="L155" t="s">
        <v>51</v>
      </c>
      <c r="M155" t="s">
        <v>134</v>
      </c>
      <c r="N155" t="s">
        <v>795</v>
      </c>
      <c r="O155" s="11" t="str">
        <f t="shared" si="20"/>
        <v>OK</v>
      </c>
      <c r="P155" t="s">
        <v>54</v>
      </c>
      <c r="Q155" t="s">
        <v>54</v>
      </c>
      <c r="R155" t="s">
        <v>54</v>
      </c>
      <c r="S155" t="s">
        <v>796</v>
      </c>
      <c r="T155" s="1">
        <v>1515059261.3099999</v>
      </c>
      <c r="U155" s="1">
        <v>516953836.91000003</v>
      </c>
      <c r="V155" s="13" t="str">
        <f t="shared" si="21"/>
        <v>OK</v>
      </c>
      <c r="W155" s="1">
        <v>1594520337.5799999</v>
      </c>
      <c r="X155" s="1">
        <v>248497647.08000001</v>
      </c>
      <c r="Y155" t="s">
        <v>51</v>
      </c>
      <c r="Z155">
        <v>868978.84</v>
      </c>
      <c r="AA155">
        <v>0</v>
      </c>
      <c r="AB155">
        <v>27242.25</v>
      </c>
      <c r="AC155">
        <v>231020423.91</v>
      </c>
      <c r="AD155" s="13" t="str">
        <f t="shared" si="22"/>
        <v>OK</v>
      </c>
      <c r="AE155">
        <v>5919927533.3400002</v>
      </c>
      <c r="AF155">
        <v>0</v>
      </c>
      <c r="AG155">
        <v>0</v>
      </c>
      <c r="AH155">
        <v>0</v>
      </c>
      <c r="AI155">
        <v>0</v>
      </c>
      <c r="AJ155" s="13" t="str">
        <f t="shared" si="23"/>
        <v>OK</v>
      </c>
      <c r="AK155">
        <v>0</v>
      </c>
      <c r="AL155">
        <v>0</v>
      </c>
      <c r="AM155">
        <v>35337622.740000002</v>
      </c>
      <c r="AN155">
        <v>124326481.62</v>
      </c>
      <c r="AO155">
        <v>1874223248257</v>
      </c>
      <c r="AP155">
        <v>1916036690527</v>
      </c>
      <c r="AQ155" s="15">
        <f t="shared" si="24"/>
        <v>41813442270</v>
      </c>
      <c r="AR155">
        <v>1016081717.73</v>
      </c>
      <c r="AS155">
        <v>1140408199.3499999</v>
      </c>
      <c r="AT155">
        <v>124326481.62</v>
      </c>
      <c r="AU155">
        <v>101950388.91</v>
      </c>
      <c r="AV155" s="16">
        <f t="shared" si="25"/>
        <v>226276870.52999988</v>
      </c>
      <c r="AW155" s="13" t="str">
        <f t="shared" si="26"/>
        <v>SIM</v>
      </c>
      <c r="AX155" s="13" t="str">
        <f t="shared" si="27"/>
        <v>VER CAPITAL</v>
      </c>
      <c r="AY155" s="13" t="str">
        <f t="shared" si="28"/>
        <v>OK</v>
      </c>
      <c r="AZ155">
        <f t="shared" si="29"/>
        <v>3.9024197949879156</v>
      </c>
    </row>
    <row r="156" spans="2:52" x14ac:dyDescent="0.3">
      <c r="B156" t="s">
        <v>756</v>
      </c>
      <c r="C156" t="s">
        <v>757</v>
      </c>
      <c r="D156" t="s">
        <v>758</v>
      </c>
      <c r="E156" t="s">
        <v>759</v>
      </c>
      <c r="F156" t="s">
        <v>70</v>
      </c>
      <c r="G156" t="s">
        <v>224</v>
      </c>
      <c r="H156" t="s">
        <v>60</v>
      </c>
      <c r="I156" t="s">
        <v>76</v>
      </c>
      <c r="J156" t="s">
        <v>50</v>
      </c>
      <c r="K156" t="s">
        <v>51</v>
      </c>
      <c r="L156" t="s">
        <v>51</v>
      </c>
      <c r="M156" t="s">
        <v>52</v>
      </c>
      <c r="N156" t="s">
        <v>66</v>
      </c>
      <c r="O156" s="11" t="str">
        <f t="shared" si="20"/>
        <v>OK</v>
      </c>
      <c r="P156" t="s">
        <v>51</v>
      </c>
      <c r="Q156" t="s">
        <v>54</v>
      </c>
      <c r="R156" t="s">
        <v>51</v>
      </c>
      <c r="S156" t="s">
        <v>55</v>
      </c>
      <c r="T156" s="1">
        <v>0</v>
      </c>
      <c r="U156" s="1">
        <v>0</v>
      </c>
      <c r="V156" s="13" t="str">
        <f t="shared" si="21"/>
        <v>OK</v>
      </c>
      <c r="W156" s="1">
        <v>0</v>
      </c>
      <c r="X156" s="1">
        <v>0</v>
      </c>
      <c r="Y156" t="s">
        <v>51</v>
      </c>
      <c r="Z156">
        <v>0</v>
      </c>
      <c r="AA156">
        <v>0</v>
      </c>
      <c r="AB156">
        <v>0</v>
      </c>
      <c r="AC156">
        <v>0</v>
      </c>
      <c r="AD156" s="13" t="str">
        <f t="shared" si="22"/>
        <v>OK</v>
      </c>
      <c r="AE156">
        <v>0</v>
      </c>
      <c r="AF156">
        <v>0</v>
      </c>
      <c r="AG156">
        <v>0</v>
      </c>
      <c r="AH156">
        <v>0</v>
      </c>
      <c r="AI156">
        <v>0</v>
      </c>
      <c r="AJ156" s="13" t="str">
        <f t="shared" si="23"/>
        <v>OK</v>
      </c>
      <c r="AK156">
        <v>0</v>
      </c>
      <c r="AL156">
        <v>0</v>
      </c>
      <c r="AM156">
        <v>0</v>
      </c>
      <c r="AN156">
        <v>0</v>
      </c>
      <c r="AO156">
        <v>73709</v>
      </c>
      <c r="AP156">
        <v>73709</v>
      </c>
      <c r="AQ156" s="15">
        <f t="shared" si="24"/>
        <v>0</v>
      </c>
      <c r="AR156">
        <v>73709</v>
      </c>
      <c r="AS156">
        <v>73709</v>
      </c>
      <c r="AT156">
        <v>0</v>
      </c>
      <c r="AU156">
        <v>0</v>
      </c>
      <c r="AV156" s="16">
        <f t="shared" si="25"/>
        <v>0</v>
      </c>
      <c r="AW156" s="13" t="str">
        <f t="shared" si="26"/>
        <v>NÃO</v>
      </c>
      <c r="AX156" s="13" t="str">
        <f t="shared" si="27"/>
        <v>OK</v>
      </c>
      <c r="AY156" s="13" t="str">
        <f t="shared" si="28"/>
        <v>OK</v>
      </c>
      <c r="AZ156" t="e">
        <f t="shared" si="29"/>
        <v>#DIV/0!</v>
      </c>
    </row>
    <row r="157" spans="2:52" x14ac:dyDescent="0.3">
      <c r="B157" t="s">
        <v>756</v>
      </c>
      <c r="C157" t="s">
        <v>760</v>
      </c>
      <c r="D157" t="s">
        <v>761</v>
      </c>
      <c r="E157" t="s">
        <v>762</v>
      </c>
      <c r="F157" t="s">
        <v>46</v>
      </c>
      <c r="G157" t="s">
        <v>93</v>
      </c>
      <c r="H157" t="s">
        <v>60</v>
      </c>
      <c r="I157" t="s">
        <v>49</v>
      </c>
      <c r="J157" t="s">
        <v>50</v>
      </c>
      <c r="K157" t="s">
        <v>51</v>
      </c>
      <c r="L157" t="s">
        <v>51</v>
      </c>
      <c r="M157" t="s">
        <v>52</v>
      </c>
      <c r="N157" t="s">
        <v>763</v>
      </c>
      <c r="O157" s="11" t="str">
        <f t="shared" si="20"/>
        <v>OK</v>
      </c>
      <c r="P157" t="s">
        <v>54</v>
      </c>
      <c r="Q157" t="s">
        <v>54</v>
      </c>
      <c r="R157" t="s">
        <v>51</v>
      </c>
      <c r="S157" t="s">
        <v>55</v>
      </c>
      <c r="T157" s="1">
        <v>56902399.310000002</v>
      </c>
      <c r="U157" s="1">
        <v>17305120.890000001</v>
      </c>
      <c r="V157" s="13" t="str">
        <f t="shared" si="21"/>
        <v>OK</v>
      </c>
      <c r="W157" s="1">
        <v>67995550.230000004</v>
      </c>
      <c r="X157" s="1">
        <v>31260219.859999999</v>
      </c>
      <c r="Y157" t="s">
        <v>51</v>
      </c>
      <c r="Z157">
        <v>406026.23</v>
      </c>
      <c r="AA157">
        <v>0</v>
      </c>
      <c r="AB157">
        <v>0</v>
      </c>
      <c r="AC157">
        <v>0</v>
      </c>
      <c r="AD157" s="13" t="str">
        <f t="shared" si="22"/>
        <v>OK</v>
      </c>
      <c r="AE157">
        <v>0</v>
      </c>
      <c r="AF157">
        <v>1000000000</v>
      </c>
      <c r="AG157">
        <v>0</v>
      </c>
      <c r="AH157">
        <v>53199465.780000001</v>
      </c>
      <c r="AI157">
        <v>56120836.140000001</v>
      </c>
      <c r="AJ157" s="13" t="str">
        <f t="shared" si="23"/>
        <v>OK</v>
      </c>
      <c r="AK157">
        <v>0</v>
      </c>
      <c r="AL157" s="14">
        <v>0</v>
      </c>
      <c r="AM157">
        <v>22343838.699999999</v>
      </c>
      <c r="AN157">
        <v>5211746.28</v>
      </c>
      <c r="AO157">
        <v>260738619</v>
      </c>
      <c r="AP157">
        <v>265950366</v>
      </c>
      <c r="AQ157" s="15">
        <f t="shared" si="24"/>
        <v>5211747</v>
      </c>
      <c r="AR157">
        <v>22343838.699999999</v>
      </c>
      <c r="AS157">
        <v>5251478</v>
      </c>
      <c r="AT157">
        <v>5211746.28</v>
      </c>
      <c r="AU157">
        <v>10059079</v>
      </c>
      <c r="AV157" s="16">
        <f t="shared" si="25"/>
        <v>-7033281.6999999993</v>
      </c>
      <c r="AW157" s="13" t="str">
        <f t="shared" si="26"/>
        <v>SIM</v>
      </c>
      <c r="AX157" s="13" t="str">
        <f t="shared" si="27"/>
        <v>OK</v>
      </c>
      <c r="AY157" s="13" t="str">
        <f t="shared" si="28"/>
        <v>OK</v>
      </c>
      <c r="AZ157" t="e">
        <f t="shared" si="29"/>
        <v>#DIV/0!</v>
      </c>
    </row>
    <row r="158" spans="2:52" x14ac:dyDescent="0.3">
      <c r="B158" t="s">
        <v>756</v>
      </c>
      <c r="C158" t="s">
        <v>764</v>
      </c>
      <c r="D158" t="s">
        <v>765</v>
      </c>
      <c r="E158" t="s">
        <v>766</v>
      </c>
      <c r="F158" t="s">
        <v>46</v>
      </c>
      <c r="G158" t="s">
        <v>65</v>
      </c>
      <c r="H158" t="s">
        <v>60</v>
      </c>
      <c r="I158" t="s">
        <v>49</v>
      </c>
      <c r="J158" t="s">
        <v>50</v>
      </c>
      <c r="K158" t="s">
        <v>51</v>
      </c>
      <c r="L158" t="s">
        <v>51</v>
      </c>
      <c r="M158" t="s">
        <v>52</v>
      </c>
      <c r="N158" t="s">
        <v>767</v>
      </c>
      <c r="O158" s="11" t="str">
        <f t="shared" si="20"/>
        <v>OK</v>
      </c>
      <c r="P158" t="s">
        <v>54</v>
      </c>
      <c r="Q158" t="s">
        <v>54</v>
      </c>
      <c r="R158" t="s">
        <v>51</v>
      </c>
      <c r="S158" t="s">
        <v>55</v>
      </c>
      <c r="T158" s="1">
        <v>23209609.969999999</v>
      </c>
      <c r="U158" s="1">
        <v>7086166.1500000004</v>
      </c>
      <c r="V158" s="13" t="str">
        <f t="shared" si="21"/>
        <v>OK</v>
      </c>
      <c r="W158" s="1">
        <v>21884387.300000001</v>
      </c>
      <c r="X158" s="1">
        <v>775949.86</v>
      </c>
      <c r="Y158" t="s">
        <v>51</v>
      </c>
      <c r="Z158">
        <v>269996.95</v>
      </c>
      <c r="AA158">
        <v>0</v>
      </c>
      <c r="AB158">
        <v>0</v>
      </c>
      <c r="AC158">
        <v>1316395.0900000001</v>
      </c>
      <c r="AD158" s="13" t="str">
        <f t="shared" si="22"/>
        <v>OK</v>
      </c>
      <c r="AE158">
        <v>39287802.549999997</v>
      </c>
      <c r="AF158">
        <v>0</v>
      </c>
      <c r="AG158">
        <v>0</v>
      </c>
      <c r="AH158">
        <v>8729178.5</v>
      </c>
      <c r="AI158">
        <v>17714731.489999998</v>
      </c>
      <c r="AJ158" s="13" t="str">
        <f t="shared" si="23"/>
        <v>OK</v>
      </c>
      <c r="AK158">
        <v>8729178.5</v>
      </c>
      <c r="AL158" s="14">
        <v>17714731.489999998</v>
      </c>
      <c r="AM158">
        <v>0</v>
      </c>
      <c r="AN158">
        <v>0</v>
      </c>
      <c r="AO158">
        <v>1634536</v>
      </c>
      <c r="AP158">
        <v>1634536</v>
      </c>
      <c r="AQ158" s="15">
        <f t="shared" si="24"/>
        <v>0</v>
      </c>
      <c r="AR158">
        <v>2000000</v>
      </c>
      <c r="AS158">
        <v>2000000</v>
      </c>
      <c r="AT158">
        <v>0</v>
      </c>
      <c r="AU158">
        <v>0</v>
      </c>
      <c r="AV158" s="16">
        <f t="shared" si="25"/>
        <v>0</v>
      </c>
      <c r="AW158" s="13" t="str">
        <f t="shared" si="26"/>
        <v>NÃO</v>
      </c>
      <c r="AX158" s="13" t="str">
        <f t="shared" si="27"/>
        <v>OK</v>
      </c>
      <c r="AY158" s="13" t="str">
        <f t="shared" si="28"/>
        <v>OK</v>
      </c>
      <c r="AZ158">
        <f t="shared" si="29"/>
        <v>3.3506457591377816</v>
      </c>
    </row>
    <row r="159" spans="2:52" x14ac:dyDescent="0.3">
      <c r="B159" t="s">
        <v>756</v>
      </c>
      <c r="C159" t="s">
        <v>797</v>
      </c>
      <c r="D159" t="s">
        <v>798</v>
      </c>
      <c r="E159" t="s">
        <v>799</v>
      </c>
      <c r="F159" t="s">
        <v>46</v>
      </c>
      <c r="G159" t="s">
        <v>47</v>
      </c>
      <c r="H159" t="s">
        <v>60</v>
      </c>
      <c r="I159" t="s">
        <v>363</v>
      </c>
      <c r="J159" t="s">
        <v>50</v>
      </c>
      <c r="K159" t="s">
        <v>51</v>
      </c>
      <c r="L159" t="s">
        <v>51</v>
      </c>
      <c r="M159" t="s">
        <v>134</v>
      </c>
      <c r="N159" t="s">
        <v>800</v>
      </c>
      <c r="O159" s="11" t="str">
        <f t="shared" si="20"/>
        <v>OK</v>
      </c>
      <c r="P159" t="s">
        <v>54</v>
      </c>
      <c r="Q159" t="s">
        <v>54</v>
      </c>
      <c r="R159" t="s">
        <v>51</v>
      </c>
      <c r="S159" t="s">
        <v>55</v>
      </c>
      <c r="T159" s="1">
        <v>60671674.009999998</v>
      </c>
      <c r="U159" s="1">
        <v>38896221.340000004</v>
      </c>
      <c r="V159" s="13" t="str">
        <f t="shared" si="21"/>
        <v>OK</v>
      </c>
      <c r="W159" s="1">
        <v>63114103.960000001</v>
      </c>
      <c r="X159" s="1">
        <v>0</v>
      </c>
      <c r="Y159" t="s">
        <v>51</v>
      </c>
      <c r="Z159">
        <v>421382.73</v>
      </c>
      <c r="AA159">
        <v>0</v>
      </c>
      <c r="AB159">
        <v>0.09</v>
      </c>
      <c r="AC159">
        <v>-2702694.82</v>
      </c>
      <c r="AD159" s="13" t="str">
        <f t="shared" si="22"/>
        <v>OK</v>
      </c>
      <c r="AE159">
        <v>2961125.38</v>
      </c>
      <c r="AF159">
        <v>0</v>
      </c>
      <c r="AG159">
        <v>0</v>
      </c>
      <c r="AH159">
        <v>0</v>
      </c>
      <c r="AI159">
        <v>0</v>
      </c>
      <c r="AJ159" s="13" t="str">
        <f t="shared" si="23"/>
        <v>OK</v>
      </c>
      <c r="AK159">
        <v>0</v>
      </c>
      <c r="AL159">
        <v>0</v>
      </c>
      <c r="AM159">
        <v>0</v>
      </c>
      <c r="AN159">
        <v>0</v>
      </c>
      <c r="AO159">
        <v>67817227</v>
      </c>
      <c r="AP159">
        <v>67817227</v>
      </c>
      <c r="AQ159" s="15">
        <f t="shared" si="24"/>
        <v>0</v>
      </c>
      <c r="AR159">
        <v>71899068.730000004</v>
      </c>
      <c r="AS159">
        <v>71899068.730000004</v>
      </c>
      <c r="AT159">
        <v>0</v>
      </c>
      <c r="AU159">
        <v>0</v>
      </c>
      <c r="AV159" s="16">
        <f t="shared" si="25"/>
        <v>0</v>
      </c>
      <c r="AW159" s="13" t="str">
        <f t="shared" si="26"/>
        <v>NÃO</v>
      </c>
      <c r="AX159" s="13" t="str">
        <f t="shared" si="27"/>
        <v>OK</v>
      </c>
      <c r="AY159" s="13" t="str">
        <f t="shared" si="28"/>
        <v>OK</v>
      </c>
      <c r="AZ159">
        <f t="shared" si="29"/>
        <v>-91.272555976673985</v>
      </c>
    </row>
    <row r="160" spans="2:52" x14ac:dyDescent="0.3">
      <c r="B160" t="s">
        <v>756</v>
      </c>
      <c r="C160" t="s">
        <v>801</v>
      </c>
      <c r="D160" t="s">
        <v>802</v>
      </c>
      <c r="E160" t="s">
        <v>803</v>
      </c>
      <c r="F160" t="s">
        <v>46</v>
      </c>
      <c r="G160" t="s">
        <v>314</v>
      </c>
      <c r="H160" t="s">
        <v>60</v>
      </c>
      <c r="I160" t="s">
        <v>49</v>
      </c>
      <c r="J160" t="s">
        <v>50</v>
      </c>
      <c r="K160" t="s">
        <v>51</v>
      </c>
      <c r="L160" t="s">
        <v>51</v>
      </c>
      <c r="M160" t="s">
        <v>134</v>
      </c>
      <c r="N160" t="s">
        <v>804</v>
      </c>
      <c r="O160" s="11" t="str">
        <f t="shared" si="20"/>
        <v>OK</v>
      </c>
      <c r="P160" t="s">
        <v>54</v>
      </c>
      <c r="Q160" t="s">
        <v>54</v>
      </c>
      <c r="R160" t="s">
        <v>54</v>
      </c>
      <c r="S160" t="s">
        <v>55</v>
      </c>
      <c r="T160" s="1">
        <v>30853155.5</v>
      </c>
      <c r="U160" s="1">
        <v>8553631.9000000004</v>
      </c>
      <c r="V160" s="13" t="str">
        <f t="shared" si="21"/>
        <v>OK</v>
      </c>
      <c r="W160" s="1">
        <v>59798178.630000003</v>
      </c>
      <c r="X160" s="1">
        <v>38632838.350000001</v>
      </c>
      <c r="Y160" t="s">
        <v>51</v>
      </c>
      <c r="Z160">
        <v>462272.31</v>
      </c>
      <c r="AA160">
        <v>0</v>
      </c>
      <c r="AB160">
        <v>83354.87</v>
      </c>
      <c r="AC160">
        <v>1120953</v>
      </c>
      <c r="AD160" s="13" t="str">
        <f t="shared" si="22"/>
        <v>OK</v>
      </c>
      <c r="AE160">
        <v>151483230</v>
      </c>
      <c r="AF160">
        <v>151483230</v>
      </c>
      <c r="AG160">
        <v>0</v>
      </c>
      <c r="AH160">
        <v>0</v>
      </c>
      <c r="AI160">
        <v>0</v>
      </c>
      <c r="AJ160" s="13" t="str">
        <f t="shared" si="23"/>
        <v>OK</v>
      </c>
      <c r="AK160">
        <v>0</v>
      </c>
      <c r="AL160">
        <v>0</v>
      </c>
      <c r="AM160">
        <v>72927041.75</v>
      </c>
      <c r="AN160">
        <v>28000000</v>
      </c>
      <c r="AO160">
        <v>118447855</v>
      </c>
      <c r="AP160">
        <v>146447885</v>
      </c>
      <c r="AQ160" s="15">
        <f t="shared" si="24"/>
        <v>28000030</v>
      </c>
      <c r="AR160">
        <v>118447855</v>
      </c>
      <c r="AS160">
        <v>146447885</v>
      </c>
      <c r="AT160">
        <v>0</v>
      </c>
      <c r="AU160">
        <v>0</v>
      </c>
      <c r="AV160" s="16">
        <f t="shared" si="25"/>
        <v>28000030</v>
      </c>
      <c r="AW160" s="13" t="str">
        <f t="shared" si="26"/>
        <v>SIM</v>
      </c>
      <c r="AX160" s="13" t="str">
        <f t="shared" si="27"/>
        <v>VER CAPITAL</v>
      </c>
      <c r="AY160" s="13" t="str">
        <f t="shared" si="28"/>
        <v>OK</v>
      </c>
      <c r="AZ160">
        <f t="shared" si="29"/>
        <v>0.73998488149480313</v>
      </c>
    </row>
    <row r="161" spans="2:52" x14ac:dyDescent="0.3">
      <c r="B161" t="s">
        <v>756</v>
      </c>
      <c r="C161" t="s">
        <v>768</v>
      </c>
      <c r="D161" t="s">
        <v>100</v>
      </c>
      <c r="E161" t="s">
        <v>769</v>
      </c>
      <c r="F161" t="s">
        <v>70</v>
      </c>
      <c r="G161" t="s">
        <v>102</v>
      </c>
      <c r="H161" t="s">
        <v>48</v>
      </c>
      <c r="I161" t="s">
        <v>76</v>
      </c>
      <c r="J161" t="s">
        <v>50</v>
      </c>
      <c r="K161" t="s">
        <v>51</v>
      </c>
      <c r="L161" t="s">
        <v>51</v>
      </c>
      <c r="M161" t="s">
        <v>52</v>
      </c>
      <c r="N161" t="s">
        <v>66</v>
      </c>
      <c r="O161" s="11" t="str">
        <f t="shared" si="20"/>
        <v>OK</v>
      </c>
      <c r="P161" t="s">
        <v>51</v>
      </c>
      <c r="Q161" t="s">
        <v>54</v>
      </c>
      <c r="R161" t="s">
        <v>51</v>
      </c>
      <c r="S161" t="s">
        <v>55</v>
      </c>
      <c r="T161" s="1">
        <v>0</v>
      </c>
      <c r="U161" s="1">
        <v>0</v>
      </c>
      <c r="V161" s="13" t="str">
        <f t="shared" si="21"/>
        <v>OK</v>
      </c>
      <c r="W161" s="1">
        <v>45450.64</v>
      </c>
      <c r="X161" s="1">
        <v>0</v>
      </c>
      <c r="Y161" t="s">
        <v>51</v>
      </c>
      <c r="Z161">
        <v>0</v>
      </c>
      <c r="AA161">
        <v>0</v>
      </c>
      <c r="AB161">
        <v>0</v>
      </c>
      <c r="AC161">
        <v>-19402.22</v>
      </c>
      <c r="AD161" s="13" t="str">
        <f t="shared" si="22"/>
        <v>OK</v>
      </c>
      <c r="AE161">
        <v>1228.06</v>
      </c>
      <c r="AF161">
        <v>0</v>
      </c>
      <c r="AG161">
        <v>0</v>
      </c>
      <c r="AH161">
        <v>0</v>
      </c>
      <c r="AI161">
        <v>0</v>
      </c>
      <c r="AJ161" s="13" t="str">
        <f t="shared" si="23"/>
        <v>OK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s="15">
        <f t="shared" si="24"/>
        <v>0</v>
      </c>
      <c r="AR161">
        <v>3111.66</v>
      </c>
      <c r="AS161">
        <v>3111.66</v>
      </c>
      <c r="AT161">
        <v>0</v>
      </c>
      <c r="AU161">
        <v>0</v>
      </c>
      <c r="AV161" s="16">
        <f t="shared" si="25"/>
        <v>0</v>
      </c>
      <c r="AW161" s="13" t="str">
        <f t="shared" si="26"/>
        <v>NÃO</v>
      </c>
      <c r="AX161" s="13" t="str">
        <f t="shared" si="27"/>
        <v>OK</v>
      </c>
      <c r="AY161" s="13" t="str">
        <f t="shared" si="28"/>
        <v>OK</v>
      </c>
      <c r="AZ161">
        <f t="shared" si="29"/>
        <v>-1579.9081478103676</v>
      </c>
    </row>
    <row r="162" spans="2:52" x14ac:dyDescent="0.3">
      <c r="B162" t="s">
        <v>756</v>
      </c>
      <c r="C162" t="s">
        <v>770</v>
      </c>
      <c r="D162" t="s">
        <v>771</v>
      </c>
      <c r="E162" t="s">
        <v>772</v>
      </c>
      <c r="F162" t="s">
        <v>70</v>
      </c>
      <c r="G162" t="s">
        <v>102</v>
      </c>
      <c r="H162" t="s">
        <v>48</v>
      </c>
      <c r="I162" t="s">
        <v>76</v>
      </c>
      <c r="J162" t="s">
        <v>50</v>
      </c>
      <c r="K162" t="s">
        <v>51</v>
      </c>
      <c r="L162" t="s">
        <v>51</v>
      </c>
      <c r="M162" t="s">
        <v>52</v>
      </c>
      <c r="N162" t="s">
        <v>66</v>
      </c>
      <c r="O162" s="11" t="str">
        <f t="shared" si="20"/>
        <v>OK</v>
      </c>
      <c r="P162" t="s">
        <v>54</v>
      </c>
      <c r="Q162" t="s">
        <v>54</v>
      </c>
      <c r="R162" t="s">
        <v>51</v>
      </c>
      <c r="S162" t="s">
        <v>55</v>
      </c>
      <c r="T162" s="1">
        <v>0</v>
      </c>
      <c r="U162" s="1">
        <v>0</v>
      </c>
      <c r="V162" s="13" t="str">
        <f t="shared" si="21"/>
        <v>OK</v>
      </c>
      <c r="W162" s="1">
        <v>1582278</v>
      </c>
      <c r="X162" s="1">
        <v>0</v>
      </c>
      <c r="Y162" t="s">
        <v>51</v>
      </c>
      <c r="Z162">
        <v>0</v>
      </c>
      <c r="AA162">
        <v>0</v>
      </c>
      <c r="AB162">
        <v>0</v>
      </c>
      <c r="AC162">
        <v>-316471</v>
      </c>
      <c r="AD162" s="13" t="str">
        <f t="shared" si="22"/>
        <v>OK</v>
      </c>
      <c r="AE162">
        <v>4184852</v>
      </c>
      <c r="AF162">
        <v>0</v>
      </c>
      <c r="AG162">
        <v>0</v>
      </c>
      <c r="AH162">
        <v>0</v>
      </c>
      <c r="AI162">
        <v>0</v>
      </c>
      <c r="AJ162" s="13" t="str">
        <f t="shared" si="23"/>
        <v>OK</v>
      </c>
      <c r="AK162">
        <v>0</v>
      </c>
      <c r="AL162">
        <v>0</v>
      </c>
      <c r="AM162">
        <v>0</v>
      </c>
      <c r="AN162">
        <v>0</v>
      </c>
      <c r="AO162">
        <v>1182563</v>
      </c>
      <c r="AP162">
        <v>1182563</v>
      </c>
      <c r="AQ162" s="15">
        <f t="shared" si="24"/>
        <v>0</v>
      </c>
      <c r="AR162">
        <v>1182563</v>
      </c>
      <c r="AS162">
        <v>1182563</v>
      </c>
      <c r="AT162">
        <v>791511</v>
      </c>
      <c r="AU162">
        <v>791511</v>
      </c>
      <c r="AV162" s="16">
        <f t="shared" si="25"/>
        <v>791511</v>
      </c>
      <c r="AW162" s="13" t="str">
        <f t="shared" si="26"/>
        <v>SIM</v>
      </c>
      <c r="AX162" s="13" t="str">
        <f t="shared" si="27"/>
        <v>OK</v>
      </c>
      <c r="AY162" s="13" t="str">
        <f t="shared" si="28"/>
        <v>OK</v>
      </c>
      <c r="AZ162">
        <f t="shared" si="29"/>
        <v>-7.5622984994451414</v>
      </c>
    </row>
    <row r="163" spans="2:52" x14ac:dyDescent="0.3">
      <c r="B163" t="s">
        <v>756</v>
      </c>
      <c r="C163" t="s">
        <v>773</v>
      </c>
      <c r="D163" t="s">
        <v>672</v>
      </c>
      <c r="E163" t="s">
        <v>774</v>
      </c>
      <c r="F163" t="s">
        <v>46</v>
      </c>
      <c r="G163" t="s">
        <v>102</v>
      </c>
      <c r="H163" t="s">
        <v>48</v>
      </c>
      <c r="I163" t="s">
        <v>76</v>
      </c>
      <c r="J163" t="s">
        <v>50</v>
      </c>
      <c r="K163" t="s">
        <v>51</v>
      </c>
      <c r="L163" t="s">
        <v>51</v>
      </c>
      <c r="M163" t="s">
        <v>52</v>
      </c>
      <c r="N163" t="s">
        <v>775</v>
      </c>
      <c r="O163" s="11" t="str">
        <f t="shared" si="20"/>
        <v>OK</v>
      </c>
      <c r="P163" t="s">
        <v>54</v>
      </c>
      <c r="Q163" t="s">
        <v>54</v>
      </c>
      <c r="R163" t="s">
        <v>51</v>
      </c>
      <c r="S163" t="s">
        <v>776</v>
      </c>
      <c r="T163" s="1">
        <v>667113.42000000004</v>
      </c>
      <c r="U163" s="1">
        <v>104379480.59999999</v>
      </c>
      <c r="V163" s="13" t="str">
        <f t="shared" si="21"/>
        <v>OK</v>
      </c>
      <c r="W163" s="1">
        <v>143742750.31999999</v>
      </c>
      <c r="X163" s="1">
        <v>1178579.28</v>
      </c>
      <c r="Y163" t="s">
        <v>51</v>
      </c>
      <c r="Z163">
        <v>323872.7</v>
      </c>
      <c r="AA163">
        <v>0</v>
      </c>
      <c r="AB163">
        <v>0</v>
      </c>
      <c r="AC163">
        <v>219175.3</v>
      </c>
      <c r="AD163" s="13" t="str">
        <f t="shared" si="22"/>
        <v>OK</v>
      </c>
      <c r="AE163">
        <v>4007991.65</v>
      </c>
      <c r="AF163">
        <v>0</v>
      </c>
      <c r="AG163">
        <v>0</v>
      </c>
      <c r="AH163">
        <v>0</v>
      </c>
      <c r="AI163">
        <v>0</v>
      </c>
      <c r="AJ163" s="13" t="str">
        <f t="shared" si="23"/>
        <v>OK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s="15">
        <f t="shared" si="24"/>
        <v>0</v>
      </c>
      <c r="AR163">
        <v>978753.02</v>
      </c>
      <c r="AS163">
        <v>978753.02</v>
      </c>
      <c r="AT163">
        <v>0</v>
      </c>
      <c r="AU163">
        <v>0</v>
      </c>
      <c r="AV163" s="16">
        <f t="shared" si="25"/>
        <v>0</v>
      </c>
      <c r="AW163" s="13" t="str">
        <f t="shared" si="26"/>
        <v>NÃO</v>
      </c>
      <c r="AX163" s="13" t="str">
        <f t="shared" si="27"/>
        <v>OK</v>
      </c>
      <c r="AY163" s="13" t="str">
        <f t="shared" si="28"/>
        <v>OK</v>
      </c>
      <c r="AZ163">
        <f t="shared" si="29"/>
        <v>5.4684570014011884</v>
      </c>
    </row>
    <row r="164" spans="2:52" x14ac:dyDescent="0.3">
      <c r="B164" t="s">
        <v>756</v>
      </c>
      <c r="C164" t="s">
        <v>777</v>
      </c>
      <c r="D164" t="s">
        <v>778</v>
      </c>
      <c r="E164" t="s">
        <v>779</v>
      </c>
      <c r="F164" t="s">
        <v>70</v>
      </c>
      <c r="G164" t="s">
        <v>75</v>
      </c>
      <c r="H164" t="s">
        <v>48</v>
      </c>
      <c r="I164" t="s">
        <v>76</v>
      </c>
      <c r="J164" t="s">
        <v>50</v>
      </c>
      <c r="K164" t="s">
        <v>51</v>
      </c>
      <c r="L164" t="s">
        <v>54</v>
      </c>
      <c r="M164" t="s">
        <v>52</v>
      </c>
      <c r="N164" t="s">
        <v>780</v>
      </c>
      <c r="O164" s="11" t="str">
        <f t="shared" si="20"/>
        <v>OK</v>
      </c>
      <c r="P164" t="s">
        <v>51</v>
      </c>
      <c r="Q164" t="s">
        <v>54</v>
      </c>
      <c r="R164" t="s">
        <v>51</v>
      </c>
      <c r="S164" t="s">
        <v>55</v>
      </c>
      <c r="T164" s="1">
        <v>16757101.93</v>
      </c>
      <c r="U164" s="1">
        <v>16756014.24</v>
      </c>
      <c r="V164" s="13" t="str">
        <f t="shared" si="21"/>
        <v>OK</v>
      </c>
      <c r="W164" s="1">
        <v>20172280.77</v>
      </c>
      <c r="X164" s="1">
        <v>0</v>
      </c>
      <c r="Y164" t="s">
        <v>51</v>
      </c>
      <c r="Z164">
        <v>16756014.24</v>
      </c>
      <c r="AA164">
        <v>0</v>
      </c>
      <c r="AB164">
        <v>0</v>
      </c>
      <c r="AC164">
        <v>-3358877.08</v>
      </c>
      <c r="AD164" s="13" t="str">
        <f t="shared" si="22"/>
        <v>OK</v>
      </c>
      <c r="AE164">
        <v>4338673.4800000004</v>
      </c>
      <c r="AF164">
        <v>0</v>
      </c>
      <c r="AG164">
        <v>0</v>
      </c>
      <c r="AH164">
        <v>15969322.1</v>
      </c>
      <c r="AI164">
        <v>16757101.9</v>
      </c>
      <c r="AJ164" s="13" t="str">
        <f t="shared" si="23"/>
        <v>OK</v>
      </c>
      <c r="AK164">
        <v>592500</v>
      </c>
      <c r="AL164" s="14">
        <v>3068468.39</v>
      </c>
      <c r="AM164">
        <v>0</v>
      </c>
      <c r="AN164">
        <v>0</v>
      </c>
      <c r="AO164">
        <v>0</v>
      </c>
      <c r="AP164">
        <v>0</v>
      </c>
      <c r="AQ164" s="15">
        <f t="shared" si="24"/>
        <v>0</v>
      </c>
      <c r="AR164">
        <v>15880227.18</v>
      </c>
      <c r="AS164">
        <v>15880227.18</v>
      </c>
      <c r="AT164">
        <v>0</v>
      </c>
      <c r="AU164">
        <v>0</v>
      </c>
      <c r="AV164" s="16">
        <f t="shared" si="25"/>
        <v>0</v>
      </c>
      <c r="AW164" s="13" t="str">
        <f t="shared" si="26"/>
        <v>NÃO</v>
      </c>
      <c r="AX164" s="13" t="str">
        <f t="shared" si="27"/>
        <v>OK</v>
      </c>
      <c r="AY164" s="13" t="str">
        <f t="shared" si="28"/>
        <v>OK</v>
      </c>
      <c r="AZ164">
        <f t="shared" si="29"/>
        <v>-77.417143638105713</v>
      </c>
    </row>
    <row r="165" spans="2:52" x14ac:dyDescent="0.3">
      <c r="B165" t="s">
        <v>756</v>
      </c>
      <c r="C165" t="s">
        <v>805</v>
      </c>
      <c r="D165" t="s">
        <v>806</v>
      </c>
      <c r="E165" t="s">
        <v>807</v>
      </c>
      <c r="F165" t="s">
        <v>46</v>
      </c>
      <c r="G165" t="s">
        <v>150</v>
      </c>
      <c r="H165" t="s">
        <v>48</v>
      </c>
      <c r="I165" t="s">
        <v>49</v>
      </c>
      <c r="J165" t="s">
        <v>50</v>
      </c>
      <c r="K165" t="s">
        <v>51</v>
      </c>
      <c r="L165" t="s">
        <v>51</v>
      </c>
      <c r="M165" t="s">
        <v>134</v>
      </c>
      <c r="N165" t="s">
        <v>808</v>
      </c>
      <c r="O165" s="11" t="str">
        <f t="shared" si="20"/>
        <v>OK</v>
      </c>
      <c r="P165" t="s">
        <v>54</v>
      </c>
      <c r="Q165" t="s">
        <v>54</v>
      </c>
      <c r="R165" t="s">
        <v>51</v>
      </c>
      <c r="S165" t="s">
        <v>55</v>
      </c>
      <c r="T165" s="1">
        <v>23422037.07</v>
      </c>
      <c r="U165" s="1">
        <v>17455306.48</v>
      </c>
      <c r="V165" s="13" t="str">
        <f t="shared" si="21"/>
        <v>OK</v>
      </c>
      <c r="W165" s="1">
        <v>26315446.27</v>
      </c>
      <c r="X165" s="1">
        <v>289171.89</v>
      </c>
      <c r="Y165" t="s">
        <v>51</v>
      </c>
      <c r="Z165">
        <v>212332</v>
      </c>
      <c r="AA165">
        <v>0</v>
      </c>
      <c r="AB165">
        <v>0</v>
      </c>
      <c r="AC165">
        <v>-2893409.2</v>
      </c>
      <c r="AD165" s="13" t="str">
        <f t="shared" si="22"/>
        <v>OK</v>
      </c>
      <c r="AE165">
        <v>16717204.18</v>
      </c>
      <c r="AF165">
        <v>0</v>
      </c>
      <c r="AG165">
        <v>0</v>
      </c>
      <c r="AH165">
        <v>0</v>
      </c>
      <c r="AI165">
        <v>0</v>
      </c>
      <c r="AJ165" s="13" t="str">
        <f t="shared" si="23"/>
        <v>OK</v>
      </c>
      <c r="AK165">
        <v>0</v>
      </c>
      <c r="AL165">
        <v>0</v>
      </c>
      <c r="AM165">
        <v>4000000</v>
      </c>
      <c r="AN165">
        <v>2750000</v>
      </c>
      <c r="AO165">
        <v>18446242</v>
      </c>
      <c r="AP165">
        <v>12164783</v>
      </c>
      <c r="AQ165" s="15">
        <f t="shared" si="24"/>
        <v>-6281459</v>
      </c>
      <c r="AR165">
        <v>18446242.609999999</v>
      </c>
      <c r="AS165">
        <v>12164783.17</v>
      </c>
      <c r="AT165">
        <v>0</v>
      </c>
      <c r="AU165">
        <v>0</v>
      </c>
      <c r="AV165" s="16">
        <f t="shared" si="25"/>
        <v>-6281459.4399999995</v>
      </c>
      <c r="AW165" s="13" t="str">
        <f t="shared" si="26"/>
        <v>NÃO</v>
      </c>
      <c r="AX165" s="13" t="str">
        <f t="shared" si="27"/>
        <v>VER CAPITAL</v>
      </c>
      <c r="AY165" s="13" t="str">
        <f t="shared" si="28"/>
        <v>INDÍCIO DE DEPENDÊNCIA POR CAPITAL</v>
      </c>
      <c r="AZ165">
        <f t="shared" si="29"/>
        <v>-17.307973084767337</v>
      </c>
    </row>
    <row r="166" spans="2:52" x14ac:dyDescent="0.3">
      <c r="B166" t="s">
        <v>756</v>
      </c>
      <c r="C166" t="s">
        <v>781</v>
      </c>
      <c r="D166" t="s">
        <v>782</v>
      </c>
      <c r="E166" t="s">
        <v>783</v>
      </c>
      <c r="F166" t="s">
        <v>46</v>
      </c>
      <c r="G166" t="s">
        <v>121</v>
      </c>
      <c r="H166" t="s">
        <v>60</v>
      </c>
      <c r="I166" t="s">
        <v>49</v>
      </c>
      <c r="J166" t="s">
        <v>50</v>
      </c>
      <c r="K166" t="s">
        <v>51</v>
      </c>
      <c r="L166" t="s">
        <v>51</v>
      </c>
      <c r="M166" t="s">
        <v>52</v>
      </c>
      <c r="N166" t="s">
        <v>61</v>
      </c>
      <c r="O166" s="11" t="str">
        <f t="shared" si="20"/>
        <v>OK</v>
      </c>
      <c r="P166" t="s">
        <v>54</v>
      </c>
      <c r="Q166" t="s">
        <v>54</v>
      </c>
      <c r="R166" t="s">
        <v>51</v>
      </c>
      <c r="S166" t="s">
        <v>55</v>
      </c>
      <c r="T166" s="1">
        <v>3199336.87</v>
      </c>
      <c r="U166" s="1">
        <v>2178445</v>
      </c>
      <c r="V166" s="13" t="str">
        <f t="shared" si="21"/>
        <v>OK</v>
      </c>
      <c r="W166" s="1">
        <v>3213195.32</v>
      </c>
      <c r="X166" s="1">
        <v>0</v>
      </c>
      <c r="Y166" t="s">
        <v>51</v>
      </c>
      <c r="Z166">
        <v>99157.36</v>
      </c>
      <c r="AA166">
        <v>0</v>
      </c>
      <c r="AB166">
        <v>8610</v>
      </c>
      <c r="AC166">
        <v>-338992.67</v>
      </c>
      <c r="AD166" s="13" t="str">
        <f t="shared" si="22"/>
        <v>OK</v>
      </c>
      <c r="AE166">
        <v>1091926.05</v>
      </c>
      <c r="AF166">
        <v>0</v>
      </c>
      <c r="AG166">
        <v>0</v>
      </c>
      <c r="AH166">
        <v>1380268.26</v>
      </c>
      <c r="AI166">
        <v>2198996.42</v>
      </c>
      <c r="AJ166" s="13" t="str">
        <f t="shared" si="23"/>
        <v>OK</v>
      </c>
      <c r="AK166">
        <v>0</v>
      </c>
      <c r="AL166" s="14">
        <v>0</v>
      </c>
      <c r="AM166">
        <v>0</v>
      </c>
      <c r="AN166">
        <v>0</v>
      </c>
      <c r="AO166">
        <v>201</v>
      </c>
      <c r="AP166">
        <v>201</v>
      </c>
      <c r="AQ166" s="15">
        <f t="shared" si="24"/>
        <v>0</v>
      </c>
      <c r="AR166">
        <v>576922</v>
      </c>
      <c r="AS166">
        <v>300000</v>
      </c>
      <c r="AT166">
        <v>183172</v>
      </c>
      <c r="AU166">
        <v>0</v>
      </c>
      <c r="AV166" s="16">
        <f t="shared" si="25"/>
        <v>-276922</v>
      </c>
      <c r="AW166" s="13" t="str">
        <f t="shared" si="26"/>
        <v>NÃO</v>
      </c>
      <c r="AX166" s="13" t="str">
        <f t="shared" si="27"/>
        <v>OK</v>
      </c>
      <c r="AY166" s="13" t="str">
        <f t="shared" si="28"/>
        <v>OK</v>
      </c>
      <c r="AZ166">
        <f t="shared" si="29"/>
        <v>-31.045387185331826</v>
      </c>
    </row>
    <row r="167" spans="2:52" x14ac:dyDescent="0.3">
      <c r="B167" t="s">
        <v>756</v>
      </c>
      <c r="C167" t="s">
        <v>809</v>
      </c>
      <c r="D167" t="s">
        <v>810</v>
      </c>
      <c r="E167" t="s">
        <v>811</v>
      </c>
      <c r="F167" t="s">
        <v>46</v>
      </c>
      <c r="G167" t="s">
        <v>139</v>
      </c>
      <c r="H167" t="s">
        <v>60</v>
      </c>
      <c r="I167" t="s">
        <v>49</v>
      </c>
      <c r="J167" t="s">
        <v>50</v>
      </c>
      <c r="K167" t="s">
        <v>51</v>
      </c>
      <c r="L167" t="s">
        <v>51</v>
      </c>
      <c r="M167" t="s">
        <v>134</v>
      </c>
      <c r="N167" t="s">
        <v>812</v>
      </c>
      <c r="O167" s="11" t="str">
        <f t="shared" si="20"/>
        <v>OK</v>
      </c>
      <c r="P167" t="s">
        <v>54</v>
      </c>
      <c r="Q167" t="s">
        <v>54</v>
      </c>
      <c r="R167" t="s">
        <v>54</v>
      </c>
      <c r="S167" t="s">
        <v>813</v>
      </c>
      <c r="T167" s="1">
        <v>164124000</v>
      </c>
      <c r="U167" s="1">
        <v>16947000</v>
      </c>
      <c r="V167" s="13" t="str">
        <f t="shared" si="21"/>
        <v>OK</v>
      </c>
      <c r="W167" s="1">
        <v>170402000</v>
      </c>
      <c r="X167" s="1">
        <v>11986000</v>
      </c>
      <c r="Y167" t="s">
        <v>54</v>
      </c>
      <c r="Z167">
        <v>347795.82</v>
      </c>
      <c r="AA167">
        <v>11644.82</v>
      </c>
      <c r="AB167">
        <v>16934.650000000001</v>
      </c>
      <c r="AC167">
        <v>6823000</v>
      </c>
      <c r="AD167" s="13" t="str">
        <f t="shared" si="22"/>
        <v>OK</v>
      </c>
      <c r="AE167">
        <v>84966000</v>
      </c>
      <c r="AF167">
        <v>0</v>
      </c>
      <c r="AG167">
        <v>899620.83</v>
      </c>
      <c r="AH167">
        <v>0</v>
      </c>
      <c r="AI167">
        <v>0</v>
      </c>
      <c r="AJ167" s="13" t="str">
        <f t="shared" si="23"/>
        <v>OK</v>
      </c>
      <c r="AK167">
        <v>0</v>
      </c>
      <c r="AL167">
        <v>0</v>
      </c>
      <c r="AM167">
        <v>0</v>
      </c>
      <c r="AN167">
        <v>0</v>
      </c>
      <c r="AO167">
        <v>1030355</v>
      </c>
      <c r="AP167">
        <v>1058871</v>
      </c>
      <c r="AQ167" s="15">
        <f t="shared" si="24"/>
        <v>28516</v>
      </c>
      <c r="AR167">
        <v>36184000</v>
      </c>
      <c r="AS167">
        <v>37185000</v>
      </c>
      <c r="AT167">
        <v>0</v>
      </c>
      <c r="AU167">
        <v>0</v>
      </c>
      <c r="AV167" s="16">
        <f t="shared" si="25"/>
        <v>1001000</v>
      </c>
      <c r="AW167" s="13" t="str">
        <f t="shared" si="26"/>
        <v>SIM</v>
      </c>
      <c r="AX167" s="13" t="str">
        <f t="shared" si="27"/>
        <v>OK</v>
      </c>
      <c r="AY167" s="13" t="str">
        <f t="shared" si="28"/>
        <v>OK</v>
      </c>
      <c r="AZ167">
        <f t="shared" si="29"/>
        <v>8.030270931902173</v>
      </c>
    </row>
    <row r="168" spans="2:52" x14ac:dyDescent="0.3">
      <c r="B168" t="s">
        <v>756</v>
      </c>
      <c r="C168" t="s">
        <v>784</v>
      </c>
      <c r="D168" t="s">
        <v>785</v>
      </c>
      <c r="E168" t="s">
        <v>786</v>
      </c>
      <c r="F168" t="s">
        <v>46</v>
      </c>
      <c r="G168" t="s">
        <v>162</v>
      </c>
      <c r="H168" t="s">
        <v>60</v>
      </c>
      <c r="I168" t="s">
        <v>49</v>
      </c>
      <c r="J168" t="s">
        <v>50</v>
      </c>
      <c r="K168" t="s">
        <v>51</v>
      </c>
      <c r="L168" t="s">
        <v>51</v>
      </c>
      <c r="M168" t="s">
        <v>52</v>
      </c>
      <c r="N168" t="s">
        <v>787</v>
      </c>
      <c r="O168" s="11" t="str">
        <f t="shared" si="20"/>
        <v>OK</v>
      </c>
      <c r="P168" t="s">
        <v>54</v>
      </c>
      <c r="Q168" t="s">
        <v>54</v>
      </c>
      <c r="R168" t="s">
        <v>51</v>
      </c>
      <c r="S168" t="s">
        <v>788</v>
      </c>
      <c r="T168" s="1">
        <v>8279173.5999999996</v>
      </c>
      <c r="U168" s="1">
        <v>2485136.65</v>
      </c>
      <c r="V168" s="13" t="str">
        <f t="shared" si="21"/>
        <v>OK</v>
      </c>
      <c r="W168" s="1">
        <v>8953419.7100000009</v>
      </c>
      <c r="X168" s="1">
        <v>0</v>
      </c>
      <c r="Y168" t="s">
        <v>51</v>
      </c>
      <c r="Z168">
        <v>188355.94</v>
      </c>
      <c r="AA168">
        <v>0</v>
      </c>
      <c r="AB168">
        <v>0</v>
      </c>
      <c r="AC168">
        <v>-674246.11</v>
      </c>
      <c r="AD168" s="13" t="str">
        <f t="shared" si="22"/>
        <v>OK</v>
      </c>
      <c r="AE168">
        <v>1636687.92</v>
      </c>
      <c r="AF168">
        <v>0</v>
      </c>
      <c r="AG168">
        <v>0</v>
      </c>
      <c r="AH168">
        <v>6418997.8499999996</v>
      </c>
      <c r="AI168">
        <v>8234861.4800000004</v>
      </c>
      <c r="AJ168" s="13" t="str">
        <f t="shared" si="23"/>
        <v>OK</v>
      </c>
      <c r="AK168">
        <v>0</v>
      </c>
      <c r="AL168" s="14">
        <v>0</v>
      </c>
      <c r="AM168">
        <v>0</v>
      </c>
      <c r="AN168">
        <v>0</v>
      </c>
      <c r="AO168">
        <v>6424993.0300000003</v>
      </c>
      <c r="AP168">
        <v>6424993.0300000003</v>
      </c>
      <c r="AQ168" s="15">
        <f t="shared" si="24"/>
        <v>0</v>
      </c>
      <c r="AR168">
        <v>6451519.0300000003</v>
      </c>
      <c r="AS168">
        <v>6451519.0300000003</v>
      </c>
      <c r="AT168">
        <v>0</v>
      </c>
      <c r="AU168">
        <v>0</v>
      </c>
      <c r="AV168" s="16">
        <f t="shared" si="25"/>
        <v>0</v>
      </c>
      <c r="AW168" s="13" t="str">
        <f t="shared" si="26"/>
        <v>NÃO</v>
      </c>
      <c r="AX168" s="13" t="str">
        <f t="shared" si="27"/>
        <v>OK</v>
      </c>
      <c r="AY168" s="13" t="str">
        <f t="shared" si="28"/>
        <v>OK</v>
      </c>
      <c r="AZ168">
        <f t="shared" si="29"/>
        <v>-41.195765042366787</v>
      </c>
    </row>
    <row r="169" spans="2:52" x14ac:dyDescent="0.3">
      <c r="B169" t="s">
        <v>756</v>
      </c>
      <c r="C169" t="s">
        <v>789</v>
      </c>
      <c r="D169" t="s">
        <v>790</v>
      </c>
      <c r="E169" t="s">
        <v>791</v>
      </c>
      <c r="F169" t="s">
        <v>46</v>
      </c>
      <c r="G169" t="s">
        <v>162</v>
      </c>
      <c r="H169" t="s">
        <v>60</v>
      </c>
      <c r="I169" t="s">
        <v>49</v>
      </c>
      <c r="J169" t="s">
        <v>50</v>
      </c>
      <c r="K169" t="s">
        <v>51</v>
      </c>
      <c r="L169" t="s">
        <v>54</v>
      </c>
      <c r="M169" t="s">
        <v>52</v>
      </c>
      <c r="N169" t="s">
        <v>117</v>
      </c>
      <c r="O169" s="11" t="str">
        <f t="shared" si="20"/>
        <v>OK</v>
      </c>
      <c r="P169" t="s">
        <v>54</v>
      </c>
      <c r="Q169" t="s">
        <v>54</v>
      </c>
      <c r="R169" t="s">
        <v>51</v>
      </c>
      <c r="S169" t="s">
        <v>788</v>
      </c>
      <c r="T169" s="1">
        <v>133671.17000000001</v>
      </c>
      <c r="U169" s="1">
        <v>64395.21</v>
      </c>
      <c r="V169" s="13" t="str">
        <f t="shared" si="21"/>
        <v>OK</v>
      </c>
      <c r="W169" s="1">
        <v>37081204.140000001</v>
      </c>
      <c r="X169" s="1">
        <v>0</v>
      </c>
      <c r="Y169" t="s">
        <v>51</v>
      </c>
      <c r="Z169">
        <v>21766.11</v>
      </c>
      <c r="AA169">
        <v>0</v>
      </c>
      <c r="AB169">
        <v>0</v>
      </c>
      <c r="AC169">
        <v>-36950434.450000003</v>
      </c>
      <c r="AD169" s="13" t="str">
        <f t="shared" si="22"/>
        <v>OK</v>
      </c>
      <c r="AE169">
        <v>-28930827.359999999</v>
      </c>
      <c r="AF169">
        <v>0</v>
      </c>
      <c r="AG169">
        <v>0</v>
      </c>
      <c r="AH169">
        <v>137235.98000000001</v>
      </c>
      <c r="AI169">
        <v>131072.57999999999</v>
      </c>
      <c r="AJ169" s="13" t="str">
        <f t="shared" si="23"/>
        <v>OK</v>
      </c>
      <c r="AK169">
        <v>0</v>
      </c>
      <c r="AL169" s="14">
        <v>0</v>
      </c>
      <c r="AM169">
        <v>0</v>
      </c>
      <c r="AN169">
        <v>0</v>
      </c>
      <c r="AO169">
        <v>15790626.210000001</v>
      </c>
      <c r="AP169">
        <v>15790626.210000001</v>
      </c>
      <c r="AQ169" s="15">
        <f t="shared" si="24"/>
        <v>0</v>
      </c>
      <c r="AR169">
        <v>15790626.210000001</v>
      </c>
      <c r="AS169">
        <v>15790626.210000001</v>
      </c>
      <c r="AT169">
        <v>701977.56</v>
      </c>
      <c r="AU169">
        <v>701977.56</v>
      </c>
      <c r="AV169" s="16">
        <f t="shared" si="25"/>
        <v>701977.56</v>
      </c>
      <c r="AW169" s="13" t="str">
        <f t="shared" si="26"/>
        <v>SIM</v>
      </c>
      <c r="AX169" s="13" t="str">
        <f t="shared" si="27"/>
        <v>OK</v>
      </c>
      <c r="AY169" s="13" t="str">
        <f t="shared" si="28"/>
        <v>OK</v>
      </c>
      <c r="AZ169">
        <f t="shared" si="29"/>
        <v>127.7199369040098</v>
      </c>
    </row>
    <row r="170" spans="2:52" x14ac:dyDescent="0.3">
      <c r="B170" t="s">
        <v>814</v>
      </c>
      <c r="C170" t="s">
        <v>848</v>
      </c>
      <c r="D170" t="s">
        <v>849</v>
      </c>
      <c r="E170" t="s">
        <v>850</v>
      </c>
      <c r="F170" t="s">
        <v>46</v>
      </c>
      <c r="G170" t="s">
        <v>65</v>
      </c>
      <c r="H170" t="s">
        <v>60</v>
      </c>
      <c r="I170" t="s">
        <v>49</v>
      </c>
      <c r="J170" t="s">
        <v>50</v>
      </c>
      <c r="K170" t="s">
        <v>51</v>
      </c>
      <c r="L170" t="s">
        <v>51</v>
      </c>
      <c r="M170" t="s">
        <v>134</v>
      </c>
      <c r="N170" t="s">
        <v>851</v>
      </c>
      <c r="O170" s="11" t="str">
        <f t="shared" si="20"/>
        <v>OK</v>
      </c>
      <c r="P170" t="s">
        <v>54</v>
      </c>
      <c r="Q170" t="s">
        <v>54</v>
      </c>
      <c r="R170" t="s">
        <v>54</v>
      </c>
      <c r="S170" t="s">
        <v>852</v>
      </c>
      <c r="T170" s="1">
        <v>109214152</v>
      </c>
      <c r="U170" s="1">
        <v>41068500</v>
      </c>
      <c r="V170" s="13" t="str">
        <f t="shared" si="21"/>
        <v>OK</v>
      </c>
      <c r="W170" s="1">
        <v>48754745</v>
      </c>
      <c r="X170" s="1">
        <v>0</v>
      </c>
      <c r="Y170" t="s">
        <v>54</v>
      </c>
      <c r="Z170">
        <v>272808.90000000002</v>
      </c>
      <c r="AA170">
        <v>19631.12</v>
      </c>
      <c r="AB170">
        <v>22342.66</v>
      </c>
      <c r="AC170">
        <v>23222481</v>
      </c>
      <c r="AD170" s="13" t="str">
        <f t="shared" si="22"/>
        <v>OK</v>
      </c>
      <c r="AE170">
        <v>184111853</v>
      </c>
      <c r="AF170">
        <v>0</v>
      </c>
      <c r="AG170">
        <v>0</v>
      </c>
      <c r="AH170">
        <v>0</v>
      </c>
      <c r="AI170">
        <v>0</v>
      </c>
      <c r="AJ170" s="13" t="str">
        <f t="shared" si="23"/>
        <v>OK</v>
      </c>
      <c r="AK170">
        <v>0</v>
      </c>
      <c r="AL170">
        <v>0</v>
      </c>
      <c r="AM170">
        <v>0</v>
      </c>
      <c r="AN170">
        <v>0</v>
      </c>
      <c r="AO170">
        <v>480500421384</v>
      </c>
      <c r="AP170">
        <v>480500421384</v>
      </c>
      <c r="AQ170" s="15">
        <f t="shared" si="24"/>
        <v>0</v>
      </c>
      <c r="AR170">
        <v>35862477</v>
      </c>
      <c r="AS170">
        <v>35862477</v>
      </c>
      <c r="AT170">
        <v>0</v>
      </c>
      <c r="AU170">
        <v>0</v>
      </c>
      <c r="AV170" s="16">
        <f t="shared" si="25"/>
        <v>0</v>
      </c>
      <c r="AW170" s="13" t="str">
        <f t="shared" si="26"/>
        <v>NÃO</v>
      </c>
      <c r="AX170" s="13" t="str">
        <f t="shared" si="27"/>
        <v>OK</v>
      </c>
      <c r="AY170" s="13" t="str">
        <f t="shared" si="28"/>
        <v>OK</v>
      </c>
      <c r="AZ170">
        <f t="shared" si="29"/>
        <v>12.613246035821495</v>
      </c>
    </row>
    <row r="171" spans="2:52" x14ac:dyDescent="0.3">
      <c r="B171" t="s">
        <v>814</v>
      </c>
      <c r="C171" t="s">
        <v>853</v>
      </c>
      <c r="D171" t="s">
        <v>854</v>
      </c>
      <c r="E171" t="s">
        <v>855</v>
      </c>
      <c r="F171" t="s">
        <v>46</v>
      </c>
      <c r="G171" t="s">
        <v>71</v>
      </c>
      <c r="H171" t="s">
        <v>60</v>
      </c>
      <c r="I171" t="s">
        <v>49</v>
      </c>
      <c r="J171" t="s">
        <v>50</v>
      </c>
      <c r="K171" t="s">
        <v>51</v>
      </c>
      <c r="L171" t="s">
        <v>51</v>
      </c>
      <c r="M171" t="s">
        <v>134</v>
      </c>
      <c r="N171" t="s">
        <v>856</v>
      </c>
      <c r="O171" s="11" t="str">
        <f t="shared" si="20"/>
        <v>OK</v>
      </c>
      <c r="P171" t="s">
        <v>54</v>
      </c>
      <c r="Q171" t="s">
        <v>54</v>
      </c>
      <c r="R171" t="s">
        <v>51</v>
      </c>
      <c r="S171" t="s">
        <v>857</v>
      </c>
      <c r="T171" s="1">
        <v>11854520.98</v>
      </c>
      <c r="U171" s="1">
        <v>8139000</v>
      </c>
      <c r="V171" s="13" t="str">
        <f t="shared" si="21"/>
        <v>OK</v>
      </c>
      <c r="W171" s="1">
        <v>14349947.699999999</v>
      </c>
      <c r="X171" s="1">
        <v>0</v>
      </c>
      <c r="Y171" t="s">
        <v>51</v>
      </c>
      <c r="Z171">
        <v>255099.33</v>
      </c>
      <c r="AA171">
        <v>0</v>
      </c>
      <c r="AB171">
        <v>0</v>
      </c>
      <c r="AC171">
        <v>-2495426.7200000002</v>
      </c>
      <c r="AD171" s="13" t="str">
        <f t="shared" si="22"/>
        <v>OK</v>
      </c>
      <c r="AE171">
        <v>65970297.579999998</v>
      </c>
      <c r="AF171">
        <v>0</v>
      </c>
      <c r="AG171">
        <v>0</v>
      </c>
      <c r="AH171">
        <v>0</v>
      </c>
      <c r="AI171">
        <v>0</v>
      </c>
      <c r="AJ171" s="13" t="str">
        <f t="shared" si="23"/>
        <v>OK</v>
      </c>
      <c r="AK171">
        <v>0</v>
      </c>
      <c r="AL171">
        <v>0</v>
      </c>
      <c r="AM171">
        <v>19400000</v>
      </c>
      <c r="AN171">
        <v>0</v>
      </c>
      <c r="AO171">
        <v>96251015</v>
      </c>
      <c r="AP171">
        <v>96251015</v>
      </c>
      <c r="AQ171" s="15">
        <f t="shared" si="24"/>
        <v>0</v>
      </c>
      <c r="AR171">
        <v>97300000</v>
      </c>
      <c r="AS171">
        <v>97300000</v>
      </c>
      <c r="AT171">
        <v>0</v>
      </c>
      <c r="AU171">
        <v>0</v>
      </c>
      <c r="AV171" s="16">
        <f t="shared" si="25"/>
        <v>0</v>
      </c>
      <c r="AW171" s="13" t="str">
        <f t="shared" si="26"/>
        <v>NÃO</v>
      </c>
      <c r="AX171" s="13" t="str">
        <f t="shared" si="27"/>
        <v>OK</v>
      </c>
      <c r="AY171" s="13" t="str">
        <f t="shared" si="28"/>
        <v>OK</v>
      </c>
      <c r="AZ171">
        <f t="shared" si="29"/>
        <v>-3.7826519078133289</v>
      </c>
    </row>
    <row r="172" spans="2:52" x14ac:dyDescent="0.3">
      <c r="B172" t="s">
        <v>814</v>
      </c>
      <c r="C172" t="s">
        <v>815</v>
      </c>
      <c r="D172" t="s">
        <v>816</v>
      </c>
      <c r="E172" t="s">
        <v>817</v>
      </c>
      <c r="F172" t="s">
        <v>46</v>
      </c>
      <c r="G172" t="s">
        <v>93</v>
      </c>
      <c r="H172" t="s">
        <v>60</v>
      </c>
      <c r="I172" t="s">
        <v>49</v>
      </c>
      <c r="J172" t="s">
        <v>50</v>
      </c>
      <c r="K172" t="s">
        <v>51</v>
      </c>
      <c r="L172" t="s">
        <v>51</v>
      </c>
      <c r="M172" t="s">
        <v>52</v>
      </c>
      <c r="N172" t="s">
        <v>818</v>
      </c>
      <c r="O172" s="11" t="str">
        <f t="shared" si="20"/>
        <v>OK</v>
      </c>
      <c r="P172" t="s">
        <v>54</v>
      </c>
      <c r="Q172" t="s">
        <v>54</v>
      </c>
      <c r="R172" t="s">
        <v>51</v>
      </c>
      <c r="S172" t="s">
        <v>819</v>
      </c>
      <c r="T172" s="1">
        <v>339109</v>
      </c>
      <c r="U172" s="1">
        <v>15981096.140000001</v>
      </c>
      <c r="V172" s="13" t="str">
        <f t="shared" si="21"/>
        <v>OK</v>
      </c>
      <c r="W172" s="1">
        <v>356794846.68000001</v>
      </c>
      <c r="X172" s="1">
        <v>314593792.77999997</v>
      </c>
      <c r="Y172" t="s">
        <v>51</v>
      </c>
      <c r="Z172">
        <v>166570</v>
      </c>
      <c r="AA172">
        <v>0</v>
      </c>
      <c r="AB172">
        <v>0</v>
      </c>
      <c r="AC172">
        <v>-5331840</v>
      </c>
      <c r="AD172" s="13" t="str">
        <f t="shared" si="22"/>
        <v>OK</v>
      </c>
      <c r="AE172">
        <v>21995095</v>
      </c>
      <c r="AF172">
        <v>0</v>
      </c>
      <c r="AG172">
        <v>0</v>
      </c>
      <c r="AH172">
        <v>82932230.969999999</v>
      </c>
      <c r="AI172">
        <v>343030068.44999999</v>
      </c>
      <c r="AJ172" s="13" t="str">
        <f t="shared" si="23"/>
        <v>OK</v>
      </c>
      <c r="AK172">
        <v>43836538.479999997</v>
      </c>
      <c r="AL172" s="14">
        <v>57549051.25</v>
      </c>
      <c r="AM172">
        <v>0</v>
      </c>
      <c r="AN172">
        <v>0</v>
      </c>
      <c r="AO172">
        <v>469028</v>
      </c>
      <c r="AP172">
        <v>469028</v>
      </c>
      <c r="AQ172" s="15">
        <f t="shared" si="24"/>
        <v>0</v>
      </c>
      <c r="AR172">
        <v>472970</v>
      </c>
      <c r="AS172">
        <v>472970</v>
      </c>
      <c r="AT172">
        <v>0</v>
      </c>
      <c r="AU172">
        <v>0</v>
      </c>
      <c r="AV172" s="16">
        <f t="shared" si="25"/>
        <v>0</v>
      </c>
      <c r="AW172" s="13" t="str">
        <f t="shared" si="26"/>
        <v>NÃO</v>
      </c>
      <c r="AX172" s="13" t="str">
        <f t="shared" si="27"/>
        <v>OK</v>
      </c>
      <c r="AY172" s="13" t="str">
        <f t="shared" si="28"/>
        <v>OK</v>
      </c>
      <c r="AZ172">
        <f t="shared" si="29"/>
        <v>-24.241041013916966</v>
      </c>
    </row>
    <row r="173" spans="2:52" x14ac:dyDescent="0.3">
      <c r="B173" t="s">
        <v>814</v>
      </c>
      <c r="C173" t="s">
        <v>858</v>
      </c>
      <c r="D173" t="s">
        <v>859</v>
      </c>
      <c r="E173" t="s">
        <v>860</v>
      </c>
      <c r="F173" t="s">
        <v>46</v>
      </c>
      <c r="G173" t="s">
        <v>150</v>
      </c>
      <c r="H173" t="s">
        <v>60</v>
      </c>
      <c r="I173" t="s">
        <v>49</v>
      </c>
      <c r="J173" t="s">
        <v>50</v>
      </c>
      <c r="K173" t="s">
        <v>51</v>
      </c>
      <c r="L173" t="s">
        <v>51</v>
      </c>
      <c r="M173" t="s">
        <v>134</v>
      </c>
      <c r="N173" t="s">
        <v>861</v>
      </c>
      <c r="O173" s="11" t="str">
        <f t="shared" si="20"/>
        <v>OK</v>
      </c>
      <c r="P173" t="s">
        <v>54</v>
      </c>
      <c r="Q173" t="s">
        <v>54</v>
      </c>
      <c r="R173" t="s">
        <v>51</v>
      </c>
      <c r="S173" t="s">
        <v>862</v>
      </c>
      <c r="T173" s="1">
        <v>62715869</v>
      </c>
      <c r="U173" s="1">
        <v>15391808</v>
      </c>
      <c r="V173" s="13" t="str">
        <f t="shared" si="21"/>
        <v>OK</v>
      </c>
      <c r="W173" s="1">
        <v>27942106</v>
      </c>
      <c r="X173" s="1">
        <v>2131635.27</v>
      </c>
      <c r="Y173" t="s">
        <v>51</v>
      </c>
      <c r="Z173">
        <v>247018.42</v>
      </c>
      <c r="AA173">
        <v>0</v>
      </c>
      <c r="AB173">
        <v>27300.44</v>
      </c>
      <c r="AC173">
        <v>177996</v>
      </c>
      <c r="AD173" s="13" t="str">
        <f t="shared" si="22"/>
        <v>OK</v>
      </c>
      <c r="AE173">
        <v>41810448</v>
      </c>
      <c r="AF173">
        <v>0</v>
      </c>
      <c r="AG173">
        <v>0</v>
      </c>
      <c r="AH173">
        <v>0</v>
      </c>
      <c r="AI173">
        <v>0</v>
      </c>
      <c r="AJ173" s="13" t="str">
        <f t="shared" si="23"/>
        <v>OK</v>
      </c>
      <c r="AK173">
        <v>0</v>
      </c>
      <c r="AL173">
        <v>0</v>
      </c>
      <c r="AM173">
        <v>0</v>
      </c>
      <c r="AN173">
        <v>0</v>
      </c>
      <c r="AO173">
        <v>131250</v>
      </c>
      <c r="AP173">
        <v>131250</v>
      </c>
      <c r="AQ173" s="15">
        <f t="shared" si="24"/>
        <v>0</v>
      </c>
      <c r="AR173">
        <v>66570000</v>
      </c>
      <c r="AS173">
        <v>66570000</v>
      </c>
      <c r="AT173">
        <v>0</v>
      </c>
      <c r="AU173">
        <v>0</v>
      </c>
      <c r="AV173" s="16">
        <f t="shared" si="25"/>
        <v>0</v>
      </c>
      <c r="AW173" s="13" t="str">
        <f t="shared" si="26"/>
        <v>NÃO</v>
      </c>
      <c r="AX173" s="13" t="str">
        <f t="shared" si="27"/>
        <v>OK</v>
      </c>
      <c r="AY173" s="13" t="str">
        <f t="shared" si="28"/>
        <v>OK</v>
      </c>
      <c r="AZ173">
        <f t="shared" si="29"/>
        <v>0.42572134123030686</v>
      </c>
    </row>
    <row r="174" spans="2:52" x14ac:dyDescent="0.3">
      <c r="B174" t="s">
        <v>814</v>
      </c>
      <c r="C174" t="s">
        <v>863</v>
      </c>
      <c r="D174" t="s">
        <v>864</v>
      </c>
      <c r="E174" t="s">
        <v>865</v>
      </c>
      <c r="F174" t="s">
        <v>46</v>
      </c>
      <c r="G174" t="s">
        <v>107</v>
      </c>
      <c r="H174" t="s">
        <v>60</v>
      </c>
      <c r="I174" t="s">
        <v>49</v>
      </c>
      <c r="J174" t="s">
        <v>50</v>
      </c>
      <c r="K174" t="s">
        <v>51</v>
      </c>
      <c r="L174" t="s">
        <v>51</v>
      </c>
      <c r="M174" t="s">
        <v>134</v>
      </c>
      <c r="N174" t="s">
        <v>866</v>
      </c>
      <c r="O174" s="11" t="str">
        <f t="shared" si="20"/>
        <v>OK</v>
      </c>
      <c r="P174" t="s">
        <v>54</v>
      </c>
      <c r="Q174" t="s">
        <v>54</v>
      </c>
      <c r="R174" t="s">
        <v>54</v>
      </c>
      <c r="S174" t="s">
        <v>867</v>
      </c>
      <c r="T174" s="1">
        <v>2886188098.75</v>
      </c>
      <c r="U174" s="1">
        <v>756401344.70000005</v>
      </c>
      <c r="V174" s="13" t="str">
        <f t="shared" si="21"/>
        <v>OK</v>
      </c>
      <c r="W174" s="1">
        <v>2744019053.3099999</v>
      </c>
      <c r="X174" s="1">
        <v>433792011.24000001</v>
      </c>
      <c r="Y174" t="s">
        <v>51</v>
      </c>
      <c r="Z174">
        <v>583436.80000000005</v>
      </c>
      <c r="AA174">
        <v>0</v>
      </c>
      <c r="AB174">
        <v>13159.52</v>
      </c>
      <c r="AC174">
        <v>142169045.44</v>
      </c>
      <c r="AD174" s="13" t="str">
        <f t="shared" si="22"/>
        <v>OK</v>
      </c>
      <c r="AE174">
        <v>8115054105.5100002</v>
      </c>
      <c r="AF174">
        <v>0</v>
      </c>
      <c r="AG174">
        <v>0</v>
      </c>
      <c r="AH174">
        <v>0</v>
      </c>
      <c r="AI174">
        <v>0</v>
      </c>
      <c r="AJ174" s="13" t="str">
        <f t="shared" si="23"/>
        <v>OK</v>
      </c>
      <c r="AK174">
        <v>0</v>
      </c>
      <c r="AL174">
        <v>0</v>
      </c>
      <c r="AM174">
        <v>231707574.56</v>
      </c>
      <c r="AN174">
        <v>92466285.930000007</v>
      </c>
      <c r="AO174">
        <v>202971399</v>
      </c>
      <c r="AP174">
        <v>210666100</v>
      </c>
      <c r="AQ174" s="15">
        <f t="shared" si="24"/>
        <v>7694701</v>
      </c>
      <c r="AR174">
        <v>7468746041.0900002</v>
      </c>
      <c r="AS174">
        <v>7757721748.6099997</v>
      </c>
      <c r="AT174">
        <v>231707574.56</v>
      </c>
      <c r="AU174">
        <v>92466285.930000007</v>
      </c>
      <c r="AV174" s="16">
        <f t="shared" si="25"/>
        <v>381441993.44999951</v>
      </c>
      <c r="AW174" s="13" t="str">
        <f t="shared" si="26"/>
        <v>SIM</v>
      </c>
      <c r="AX174" s="13" t="str">
        <f t="shared" si="27"/>
        <v>VER CAPITAL</v>
      </c>
      <c r="AY174" s="13" t="str">
        <f t="shared" si="28"/>
        <v>OK</v>
      </c>
      <c r="AZ174">
        <f t="shared" si="29"/>
        <v>1.7519174067301577</v>
      </c>
    </row>
    <row r="175" spans="2:52" x14ac:dyDescent="0.3">
      <c r="B175" t="s">
        <v>814</v>
      </c>
      <c r="C175" t="s">
        <v>868</v>
      </c>
      <c r="D175" t="s">
        <v>869</v>
      </c>
      <c r="E175" t="s">
        <v>870</v>
      </c>
      <c r="F175" t="s">
        <v>46</v>
      </c>
      <c r="G175" t="s">
        <v>139</v>
      </c>
      <c r="H175" t="s">
        <v>60</v>
      </c>
      <c r="I175" t="s">
        <v>49</v>
      </c>
      <c r="J175" t="s">
        <v>50</v>
      </c>
      <c r="K175" t="s">
        <v>51</v>
      </c>
      <c r="L175" t="s">
        <v>51</v>
      </c>
      <c r="M175" t="s">
        <v>134</v>
      </c>
      <c r="N175" t="s">
        <v>687</v>
      </c>
      <c r="O175" s="11" t="str">
        <f t="shared" si="20"/>
        <v>OK</v>
      </c>
      <c r="P175" t="s">
        <v>54</v>
      </c>
      <c r="Q175" t="s">
        <v>54</v>
      </c>
      <c r="R175" t="s">
        <v>54</v>
      </c>
      <c r="S175" t="s">
        <v>871</v>
      </c>
      <c r="T175" s="1">
        <v>1718865221</v>
      </c>
      <c r="U175" s="1">
        <v>52295787</v>
      </c>
      <c r="V175" s="13" t="str">
        <f t="shared" si="21"/>
        <v>OK</v>
      </c>
      <c r="W175" s="1">
        <v>615375082.33000004</v>
      </c>
      <c r="X175" s="1">
        <v>149066549</v>
      </c>
      <c r="Y175" t="s">
        <v>54</v>
      </c>
      <c r="Z175">
        <v>427515.38</v>
      </c>
      <c r="AA175">
        <v>31199.94</v>
      </c>
      <c r="AB175">
        <v>12084.59</v>
      </c>
      <c r="AC175">
        <v>114303783</v>
      </c>
      <c r="AD175" s="13" t="str">
        <f t="shared" si="22"/>
        <v>OK</v>
      </c>
      <c r="AE175">
        <v>565048790</v>
      </c>
      <c r="AF175">
        <v>0</v>
      </c>
      <c r="AG175">
        <v>10208569.539999999</v>
      </c>
      <c r="AH175">
        <v>0</v>
      </c>
      <c r="AI175">
        <v>0</v>
      </c>
      <c r="AJ175" s="13" t="str">
        <f t="shared" si="23"/>
        <v>OK</v>
      </c>
      <c r="AK175">
        <v>0</v>
      </c>
      <c r="AL175">
        <v>0</v>
      </c>
      <c r="AM175">
        <v>0</v>
      </c>
      <c r="AN175">
        <v>0</v>
      </c>
      <c r="AO175">
        <v>30622406</v>
      </c>
      <c r="AP175">
        <v>31621297</v>
      </c>
      <c r="AQ175" s="15">
        <f t="shared" si="24"/>
        <v>998891</v>
      </c>
      <c r="AR175">
        <v>41306804.899999999</v>
      </c>
      <c r="AS175">
        <v>42654208.039999999</v>
      </c>
      <c r="AT175">
        <v>0</v>
      </c>
      <c r="AU175">
        <v>0</v>
      </c>
      <c r="AV175" s="16">
        <f t="shared" si="25"/>
        <v>1347403.1400000006</v>
      </c>
      <c r="AW175" s="13" t="str">
        <f t="shared" si="26"/>
        <v>SIM</v>
      </c>
      <c r="AX175" s="13" t="str">
        <f t="shared" si="27"/>
        <v>OK</v>
      </c>
      <c r="AY175" s="13" t="str">
        <f t="shared" si="28"/>
        <v>OK</v>
      </c>
      <c r="AZ175">
        <f t="shared" si="29"/>
        <v>20.229011197422437</v>
      </c>
    </row>
    <row r="176" spans="2:52" x14ac:dyDescent="0.3">
      <c r="B176" t="s">
        <v>814</v>
      </c>
      <c r="C176" t="s">
        <v>820</v>
      </c>
      <c r="D176" t="s">
        <v>821</v>
      </c>
      <c r="E176" t="s">
        <v>822</v>
      </c>
      <c r="F176" t="s">
        <v>46</v>
      </c>
      <c r="G176" t="s">
        <v>240</v>
      </c>
      <c r="H176" t="s">
        <v>48</v>
      </c>
      <c r="I176" t="s">
        <v>363</v>
      </c>
      <c r="J176" t="s">
        <v>50</v>
      </c>
      <c r="K176" t="s">
        <v>51</v>
      </c>
      <c r="L176" t="s">
        <v>51</v>
      </c>
      <c r="M176" t="s">
        <v>52</v>
      </c>
      <c r="N176" t="s">
        <v>823</v>
      </c>
      <c r="O176" s="11" t="str">
        <f t="shared" si="20"/>
        <v>OK</v>
      </c>
      <c r="P176" t="s">
        <v>54</v>
      </c>
      <c r="Q176" t="s">
        <v>54</v>
      </c>
      <c r="R176" t="s">
        <v>51</v>
      </c>
      <c r="S176" t="s">
        <v>824</v>
      </c>
      <c r="T176" s="1">
        <v>3713806.31</v>
      </c>
      <c r="U176" s="1">
        <v>188440964.63</v>
      </c>
      <c r="V176" s="13" t="str">
        <f t="shared" si="21"/>
        <v>OK</v>
      </c>
      <c r="W176" s="1">
        <v>504829671.56</v>
      </c>
      <c r="X176" s="1">
        <v>1431460</v>
      </c>
      <c r="Y176" t="s">
        <v>51</v>
      </c>
      <c r="Z176">
        <v>333785.58</v>
      </c>
      <c r="AA176">
        <v>0</v>
      </c>
      <c r="AB176">
        <v>22777.18</v>
      </c>
      <c r="AC176">
        <v>7223990</v>
      </c>
      <c r="AD176" s="13" t="str">
        <f t="shared" si="22"/>
        <v>OK</v>
      </c>
      <c r="AE176">
        <v>-187784489.59</v>
      </c>
      <c r="AF176">
        <v>0</v>
      </c>
      <c r="AG176">
        <v>0</v>
      </c>
      <c r="AH176">
        <v>456342055.38</v>
      </c>
      <c r="AI176">
        <v>501792914.06</v>
      </c>
      <c r="AJ176" s="13" t="str">
        <f t="shared" si="23"/>
        <v>OK</v>
      </c>
      <c r="AK176">
        <v>264031251.59999999</v>
      </c>
      <c r="AL176" s="14">
        <v>242782097.41999999</v>
      </c>
      <c r="AM176">
        <v>0</v>
      </c>
      <c r="AN176">
        <v>0</v>
      </c>
      <c r="AO176">
        <v>575700</v>
      </c>
      <c r="AP176">
        <v>575700</v>
      </c>
      <c r="AQ176" s="15">
        <f t="shared" si="24"/>
        <v>0</v>
      </c>
      <c r="AR176">
        <v>575700</v>
      </c>
      <c r="AS176">
        <v>575700</v>
      </c>
      <c r="AT176">
        <v>424300</v>
      </c>
      <c r="AU176">
        <v>424300</v>
      </c>
      <c r="AV176" s="16">
        <f t="shared" si="25"/>
        <v>424300</v>
      </c>
      <c r="AW176" s="13" t="str">
        <f t="shared" si="26"/>
        <v>SIM</v>
      </c>
      <c r="AX176" s="13" t="str">
        <f t="shared" si="27"/>
        <v>OK</v>
      </c>
      <c r="AY176" s="13" t="str">
        <f t="shared" si="28"/>
        <v>OK</v>
      </c>
      <c r="AZ176">
        <f t="shared" si="29"/>
        <v>-3.8469577630040304</v>
      </c>
    </row>
    <row r="177" spans="2:52" x14ac:dyDescent="0.3">
      <c r="B177" t="s">
        <v>814</v>
      </c>
      <c r="C177" t="s">
        <v>825</v>
      </c>
      <c r="D177" t="s">
        <v>826</v>
      </c>
      <c r="E177" t="s">
        <v>827</v>
      </c>
      <c r="F177" t="s">
        <v>46</v>
      </c>
      <c r="G177" t="s">
        <v>162</v>
      </c>
      <c r="H177" t="s">
        <v>60</v>
      </c>
      <c r="I177" t="s">
        <v>49</v>
      </c>
      <c r="J177" t="s">
        <v>373</v>
      </c>
      <c r="K177" t="s">
        <v>51</v>
      </c>
      <c r="L177" t="s">
        <v>51</v>
      </c>
      <c r="M177" t="s">
        <v>52</v>
      </c>
      <c r="N177" t="s">
        <v>828</v>
      </c>
      <c r="O177" s="11" t="str">
        <f t="shared" si="20"/>
        <v>OK</v>
      </c>
      <c r="P177" t="s">
        <v>54</v>
      </c>
      <c r="Q177" t="s">
        <v>54</v>
      </c>
      <c r="R177" t="s">
        <v>51</v>
      </c>
      <c r="S177" t="s">
        <v>829</v>
      </c>
      <c r="T177" s="1">
        <v>5721177.9699999997</v>
      </c>
      <c r="U177" s="1">
        <v>29394243.600000001</v>
      </c>
      <c r="V177" s="13" t="str">
        <f t="shared" si="21"/>
        <v>OK</v>
      </c>
      <c r="W177" s="1">
        <v>133790121.90000001</v>
      </c>
      <c r="X177" s="1">
        <v>488645.52</v>
      </c>
      <c r="Y177" t="s">
        <v>51</v>
      </c>
      <c r="Z177">
        <v>202561.42</v>
      </c>
      <c r="AA177">
        <v>0</v>
      </c>
      <c r="AB177">
        <v>0</v>
      </c>
      <c r="AC177">
        <v>-3448939.13</v>
      </c>
      <c r="AD177" s="13" t="str">
        <f t="shared" si="22"/>
        <v>OK</v>
      </c>
      <c r="AE177">
        <v>234492076.09</v>
      </c>
      <c r="AF177">
        <v>0</v>
      </c>
      <c r="AG177">
        <v>0</v>
      </c>
      <c r="AH177">
        <v>89764930.540000007</v>
      </c>
      <c r="AI177">
        <v>126352872.31999999</v>
      </c>
      <c r="AJ177" s="13" t="str">
        <f t="shared" si="23"/>
        <v>OK</v>
      </c>
      <c r="AK177">
        <v>329664257.63999999</v>
      </c>
      <c r="AL177" s="14">
        <v>133790121.90000001</v>
      </c>
      <c r="AM177">
        <v>0</v>
      </c>
      <c r="AN177">
        <v>0</v>
      </c>
      <c r="AO177">
        <v>47609915475</v>
      </c>
      <c r="AP177">
        <v>47609915475</v>
      </c>
      <c r="AQ177" s="15">
        <f t="shared" si="24"/>
        <v>0</v>
      </c>
      <c r="AR177">
        <v>72065680.989999995</v>
      </c>
      <c r="AS177">
        <v>72065680.989999995</v>
      </c>
      <c r="AT177">
        <v>0</v>
      </c>
      <c r="AU177">
        <v>0</v>
      </c>
      <c r="AV177" s="16">
        <f t="shared" si="25"/>
        <v>0</v>
      </c>
      <c r="AW177" s="13" t="str">
        <f t="shared" si="26"/>
        <v>NÃO</v>
      </c>
      <c r="AX177" s="13" t="str">
        <f t="shared" si="27"/>
        <v>OK</v>
      </c>
      <c r="AY177" s="13" t="str">
        <f t="shared" si="28"/>
        <v>OK</v>
      </c>
      <c r="AZ177">
        <f t="shared" si="29"/>
        <v>-1.4708126549556704</v>
      </c>
    </row>
    <row r="178" spans="2:52" x14ac:dyDescent="0.3">
      <c r="B178" t="s">
        <v>814</v>
      </c>
      <c r="C178" t="s">
        <v>830</v>
      </c>
      <c r="D178" t="s">
        <v>806</v>
      </c>
      <c r="E178" t="s">
        <v>831</v>
      </c>
      <c r="F178" t="s">
        <v>46</v>
      </c>
      <c r="G178" t="s">
        <v>150</v>
      </c>
      <c r="H178" t="s">
        <v>48</v>
      </c>
      <c r="I178" t="s">
        <v>49</v>
      </c>
      <c r="J178" t="s">
        <v>50</v>
      </c>
      <c r="K178" t="s">
        <v>51</v>
      </c>
      <c r="L178" t="s">
        <v>51</v>
      </c>
      <c r="M178" t="s">
        <v>52</v>
      </c>
      <c r="N178" t="s">
        <v>53</v>
      </c>
      <c r="O178" s="11" t="str">
        <f t="shared" si="20"/>
        <v>OK</v>
      </c>
      <c r="P178" t="s">
        <v>54</v>
      </c>
      <c r="Q178" t="s">
        <v>54</v>
      </c>
      <c r="R178" t="s">
        <v>51</v>
      </c>
      <c r="S178" t="s">
        <v>832</v>
      </c>
      <c r="T178" s="1">
        <v>1476265</v>
      </c>
      <c r="U178" s="1">
        <v>5431068.1500000004</v>
      </c>
      <c r="V178" s="13" t="str">
        <f t="shared" si="21"/>
        <v>OK</v>
      </c>
      <c r="W178" s="1">
        <v>9458571</v>
      </c>
      <c r="X178" s="1">
        <v>22875</v>
      </c>
      <c r="Y178" t="s">
        <v>51</v>
      </c>
      <c r="Z178">
        <v>169000</v>
      </c>
      <c r="AA178">
        <v>0</v>
      </c>
      <c r="AB178">
        <v>0</v>
      </c>
      <c r="AC178">
        <v>-1109731</v>
      </c>
      <c r="AD178" s="13" t="str">
        <f t="shared" si="22"/>
        <v>OK</v>
      </c>
      <c r="AE178">
        <v>4181649</v>
      </c>
      <c r="AF178">
        <v>0</v>
      </c>
      <c r="AG178">
        <v>0</v>
      </c>
      <c r="AH178">
        <v>6013999</v>
      </c>
      <c r="AI178">
        <v>6241593</v>
      </c>
      <c r="AJ178" s="13" t="str">
        <f t="shared" si="23"/>
        <v>OK</v>
      </c>
      <c r="AK178">
        <v>6034464</v>
      </c>
      <c r="AL178" s="14">
        <v>6797716.0499999998</v>
      </c>
      <c r="AM178">
        <v>0</v>
      </c>
      <c r="AN178">
        <v>0</v>
      </c>
      <c r="AO178">
        <v>3488600</v>
      </c>
      <c r="AP178">
        <v>3488600</v>
      </c>
      <c r="AQ178" s="15">
        <f t="shared" si="24"/>
        <v>0</v>
      </c>
      <c r="AR178">
        <v>3488600</v>
      </c>
      <c r="AS178">
        <v>3488600</v>
      </c>
      <c r="AT178">
        <v>0</v>
      </c>
      <c r="AU178">
        <v>0</v>
      </c>
      <c r="AV178" s="16">
        <f t="shared" si="25"/>
        <v>0</v>
      </c>
      <c r="AW178" s="13" t="str">
        <f t="shared" si="26"/>
        <v>NÃO</v>
      </c>
      <c r="AX178" s="13" t="str">
        <f t="shared" si="27"/>
        <v>OK</v>
      </c>
      <c r="AY178" s="13" t="str">
        <f t="shared" si="28"/>
        <v>OK</v>
      </c>
      <c r="AZ178">
        <f t="shared" si="29"/>
        <v>-26.538119292173974</v>
      </c>
    </row>
    <row r="179" spans="2:52" x14ac:dyDescent="0.3">
      <c r="B179" t="s">
        <v>814</v>
      </c>
      <c r="C179" t="s">
        <v>833</v>
      </c>
      <c r="D179" t="s">
        <v>834</v>
      </c>
      <c r="E179" t="s">
        <v>835</v>
      </c>
      <c r="F179" t="s">
        <v>46</v>
      </c>
      <c r="G179" t="s">
        <v>240</v>
      </c>
      <c r="H179" t="s">
        <v>48</v>
      </c>
      <c r="I179" t="s">
        <v>76</v>
      </c>
      <c r="J179" t="s">
        <v>50</v>
      </c>
      <c r="K179" t="s">
        <v>51</v>
      </c>
      <c r="L179" t="s">
        <v>51</v>
      </c>
      <c r="M179" t="s">
        <v>52</v>
      </c>
      <c r="N179" t="s">
        <v>836</v>
      </c>
      <c r="O179" s="11" t="str">
        <f t="shared" si="20"/>
        <v>OK</v>
      </c>
      <c r="P179" t="s">
        <v>54</v>
      </c>
      <c r="Q179" t="s">
        <v>54</v>
      </c>
      <c r="R179" t="s">
        <v>51</v>
      </c>
      <c r="S179" t="s">
        <v>837</v>
      </c>
      <c r="T179" s="1">
        <v>2406453</v>
      </c>
      <c r="U179" s="1">
        <v>5244286.2699999996</v>
      </c>
      <c r="V179" s="13" t="str">
        <f t="shared" si="21"/>
        <v>OK</v>
      </c>
      <c r="W179" s="1">
        <v>7597705</v>
      </c>
      <c r="X179" s="1">
        <v>193165</v>
      </c>
      <c r="Y179" t="s">
        <v>51</v>
      </c>
      <c r="Z179">
        <v>169000</v>
      </c>
      <c r="AA179">
        <v>0</v>
      </c>
      <c r="AB179">
        <v>0</v>
      </c>
      <c r="AC179">
        <v>-2187495</v>
      </c>
      <c r="AD179" s="13" t="str">
        <f t="shared" si="22"/>
        <v>OK</v>
      </c>
      <c r="AE179">
        <v>6475642</v>
      </c>
      <c r="AF179">
        <v>0</v>
      </c>
      <c r="AG179">
        <v>0</v>
      </c>
      <c r="AH179">
        <v>3545444</v>
      </c>
      <c r="AI179">
        <v>2813215</v>
      </c>
      <c r="AJ179" s="13" t="str">
        <f t="shared" si="23"/>
        <v>OK</v>
      </c>
      <c r="AK179">
        <v>3581594.78</v>
      </c>
      <c r="AL179" s="14">
        <v>2860155.75</v>
      </c>
      <c r="AM179">
        <v>0</v>
      </c>
      <c r="AN179">
        <v>0</v>
      </c>
      <c r="AO179">
        <v>0</v>
      </c>
      <c r="AP179">
        <v>0</v>
      </c>
      <c r="AQ179" s="15">
        <f t="shared" si="24"/>
        <v>0</v>
      </c>
      <c r="AR179">
        <v>0</v>
      </c>
      <c r="AS179">
        <v>0</v>
      </c>
      <c r="AT179">
        <v>1000000</v>
      </c>
      <c r="AU179">
        <v>1000000</v>
      </c>
      <c r="AV179" s="16">
        <f t="shared" si="25"/>
        <v>1000000</v>
      </c>
      <c r="AW179" s="13" t="str">
        <f t="shared" si="26"/>
        <v>SIM</v>
      </c>
      <c r="AX179" s="13" t="str">
        <f t="shared" si="27"/>
        <v>OK</v>
      </c>
      <c r="AY179" s="13" t="str">
        <f t="shared" si="28"/>
        <v>OK</v>
      </c>
      <c r="AZ179">
        <f t="shared" si="29"/>
        <v>-33.780357221724117</v>
      </c>
    </row>
    <row r="180" spans="2:52" x14ac:dyDescent="0.3">
      <c r="B180" t="s">
        <v>814</v>
      </c>
      <c r="C180" t="s">
        <v>838</v>
      </c>
      <c r="D180" t="s">
        <v>839</v>
      </c>
      <c r="E180" t="s">
        <v>840</v>
      </c>
      <c r="F180" t="s">
        <v>46</v>
      </c>
      <c r="G180" t="s">
        <v>102</v>
      </c>
      <c r="H180" t="s">
        <v>48</v>
      </c>
      <c r="I180" t="s">
        <v>76</v>
      </c>
      <c r="J180" t="s">
        <v>50</v>
      </c>
      <c r="K180" t="s">
        <v>51</v>
      </c>
      <c r="L180" t="s">
        <v>51</v>
      </c>
      <c r="M180" t="s">
        <v>52</v>
      </c>
      <c r="N180" t="s">
        <v>841</v>
      </c>
      <c r="O180" s="11" t="str">
        <f t="shared" si="20"/>
        <v>OK</v>
      </c>
      <c r="P180" t="s">
        <v>54</v>
      </c>
      <c r="Q180" t="s">
        <v>54</v>
      </c>
      <c r="R180" t="s">
        <v>51</v>
      </c>
      <c r="S180" t="s">
        <v>842</v>
      </c>
      <c r="T180" s="1">
        <v>851004</v>
      </c>
      <c r="U180" s="1">
        <v>94681085.900000006</v>
      </c>
      <c r="V180" s="13" t="str">
        <f t="shared" si="21"/>
        <v>OK</v>
      </c>
      <c r="W180" s="1">
        <v>160358658.84</v>
      </c>
      <c r="X180" s="1">
        <v>15335848.039999999</v>
      </c>
      <c r="Y180" t="s">
        <v>51</v>
      </c>
      <c r="Z180">
        <v>196274.94</v>
      </c>
      <c r="AA180">
        <v>0</v>
      </c>
      <c r="AB180">
        <v>0</v>
      </c>
      <c r="AC180">
        <v>11684063</v>
      </c>
      <c r="AD180" s="13" t="str">
        <f t="shared" si="22"/>
        <v>OK</v>
      </c>
      <c r="AE180">
        <v>41529972</v>
      </c>
      <c r="AF180">
        <v>0</v>
      </c>
      <c r="AG180">
        <v>0</v>
      </c>
      <c r="AH180">
        <v>103554690</v>
      </c>
      <c r="AI180">
        <v>156160752.43000001</v>
      </c>
      <c r="AJ180" s="13" t="str">
        <f t="shared" si="23"/>
        <v>OK</v>
      </c>
      <c r="AK180">
        <v>105004217.42</v>
      </c>
      <c r="AL180" s="14">
        <v>151538197.97999999</v>
      </c>
      <c r="AM180">
        <v>0</v>
      </c>
      <c r="AN180">
        <v>0</v>
      </c>
      <c r="AO180">
        <v>0</v>
      </c>
      <c r="AP180">
        <v>0</v>
      </c>
      <c r="AQ180" s="15">
        <f t="shared" si="24"/>
        <v>0</v>
      </c>
      <c r="AR180">
        <v>25601618</v>
      </c>
      <c r="AS180">
        <v>25601618</v>
      </c>
      <c r="AT180">
        <v>0</v>
      </c>
      <c r="AU180">
        <v>0</v>
      </c>
      <c r="AV180" s="16">
        <f t="shared" si="25"/>
        <v>0</v>
      </c>
      <c r="AW180" s="13" t="str">
        <f t="shared" si="26"/>
        <v>NÃO</v>
      </c>
      <c r="AX180" s="13" t="str">
        <f t="shared" si="27"/>
        <v>OK</v>
      </c>
      <c r="AY180" s="13" t="str">
        <f t="shared" si="28"/>
        <v>OK</v>
      </c>
      <c r="AZ180">
        <f t="shared" si="29"/>
        <v>28.134049789390659</v>
      </c>
    </row>
    <row r="181" spans="2:52" x14ac:dyDescent="0.3">
      <c r="B181" t="s">
        <v>814</v>
      </c>
      <c r="C181" t="s">
        <v>872</v>
      </c>
      <c r="D181" t="s">
        <v>873</v>
      </c>
      <c r="E181" t="s">
        <v>874</v>
      </c>
      <c r="F181" t="s">
        <v>46</v>
      </c>
      <c r="G181" t="s">
        <v>121</v>
      </c>
      <c r="H181" t="s">
        <v>60</v>
      </c>
      <c r="I181" t="s">
        <v>49</v>
      </c>
      <c r="J181" t="s">
        <v>50</v>
      </c>
      <c r="K181" t="s">
        <v>51</v>
      </c>
      <c r="L181" t="s">
        <v>51</v>
      </c>
      <c r="M181" t="s">
        <v>134</v>
      </c>
      <c r="N181" t="s">
        <v>875</v>
      </c>
      <c r="O181" s="11" t="str">
        <f t="shared" si="20"/>
        <v>OK</v>
      </c>
      <c r="P181" t="s">
        <v>54</v>
      </c>
      <c r="Q181" t="s">
        <v>54</v>
      </c>
      <c r="R181" t="s">
        <v>54</v>
      </c>
      <c r="S181" t="s">
        <v>876</v>
      </c>
      <c r="T181" s="1">
        <v>687016112.39999998</v>
      </c>
      <c r="U181" s="1">
        <v>64166129.409999996</v>
      </c>
      <c r="V181" s="13" t="str">
        <f t="shared" si="21"/>
        <v>OK</v>
      </c>
      <c r="W181" s="1">
        <v>86010170.780000001</v>
      </c>
      <c r="X181" s="1">
        <v>9436045</v>
      </c>
      <c r="Y181" t="s">
        <v>54</v>
      </c>
      <c r="Z181">
        <v>365088.53</v>
      </c>
      <c r="AA181">
        <v>1695.38</v>
      </c>
      <c r="AB181">
        <v>9689.2000000000007</v>
      </c>
      <c r="AC181">
        <v>22672831.969999999</v>
      </c>
      <c r="AD181" s="13" t="str">
        <f t="shared" si="22"/>
        <v>OK</v>
      </c>
      <c r="AE181">
        <v>295208486.38</v>
      </c>
      <c r="AF181">
        <v>0</v>
      </c>
      <c r="AG181">
        <v>19130943.140000001</v>
      </c>
      <c r="AH181">
        <v>0</v>
      </c>
      <c r="AI181">
        <v>0</v>
      </c>
      <c r="AJ181" s="13" t="str">
        <f t="shared" si="23"/>
        <v>OK</v>
      </c>
      <c r="AK181">
        <v>0</v>
      </c>
      <c r="AL181">
        <v>0</v>
      </c>
      <c r="AM181">
        <v>0</v>
      </c>
      <c r="AN181">
        <v>0</v>
      </c>
      <c r="AO181">
        <v>91425333</v>
      </c>
      <c r="AP181">
        <v>91425333</v>
      </c>
      <c r="AQ181" s="15">
        <f t="shared" si="24"/>
        <v>0</v>
      </c>
      <c r="AR181">
        <v>87989242</v>
      </c>
      <c r="AS181">
        <v>87989242</v>
      </c>
      <c r="AT181">
        <v>0</v>
      </c>
      <c r="AU181">
        <v>0</v>
      </c>
      <c r="AV181" s="16">
        <f t="shared" si="25"/>
        <v>0</v>
      </c>
      <c r="AW181" s="13" t="str">
        <f t="shared" si="26"/>
        <v>NÃO</v>
      </c>
      <c r="AX181" s="13" t="str">
        <f t="shared" si="27"/>
        <v>OK</v>
      </c>
      <c r="AY181" s="13" t="str">
        <f t="shared" si="28"/>
        <v>OK</v>
      </c>
      <c r="AZ181">
        <f t="shared" si="29"/>
        <v>7.6802778429665279</v>
      </c>
    </row>
    <row r="182" spans="2:52" x14ac:dyDescent="0.3">
      <c r="B182" t="s">
        <v>814</v>
      </c>
      <c r="C182" t="s">
        <v>843</v>
      </c>
      <c r="D182" t="s">
        <v>844</v>
      </c>
      <c r="E182" t="s">
        <v>845</v>
      </c>
      <c r="F182" t="s">
        <v>46</v>
      </c>
      <c r="G182" t="s">
        <v>133</v>
      </c>
      <c r="H182" t="s">
        <v>60</v>
      </c>
      <c r="I182" t="s">
        <v>49</v>
      </c>
      <c r="J182" t="s">
        <v>50</v>
      </c>
      <c r="K182" t="s">
        <v>51</v>
      </c>
      <c r="L182" t="s">
        <v>51</v>
      </c>
      <c r="M182" t="s">
        <v>52</v>
      </c>
      <c r="N182" t="s">
        <v>846</v>
      </c>
      <c r="O182" s="11" t="str">
        <f t="shared" si="20"/>
        <v>OK</v>
      </c>
      <c r="P182" t="s">
        <v>54</v>
      </c>
      <c r="Q182" t="s">
        <v>54</v>
      </c>
      <c r="R182" t="s">
        <v>51</v>
      </c>
      <c r="S182" t="s">
        <v>847</v>
      </c>
      <c r="T182" s="1">
        <v>2591756.31</v>
      </c>
      <c r="U182" s="1">
        <v>90348534.459999993</v>
      </c>
      <c r="V182" s="13" t="str">
        <f t="shared" si="21"/>
        <v>OK</v>
      </c>
      <c r="W182" s="1">
        <v>112253521.17</v>
      </c>
      <c r="X182" s="1">
        <v>82453.649999999994</v>
      </c>
      <c r="Y182" t="s">
        <v>51</v>
      </c>
      <c r="Z182">
        <v>266619.12</v>
      </c>
      <c r="AA182">
        <v>0</v>
      </c>
      <c r="AB182">
        <v>9675</v>
      </c>
      <c r="AC182">
        <v>4730722.8099999996</v>
      </c>
      <c r="AD182" s="13" t="str">
        <f t="shared" si="22"/>
        <v>OK</v>
      </c>
      <c r="AE182">
        <v>-173306115.06</v>
      </c>
      <c r="AF182">
        <v>0</v>
      </c>
      <c r="AG182">
        <v>0</v>
      </c>
      <c r="AH182">
        <v>116576907.02</v>
      </c>
      <c r="AI182">
        <v>103486318.27</v>
      </c>
      <c r="AJ182" s="13" t="str">
        <f t="shared" si="23"/>
        <v>OK</v>
      </c>
      <c r="AK182">
        <v>119184635.69</v>
      </c>
      <c r="AL182" s="14">
        <v>109449983.56</v>
      </c>
      <c r="AM182">
        <v>3411145.63</v>
      </c>
      <c r="AN182">
        <v>2418337.31</v>
      </c>
      <c r="AO182">
        <v>435714</v>
      </c>
      <c r="AP182">
        <v>439125</v>
      </c>
      <c r="AQ182" s="15">
        <f t="shared" si="24"/>
        <v>3411</v>
      </c>
      <c r="AR182">
        <v>443027279.10000002</v>
      </c>
      <c r="AS182">
        <v>446438424.73000002</v>
      </c>
      <c r="AT182">
        <v>3411145.63</v>
      </c>
      <c r="AU182">
        <v>2418337.31</v>
      </c>
      <c r="AV182" s="16">
        <f t="shared" si="25"/>
        <v>5829482.9399999958</v>
      </c>
      <c r="AW182" s="13" t="str">
        <f t="shared" si="26"/>
        <v>SIM</v>
      </c>
      <c r="AX182" s="13" t="str">
        <f t="shared" si="27"/>
        <v>OK</v>
      </c>
      <c r="AY182" s="13" t="str">
        <f t="shared" si="28"/>
        <v>OK</v>
      </c>
      <c r="AZ182">
        <f t="shared" si="29"/>
        <v>-2.7296917990240472</v>
      </c>
    </row>
    <row r="183" spans="2:52" x14ac:dyDescent="0.3">
      <c r="B183" t="s">
        <v>814</v>
      </c>
      <c r="C183" t="s">
        <v>877</v>
      </c>
      <c r="D183" t="s">
        <v>878</v>
      </c>
      <c r="E183" t="s">
        <v>879</v>
      </c>
      <c r="F183" t="s">
        <v>46</v>
      </c>
      <c r="G183" t="s">
        <v>314</v>
      </c>
      <c r="H183" t="s">
        <v>60</v>
      </c>
      <c r="I183" t="s">
        <v>49</v>
      </c>
      <c r="J183" t="s">
        <v>50</v>
      </c>
      <c r="K183" t="s">
        <v>51</v>
      </c>
      <c r="L183" t="s">
        <v>51</v>
      </c>
      <c r="M183" t="s">
        <v>134</v>
      </c>
      <c r="N183" t="s">
        <v>880</v>
      </c>
      <c r="O183" s="11" t="str">
        <f t="shared" si="20"/>
        <v>OK</v>
      </c>
      <c r="P183" t="s">
        <v>54</v>
      </c>
      <c r="Q183" t="s">
        <v>54</v>
      </c>
      <c r="R183" t="s">
        <v>51</v>
      </c>
      <c r="S183" t="s">
        <v>881</v>
      </c>
      <c r="T183" s="1">
        <v>42859983.509999998</v>
      </c>
      <c r="U183" s="1">
        <v>25765607.300000001</v>
      </c>
      <c r="V183" s="13" t="str">
        <f t="shared" si="21"/>
        <v>OK</v>
      </c>
      <c r="W183" s="1">
        <v>35031013.350000001</v>
      </c>
      <c r="X183" s="1">
        <v>1558754</v>
      </c>
      <c r="Y183" t="s">
        <v>51</v>
      </c>
      <c r="Z183">
        <v>316704.46999999997</v>
      </c>
      <c r="AA183">
        <v>0</v>
      </c>
      <c r="AB183">
        <v>328262.57</v>
      </c>
      <c r="AC183">
        <v>6260952.9500000002</v>
      </c>
      <c r="AD183" s="13" t="str">
        <f t="shared" si="22"/>
        <v>OK</v>
      </c>
      <c r="AE183">
        <v>18753532.370000001</v>
      </c>
      <c r="AF183">
        <v>0</v>
      </c>
      <c r="AG183">
        <v>0</v>
      </c>
      <c r="AH183">
        <v>0</v>
      </c>
      <c r="AI183">
        <v>0</v>
      </c>
      <c r="AJ183" s="13" t="str">
        <f t="shared" si="23"/>
        <v>OK</v>
      </c>
      <c r="AK183">
        <v>0</v>
      </c>
      <c r="AL183">
        <v>0</v>
      </c>
      <c r="AM183">
        <v>0</v>
      </c>
      <c r="AN183">
        <v>0</v>
      </c>
      <c r="AO183">
        <v>205862945.88999999</v>
      </c>
      <c r="AP183">
        <v>217082945.88999999</v>
      </c>
      <c r="AQ183" s="15">
        <f t="shared" si="24"/>
        <v>11220000</v>
      </c>
      <c r="AR183">
        <v>205862945.88999999</v>
      </c>
      <c r="AS183">
        <v>217082945.88999999</v>
      </c>
      <c r="AT183">
        <v>11220000</v>
      </c>
      <c r="AU183">
        <v>0</v>
      </c>
      <c r="AV183" s="16">
        <f t="shared" si="25"/>
        <v>11220000</v>
      </c>
      <c r="AW183" s="13" t="str">
        <f t="shared" si="26"/>
        <v>SIM</v>
      </c>
      <c r="AX183" s="13" t="str">
        <f t="shared" si="27"/>
        <v>OK</v>
      </c>
      <c r="AY183" s="13" t="str">
        <f t="shared" si="28"/>
        <v>OK</v>
      </c>
      <c r="AZ183">
        <f t="shared" si="29"/>
        <v>33.385459477573612</v>
      </c>
    </row>
    <row r="184" spans="2:52" x14ac:dyDescent="0.3">
      <c r="B184" t="s">
        <v>814</v>
      </c>
      <c r="C184" t="s">
        <v>882</v>
      </c>
      <c r="D184" t="s">
        <v>883</v>
      </c>
      <c r="E184" t="s">
        <v>884</v>
      </c>
      <c r="F184" t="s">
        <v>46</v>
      </c>
      <c r="G184" t="s">
        <v>314</v>
      </c>
      <c r="H184" t="s">
        <v>48</v>
      </c>
      <c r="I184" t="s">
        <v>76</v>
      </c>
      <c r="J184" t="s">
        <v>50</v>
      </c>
      <c r="K184" t="s">
        <v>51</v>
      </c>
      <c r="L184" t="s">
        <v>51</v>
      </c>
      <c r="M184" t="s">
        <v>134</v>
      </c>
      <c r="N184" t="s">
        <v>885</v>
      </c>
      <c r="O184" s="11" t="str">
        <f t="shared" si="20"/>
        <v>OK</v>
      </c>
      <c r="P184" t="s">
        <v>54</v>
      </c>
      <c r="Q184" t="s">
        <v>54</v>
      </c>
      <c r="R184" t="s">
        <v>54</v>
      </c>
      <c r="S184" t="s">
        <v>886</v>
      </c>
      <c r="T184" s="1">
        <v>396624308.07999998</v>
      </c>
      <c r="U184" s="1">
        <v>93320372.400000006</v>
      </c>
      <c r="V184" s="13" t="str">
        <f t="shared" si="21"/>
        <v>OK</v>
      </c>
      <c r="W184" s="1">
        <v>345642212.48000002</v>
      </c>
      <c r="X184" s="1">
        <v>114037754.78</v>
      </c>
      <c r="Y184" t="s">
        <v>54</v>
      </c>
      <c r="Z184">
        <v>422680.08</v>
      </c>
      <c r="AA184">
        <v>3408.75</v>
      </c>
      <c r="AB184">
        <v>20020</v>
      </c>
      <c r="AC184">
        <v>92770948.239999995</v>
      </c>
      <c r="AD184" s="13" t="str">
        <f t="shared" si="22"/>
        <v>OK</v>
      </c>
      <c r="AE184">
        <v>3918756099.9499998</v>
      </c>
      <c r="AF184">
        <v>0</v>
      </c>
      <c r="AG184">
        <v>0</v>
      </c>
      <c r="AH184">
        <v>0</v>
      </c>
      <c r="AI184">
        <v>0</v>
      </c>
      <c r="AJ184" s="13" t="str">
        <f t="shared" si="23"/>
        <v>OK</v>
      </c>
      <c r="AK184">
        <v>0</v>
      </c>
      <c r="AL184">
        <v>0</v>
      </c>
      <c r="AM184">
        <v>934607.44</v>
      </c>
      <c r="AN184">
        <v>313144.86</v>
      </c>
      <c r="AO184">
        <v>0</v>
      </c>
      <c r="AP184">
        <v>0</v>
      </c>
      <c r="AQ184" s="15">
        <f t="shared" si="24"/>
        <v>0</v>
      </c>
      <c r="AR184">
        <v>1965486107.8800001</v>
      </c>
      <c r="AS184">
        <v>1965799252.74</v>
      </c>
      <c r="AT184">
        <v>0</v>
      </c>
      <c r="AU184">
        <v>0</v>
      </c>
      <c r="AV184" s="16">
        <f t="shared" si="25"/>
        <v>313144.8599998951</v>
      </c>
      <c r="AW184" s="13" t="str">
        <f t="shared" si="26"/>
        <v>SIM</v>
      </c>
      <c r="AX184" s="13" t="str">
        <f t="shared" si="27"/>
        <v>VER CAPITAL</v>
      </c>
      <c r="AY184" s="13" t="str">
        <f t="shared" si="28"/>
        <v>OK</v>
      </c>
      <c r="AZ184">
        <f t="shared" si="29"/>
        <v>2.3673570355956493</v>
      </c>
    </row>
    <row r="185" spans="2:52" x14ac:dyDescent="0.3">
      <c r="B185" t="s">
        <v>887</v>
      </c>
      <c r="C185" t="s">
        <v>901</v>
      </c>
      <c r="D185" t="s">
        <v>902</v>
      </c>
      <c r="E185" t="s">
        <v>903</v>
      </c>
      <c r="F185" t="s">
        <v>46</v>
      </c>
      <c r="G185" t="s">
        <v>107</v>
      </c>
      <c r="H185" t="s">
        <v>60</v>
      </c>
      <c r="I185" t="s">
        <v>49</v>
      </c>
      <c r="J185" t="s">
        <v>50</v>
      </c>
      <c r="K185" t="s">
        <v>51</v>
      </c>
      <c r="L185" t="s">
        <v>51</v>
      </c>
      <c r="M185" s="11" t="s">
        <v>134</v>
      </c>
      <c r="N185" t="s">
        <v>904</v>
      </c>
      <c r="O185" s="11" t="str">
        <f t="shared" si="20"/>
        <v>OK</v>
      </c>
      <c r="P185" t="s">
        <v>54</v>
      </c>
      <c r="Q185" t="s">
        <v>54</v>
      </c>
      <c r="R185" t="s">
        <v>51</v>
      </c>
      <c r="S185" t="s">
        <v>55</v>
      </c>
      <c r="T185" s="1">
        <v>455445503</v>
      </c>
      <c r="U185" s="1">
        <v>231622998</v>
      </c>
      <c r="V185" s="13" t="str">
        <f t="shared" si="21"/>
        <v>OK</v>
      </c>
      <c r="W185" s="1">
        <v>2047011179.3299999</v>
      </c>
      <c r="X185" s="1">
        <v>1032012985</v>
      </c>
      <c r="Y185" t="s">
        <v>51</v>
      </c>
      <c r="Z185">
        <v>65334.32</v>
      </c>
      <c r="AA185">
        <v>0</v>
      </c>
      <c r="AB185">
        <v>0</v>
      </c>
      <c r="AC185">
        <v>-104703542</v>
      </c>
      <c r="AD185" s="13" t="str">
        <f t="shared" si="22"/>
        <v>OK</v>
      </c>
      <c r="AE185">
        <v>-651271903.95000005</v>
      </c>
      <c r="AF185">
        <v>0</v>
      </c>
      <c r="AG185">
        <v>0</v>
      </c>
      <c r="AH185">
        <v>786512172</v>
      </c>
      <c r="AI185" s="14">
        <v>198060292.16999999</v>
      </c>
      <c r="AJ185" s="13" t="str">
        <f t="shared" si="23"/>
        <v>INDÍCIO DE DEPENDÊNCIA POR SUBVENÇÃO</v>
      </c>
      <c r="AK185">
        <v>0</v>
      </c>
      <c r="AL185" s="14">
        <v>0</v>
      </c>
      <c r="AM185">
        <v>34408805</v>
      </c>
      <c r="AN185">
        <v>0</v>
      </c>
      <c r="AO185">
        <v>621910776</v>
      </c>
      <c r="AP185">
        <v>621910776</v>
      </c>
      <c r="AQ185" s="15">
        <f t="shared" si="24"/>
        <v>0</v>
      </c>
      <c r="AR185">
        <v>621910776</v>
      </c>
      <c r="AS185">
        <v>621910776</v>
      </c>
      <c r="AT185">
        <v>0</v>
      </c>
      <c r="AU185">
        <v>0</v>
      </c>
      <c r="AV185" s="16">
        <f t="shared" si="25"/>
        <v>0</v>
      </c>
      <c r="AW185" s="13" t="str">
        <f t="shared" si="26"/>
        <v>NÃO</v>
      </c>
      <c r="AX185" s="13" t="str">
        <f t="shared" si="27"/>
        <v>OK</v>
      </c>
      <c r="AY185" s="13" t="str">
        <f t="shared" si="28"/>
        <v>OK</v>
      </c>
      <c r="AZ185">
        <f t="shared" si="29"/>
        <v>16.076778587402163</v>
      </c>
    </row>
    <row r="186" spans="2:52" x14ac:dyDescent="0.3">
      <c r="B186" t="s">
        <v>887</v>
      </c>
      <c r="C186" t="s">
        <v>905</v>
      </c>
      <c r="D186" t="s">
        <v>906</v>
      </c>
      <c r="E186" t="s">
        <v>907</v>
      </c>
      <c r="F186" t="s">
        <v>46</v>
      </c>
      <c r="G186" t="s">
        <v>71</v>
      </c>
      <c r="H186" t="s">
        <v>60</v>
      </c>
      <c r="I186" t="s">
        <v>49</v>
      </c>
      <c r="J186" t="s">
        <v>50</v>
      </c>
      <c r="K186" t="s">
        <v>51</v>
      </c>
      <c r="L186" t="s">
        <v>51</v>
      </c>
      <c r="M186" t="s">
        <v>134</v>
      </c>
      <c r="N186" t="s">
        <v>754</v>
      </c>
      <c r="O186" s="11" t="str">
        <f t="shared" si="20"/>
        <v>OK</v>
      </c>
      <c r="P186" t="s">
        <v>54</v>
      </c>
      <c r="Q186" t="s">
        <v>54</v>
      </c>
      <c r="R186" t="s">
        <v>54</v>
      </c>
      <c r="S186" t="s">
        <v>908</v>
      </c>
      <c r="T186" s="1">
        <v>16359854.390000001</v>
      </c>
      <c r="U186" s="1">
        <v>4001351.79</v>
      </c>
      <c r="V186" s="13" t="str">
        <f t="shared" si="21"/>
        <v>OK</v>
      </c>
      <c r="W186" s="1">
        <v>14563090.369999999</v>
      </c>
      <c r="X186" s="1">
        <v>0</v>
      </c>
      <c r="Y186" t="s">
        <v>51</v>
      </c>
      <c r="Z186">
        <v>288512</v>
      </c>
      <c r="AA186">
        <v>0</v>
      </c>
      <c r="AB186">
        <v>48673.42</v>
      </c>
      <c r="AC186">
        <v>1796764.01</v>
      </c>
      <c r="AD186" s="13" t="str">
        <f t="shared" si="22"/>
        <v>OK</v>
      </c>
      <c r="AE186">
        <v>77079311.620000005</v>
      </c>
      <c r="AF186">
        <v>0</v>
      </c>
      <c r="AG186">
        <v>0</v>
      </c>
      <c r="AH186">
        <v>0</v>
      </c>
      <c r="AI186">
        <v>0</v>
      </c>
      <c r="AJ186" s="13" t="str">
        <f t="shared" si="23"/>
        <v>OK</v>
      </c>
      <c r="AK186">
        <v>0</v>
      </c>
      <c r="AL186">
        <v>0</v>
      </c>
      <c r="AM186">
        <v>24004800</v>
      </c>
      <c r="AN186">
        <v>14002800</v>
      </c>
      <c r="AO186">
        <v>6981336</v>
      </c>
      <c r="AP186">
        <v>8381616</v>
      </c>
      <c r="AQ186" s="15">
        <f t="shared" si="24"/>
        <v>1400280</v>
      </c>
      <c r="AR186">
        <v>69813360</v>
      </c>
      <c r="AS186">
        <v>83816160</v>
      </c>
      <c r="AT186">
        <v>0</v>
      </c>
      <c r="AU186">
        <v>0</v>
      </c>
      <c r="AV186" s="16">
        <f t="shared" si="25"/>
        <v>14002800</v>
      </c>
      <c r="AW186" s="13" t="str">
        <f t="shared" si="26"/>
        <v>SIM</v>
      </c>
      <c r="AX186" s="13" t="str">
        <f t="shared" si="27"/>
        <v>VER CAPITAL</v>
      </c>
      <c r="AY186" s="13" t="str">
        <f t="shared" si="28"/>
        <v>OK</v>
      </c>
      <c r="AZ186">
        <f t="shared" si="29"/>
        <v>2.3310587137285594</v>
      </c>
    </row>
    <row r="187" spans="2:52" x14ac:dyDescent="0.3">
      <c r="B187" t="s">
        <v>887</v>
      </c>
      <c r="C187" t="s">
        <v>888</v>
      </c>
      <c r="D187" t="s">
        <v>889</v>
      </c>
      <c r="E187" t="s">
        <v>890</v>
      </c>
      <c r="F187" t="s">
        <v>46</v>
      </c>
      <c r="G187" t="s">
        <v>240</v>
      </c>
      <c r="H187" t="s">
        <v>60</v>
      </c>
      <c r="I187" t="s">
        <v>49</v>
      </c>
      <c r="J187" t="s">
        <v>50</v>
      </c>
      <c r="K187" t="s">
        <v>51</v>
      </c>
      <c r="L187" t="s">
        <v>51</v>
      </c>
      <c r="M187" t="s">
        <v>52</v>
      </c>
      <c r="N187" t="s">
        <v>891</v>
      </c>
      <c r="O187" s="11" t="str">
        <f t="shared" si="20"/>
        <v>OK</v>
      </c>
      <c r="P187" t="s">
        <v>54</v>
      </c>
      <c r="Q187" t="s">
        <v>54</v>
      </c>
      <c r="R187" t="s">
        <v>51</v>
      </c>
      <c r="S187" t="s">
        <v>55</v>
      </c>
      <c r="T187" s="1">
        <v>73719380.109999999</v>
      </c>
      <c r="U187" s="1">
        <v>10263328.23</v>
      </c>
      <c r="V187" s="13" t="str">
        <f t="shared" si="21"/>
        <v>OK</v>
      </c>
      <c r="W187" s="1">
        <v>48377952.700000003</v>
      </c>
      <c r="X187" s="1">
        <v>38114624.469999999</v>
      </c>
      <c r="Y187" t="s">
        <v>51</v>
      </c>
      <c r="Z187">
        <v>363070.29</v>
      </c>
      <c r="AA187">
        <v>0</v>
      </c>
      <c r="AB187">
        <v>0</v>
      </c>
      <c r="AC187">
        <v>33892613.100000001</v>
      </c>
      <c r="AD187" s="13" t="str">
        <f t="shared" si="22"/>
        <v>OK</v>
      </c>
      <c r="AE187">
        <v>37930094.090000004</v>
      </c>
      <c r="AF187">
        <v>0</v>
      </c>
      <c r="AG187">
        <v>0</v>
      </c>
      <c r="AH187">
        <v>4028882.02</v>
      </c>
      <c r="AI187">
        <v>7298112.0199999996</v>
      </c>
      <c r="AJ187" s="13" t="str">
        <f t="shared" si="23"/>
        <v>OK</v>
      </c>
      <c r="AK187">
        <v>0</v>
      </c>
      <c r="AL187" s="14">
        <v>0</v>
      </c>
      <c r="AM187">
        <v>0</v>
      </c>
      <c r="AN187">
        <v>0</v>
      </c>
      <c r="AO187">
        <v>0</v>
      </c>
      <c r="AP187">
        <v>0</v>
      </c>
      <c r="AQ187" s="15">
        <f t="shared" si="24"/>
        <v>0</v>
      </c>
      <c r="AR187">
        <v>0</v>
      </c>
      <c r="AS187">
        <v>0</v>
      </c>
      <c r="AT187">
        <v>0</v>
      </c>
      <c r="AU187">
        <v>0</v>
      </c>
      <c r="AV187" s="16">
        <f t="shared" si="25"/>
        <v>0</v>
      </c>
      <c r="AW187" s="13" t="str">
        <f t="shared" si="26"/>
        <v>NÃO</v>
      </c>
      <c r="AX187" s="13" t="str">
        <f t="shared" si="27"/>
        <v>OK</v>
      </c>
      <c r="AY187" s="13" t="str">
        <f t="shared" si="28"/>
        <v>OK</v>
      </c>
      <c r="AZ187">
        <f t="shared" si="29"/>
        <v>89.355468034379442</v>
      </c>
    </row>
    <row r="188" spans="2:52" x14ac:dyDescent="0.3">
      <c r="B188" t="s">
        <v>887</v>
      </c>
      <c r="C188" t="s">
        <v>892</v>
      </c>
      <c r="D188" t="s">
        <v>893</v>
      </c>
      <c r="E188" t="s">
        <v>894</v>
      </c>
      <c r="F188" t="s">
        <v>46</v>
      </c>
      <c r="G188" t="s">
        <v>133</v>
      </c>
      <c r="H188" t="s">
        <v>60</v>
      </c>
      <c r="I188" t="s">
        <v>49</v>
      </c>
      <c r="J188" t="s">
        <v>50</v>
      </c>
      <c r="K188" t="s">
        <v>51</v>
      </c>
      <c r="L188" t="s">
        <v>51</v>
      </c>
      <c r="M188" t="s">
        <v>52</v>
      </c>
      <c r="N188" t="s">
        <v>895</v>
      </c>
      <c r="O188" s="11" t="str">
        <f t="shared" si="20"/>
        <v>OK</v>
      </c>
      <c r="P188" t="s">
        <v>54</v>
      </c>
      <c r="Q188" t="s">
        <v>54</v>
      </c>
      <c r="R188" t="s">
        <v>51</v>
      </c>
      <c r="S188" t="s">
        <v>896</v>
      </c>
      <c r="T188" s="1">
        <v>124544568.09999999</v>
      </c>
      <c r="U188" s="1">
        <v>86907487.269999996</v>
      </c>
      <c r="V188" s="13" t="str">
        <f t="shared" si="21"/>
        <v>OK</v>
      </c>
      <c r="W188" s="1">
        <v>120312238.5</v>
      </c>
      <c r="X188" s="1">
        <v>0</v>
      </c>
      <c r="Y188" t="s">
        <v>51</v>
      </c>
      <c r="Z188">
        <v>569824.80000000005</v>
      </c>
      <c r="AA188">
        <v>0</v>
      </c>
      <c r="AB188">
        <v>7727.28</v>
      </c>
      <c r="AC188">
        <v>4445291.67</v>
      </c>
      <c r="AD188" s="13" t="str">
        <f t="shared" si="22"/>
        <v>OK</v>
      </c>
      <c r="AE188">
        <v>70207886.430000007</v>
      </c>
      <c r="AF188">
        <v>0</v>
      </c>
      <c r="AG188">
        <v>0</v>
      </c>
      <c r="AH188">
        <v>119403742.09999999</v>
      </c>
      <c r="AI188">
        <v>124544568.09999999</v>
      </c>
      <c r="AJ188" s="13" t="str">
        <f t="shared" si="23"/>
        <v>OK</v>
      </c>
      <c r="AK188">
        <v>24498908.870000001</v>
      </c>
      <c r="AL188" s="14">
        <v>19646296.73</v>
      </c>
      <c r="AM188">
        <v>0</v>
      </c>
      <c r="AN188">
        <v>0</v>
      </c>
      <c r="AO188">
        <v>99.64</v>
      </c>
      <c r="AP188">
        <v>99.64</v>
      </c>
      <c r="AQ188" s="15">
        <f t="shared" si="24"/>
        <v>0</v>
      </c>
      <c r="AR188">
        <v>125885754.90000001</v>
      </c>
      <c r="AS188">
        <v>125885754.90000001</v>
      </c>
      <c r="AT188">
        <v>132327076.7</v>
      </c>
      <c r="AU188">
        <v>131229267.59999999</v>
      </c>
      <c r="AV188" s="16">
        <f t="shared" si="25"/>
        <v>131229267.59999999</v>
      </c>
      <c r="AW188" s="13" t="str">
        <f t="shared" si="26"/>
        <v>SIM</v>
      </c>
      <c r="AX188" s="13" t="str">
        <f t="shared" si="27"/>
        <v>OK</v>
      </c>
      <c r="AY188" s="13" t="str">
        <f t="shared" si="28"/>
        <v>OK</v>
      </c>
      <c r="AZ188">
        <f t="shared" si="29"/>
        <v>6.3316130082225577</v>
      </c>
    </row>
    <row r="189" spans="2:52" x14ac:dyDescent="0.3">
      <c r="B189" t="s">
        <v>887</v>
      </c>
      <c r="C189" t="s">
        <v>909</v>
      </c>
      <c r="D189" t="s">
        <v>910</v>
      </c>
      <c r="E189" t="s">
        <v>911</v>
      </c>
      <c r="F189" t="s">
        <v>46</v>
      </c>
      <c r="G189" t="s">
        <v>47</v>
      </c>
      <c r="H189" t="s">
        <v>60</v>
      </c>
      <c r="I189" t="s">
        <v>49</v>
      </c>
      <c r="J189" t="s">
        <v>50</v>
      </c>
      <c r="K189" t="s">
        <v>51</v>
      </c>
      <c r="L189" t="s">
        <v>51</v>
      </c>
      <c r="M189" t="s">
        <v>134</v>
      </c>
      <c r="N189" t="s">
        <v>912</v>
      </c>
      <c r="O189" s="11" t="str">
        <f t="shared" si="20"/>
        <v>OK</v>
      </c>
      <c r="P189" t="s">
        <v>54</v>
      </c>
      <c r="Q189" t="s">
        <v>54</v>
      </c>
      <c r="R189" t="s">
        <v>54</v>
      </c>
      <c r="S189" t="s">
        <v>913</v>
      </c>
      <c r="T189" s="1">
        <v>3060815.85</v>
      </c>
      <c r="U189" s="1">
        <v>27207227.469999999</v>
      </c>
      <c r="V189" s="13" t="str">
        <f t="shared" si="21"/>
        <v>OK</v>
      </c>
      <c r="W189" s="1">
        <v>77393271.959999993</v>
      </c>
      <c r="X189" s="1">
        <v>992807.27</v>
      </c>
      <c r="Y189" t="s">
        <v>51</v>
      </c>
      <c r="Z189">
        <v>209913.77</v>
      </c>
      <c r="AA189">
        <v>0</v>
      </c>
      <c r="AB189">
        <v>0</v>
      </c>
      <c r="AC189">
        <v>41654555.460000001</v>
      </c>
      <c r="AD189" s="13" t="str">
        <f t="shared" si="22"/>
        <v>OK</v>
      </c>
      <c r="AE189">
        <v>314994699.30000001</v>
      </c>
      <c r="AG189">
        <v>0</v>
      </c>
      <c r="AH189">
        <v>0</v>
      </c>
      <c r="AI189">
        <v>0</v>
      </c>
      <c r="AJ189" s="13" t="str">
        <f t="shared" si="23"/>
        <v>OK</v>
      </c>
      <c r="AK189">
        <v>0</v>
      </c>
      <c r="AL189">
        <v>0</v>
      </c>
      <c r="AM189">
        <v>16898134.09</v>
      </c>
      <c r="AN189">
        <v>133792106.26000001</v>
      </c>
      <c r="AO189">
        <v>18490616.09</v>
      </c>
      <c r="AP189">
        <v>369006219.42000002</v>
      </c>
      <c r="AQ189" s="15">
        <f t="shared" si="24"/>
        <v>350515603.33000004</v>
      </c>
      <c r="AR189">
        <v>18490616.09</v>
      </c>
      <c r="AS189">
        <v>369006219.39999998</v>
      </c>
      <c r="AT189">
        <v>4498.74</v>
      </c>
      <c r="AU189">
        <v>0</v>
      </c>
      <c r="AV189" s="16">
        <f t="shared" si="25"/>
        <v>350515603.31</v>
      </c>
      <c r="AW189" s="13" t="str">
        <f t="shared" si="26"/>
        <v>SIM</v>
      </c>
      <c r="AX189" s="13" t="str">
        <f t="shared" si="27"/>
        <v>VER CAPITAL</v>
      </c>
      <c r="AY189" s="13" t="str">
        <f t="shared" si="28"/>
        <v>OK</v>
      </c>
      <c r="AZ189">
        <f t="shared" si="29"/>
        <v>13.223890926598839</v>
      </c>
    </row>
    <row r="190" spans="2:52" x14ac:dyDescent="0.3">
      <c r="B190" t="s">
        <v>887</v>
      </c>
      <c r="C190" t="s">
        <v>897</v>
      </c>
      <c r="D190" t="s">
        <v>898</v>
      </c>
      <c r="E190" t="s">
        <v>899</v>
      </c>
      <c r="F190" t="s">
        <v>46</v>
      </c>
      <c r="G190" t="s">
        <v>139</v>
      </c>
      <c r="H190" t="s">
        <v>60</v>
      </c>
      <c r="I190" t="s">
        <v>49</v>
      </c>
      <c r="J190" t="s">
        <v>50</v>
      </c>
      <c r="K190" t="s">
        <v>51</v>
      </c>
      <c r="L190" t="s">
        <v>51</v>
      </c>
      <c r="M190" t="s">
        <v>52</v>
      </c>
      <c r="N190" t="s">
        <v>703</v>
      </c>
      <c r="O190" s="11" t="str">
        <f t="shared" si="20"/>
        <v>OK</v>
      </c>
      <c r="P190" t="s">
        <v>54</v>
      </c>
      <c r="Q190" t="s">
        <v>54</v>
      </c>
      <c r="R190" t="s">
        <v>51</v>
      </c>
      <c r="S190" t="s">
        <v>900</v>
      </c>
      <c r="T190" s="1">
        <v>0</v>
      </c>
      <c r="U190" s="1">
        <v>544264.5</v>
      </c>
      <c r="V190" s="13" t="str">
        <f t="shared" si="21"/>
        <v>OK</v>
      </c>
      <c r="W190" s="1">
        <v>1138355.6000000001</v>
      </c>
      <c r="X190" s="1">
        <v>55536.5</v>
      </c>
      <c r="Y190" t="s">
        <v>51</v>
      </c>
      <c r="Z190">
        <v>168098.77</v>
      </c>
      <c r="AA190">
        <v>0</v>
      </c>
      <c r="AB190">
        <v>67114.98</v>
      </c>
      <c r="AC190">
        <v>-1129569.72</v>
      </c>
      <c r="AD190" s="13" t="str">
        <f t="shared" si="22"/>
        <v>OK</v>
      </c>
      <c r="AE190">
        <v>298494.32</v>
      </c>
      <c r="AG190">
        <v>0</v>
      </c>
      <c r="AH190">
        <v>0</v>
      </c>
      <c r="AI190">
        <v>0</v>
      </c>
      <c r="AJ190" s="13" t="str">
        <f t="shared" si="23"/>
        <v>OK</v>
      </c>
      <c r="AK190">
        <v>0</v>
      </c>
      <c r="AL190">
        <v>0</v>
      </c>
      <c r="AM190">
        <v>629920</v>
      </c>
      <c r="AN190">
        <v>487680</v>
      </c>
      <c r="AO190">
        <v>1181595</v>
      </c>
      <c r="AP190">
        <v>1653796</v>
      </c>
      <c r="AQ190" s="15">
        <f t="shared" si="24"/>
        <v>472201</v>
      </c>
      <c r="AR190">
        <v>4065086.84</v>
      </c>
      <c r="AS190">
        <v>5689600</v>
      </c>
      <c r="AT190">
        <v>0</v>
      </c>
      <c r="AU190">
        <v>2438398</v>
      </c>
      <c r="AV190" s="16">
        <f t="shared" si="25"/>
        <v>4062911.16</v>
      </c>
      <c r="AW190" s="13" t="str">
        <f t="shared" si="26"/>
        <v>SIM</v>
      </c>
      <c r="AX190" s="13" t="str">
        <f t="shared" si="27"/>
        <v>OK</v>
      </c>
      <c r="AY190" s="13" t="str">
        <f t="shared" si="28"/>
        <v>OK</v>
      </c>
      <c r="AZ190">
        <f t="shared" si="29"/>
        <v>-378.42251738659547</v>
      </c>
    </row>
    <row r="191" spans="2:52" x14ac:dyDescent="0.3">
      <c r="B191" t="s">
        <v>887</v>
      </c>
      <c r="C191" t="s">
        <v>914</v>
      </c>
      <c r="D191" t="s">
        <v>915</v>
      </c>
      <c r="E191" t="s">
        <v>916</v>
      </c>
      <c r="F191" t="s">
        <v>46</v>
      </c>
      <c r="G191" t="s">
        <v>65</v>
      </c>
      <c r="H191" t="s">
        <v>60</v>
      </c>
      <c r="I191" t="s">
        <v>49</v>
      </c>
      <c r="J191" t="s">
        <v>50</v>
      </c>
      <c r="K191" t="s">
        <v>51</v>
      </c>
      <c r="L191" t="s">
        <v>51</v>
      </c>
      <c r="M191" t="s">
        <v>134</v>
      </c>
      <c r="N191" t="s">
        <v>309</v>
      </c>
      <c r="O191" s="11" t="str">
        <f t="shared" si="20"/>
        <v>OK</v>
      </c>
      <c r="P191" t="s">
        <v>54</v>
      </c>
      <c r="Q191" t="s">
        <v>54</v>
      </c>
      <c r="R191" t="s">
        <v>54</v>
      </c>
      <c r="S191" t="s">
        <v>55</v>
      </c>
      <c r="T191" s="1">
        <v>22385.68</v>
      </c>
      <c r="U191" s="1">
        <v>15570081.18</v>
      </c>
      <c r="V191" s="13" t="str">
        <f t="shared" si="21"/>
        <v>OK</v>
      </c>
      <c r="W191" s="1">
        <v>230766703.24000001</v>
      </c>
      <c r="X191" s="1">
        <v>163540145.41999999</v>
      </c>
      <c r="Y191" t="s">
        <v>51</v>
      </c>
      <c r="Z191">
        <v>209913.77</v>
      </c>
      <c r="AA191">
        <v>0</v>
      </c>
      <c r="AB191">
        <v>0</v>
      </c>
      <c r="AC191">
        <v>51574956.740000002</v>
      </c>
      <c r="AD191" s="13" t="str">
        <f t="shared" si="22"/>
        <v>OK</v>
      </c>
      <c r="AE191">
        <v>239335587.68000001</v>
      </c>
      <c r="AF191">
        <v>0</v>
      </c>
      <c r="AG191">
        <v>0</v>
      </c>
      <c r="AH191">
        <v>0</v>
      </c>
      <c r="AI191">
        <v>0</v>
      </c>
      <c r="AJ191" s="13" t="str">
        <f t="shared" si="23"/>
        <v>OK</v>
      </c>
      <c r="AK191">
        <v>0</v>
      </c>
      <c r="AL191">
        <v>0</v>
      </c>
      <c r="AM191">
        <v>110973736.5</v>
      </c>
      <c r="AN191">
        <v>209965450.30000001</v>
      </c>
      <c r="AO191">
        <v>4705000</v>
      </c>
      <c r="AP191">
        <v>4700500</v>
      </c>
      <c r="AQ191" s="15">
        <f t="shared" si="24"/>
        <v>-4500</v>
      </c>
      <c r="AR191">
        <v>4700500</v>
      </c>
      <c r="AS191">
        <v>4700500</v>
      </c>
      <c r="AT191">
        <v>4500</v>
      </c>
      <c r="AU191">
        <v>4500</v>
      </c>
      <c r="AV191" s="16">
        <f t="shared" si="25"/>
        <v>4500</v>
      </c>
      <c r="AW191" s="13" t="str">
        <f t="shared" si="26"/>
        <v>SIM</v>
      </c>
      <c r="AX191" s="13" t="str">
        <f t="shared" si="27"/>
        <v>VER CAPITAL</v>
      </c>
      <c r="AY191" s="13" t="str">
        <f t="shared" si="28"/>
        <v>OK</v>
      </c>
      <c r="AZ191">
        <f t="shared" si="29"/>
        <v>21.549221843663929</v>
      </c>
    </row>
    <row r="192" spans="2:52" x14ac:dyDescent="0.3">
      <c r="B192" t="s">
        <v>887</v>
      </c>
      <c r="C192" t="s">
        <v>917</v>
      </c>
      <c r="D192" t="s">
        <v>918</v>
      </c>
      <c r="E192" t="s">
        <v>919</v>
      </c>
      <c r="F192" t="s">
        <v>46</v>
      </c>
      <c r="G192" t="s">
        <v>47</v>
      </c>
      <c r="H192" t="s">
        <v>60</v>
      </c>
      <c r="I192" t="s">
        <v>49</v>
      </c>
      <c r="J192" t="s">
        <v>50</v>
      </c>
      <c r="K192" t="s">
        <v>51</v>
      </c>
      <c r="L192" t="s">
        <v>54</v>
      </c>
      <c r="M192" t="s">
        <v>134</v>
      </c>
      <c r="N192" t="s">
        <v>920</v>
      </c>
      <c r="O192" s="11" t="str">
        <f t="shared" si="20"/>
        <v>OK</v>
      </c>
      <c r="P192" t="s">
        <v>54</v>
      </c>
      <c r="Q192" t="s">
        <v>54</v>
      </c>
      <c r="R192" t="s">
        <v>54</v>
      </c>
      <c r="S192" t="s">
        <v>55</v>
      </c>
      <c r="T192" s="1">
        <v>0</v>
      </c>
      <c r="U192" s="1">
        <v>875211.22</v>
      </c>
      <c r="V192" s="13" t="str">
        <f t="shared" si="21"/>
        <v>OK</v>
      </c>
      <c r="W192" s="1">
        <v>946895.88</v>
      </c>
      <c r="X192" s="1">
        <v>0</v>
      </c>
      <c r="Y192" t="s">
        <v>51</v>
      </c>
      <c r="Z192">
        <v>225268.58</v>
      </c>
      <c r="AA192">
        <v>0</v>
      </c>
      <c r="AB192">
        <v>0</v>
      </c>
      <c r="AC192">
        <v>-946895.88</v>
      </c>
      <c r="AD192" s="13" t="str">
        <f t="shared" si="22"/>
        <v>OK</v>
      </c>
      <c r="AE192">
        <v>500000</v>
      </c>
      <c r="AF192">
        <v>0</v>
      </c>
      <c r="AG192">
        <v>0</v>
      </c>
      <c r="AH192">
        <v>0</v>
      </c>
      <c r="AI192">
        <v>0</v>
      </c>
      <c r="AJ192" s="13" t="str">
        <f t="shared" si="23"/>
        <v>OK</v>
      </c>
      <c r="AK192">
        <v>0</v>
      </c>
      <c r="AL192">
        <v>0</v>
      </c>
      <c r="AM192">
        <v>0</v>
      </c>
      <c r="AN192">
        <v>484078.45</v>
      </c>
      <c r="AO192">
        <v>0</v>
      </c>
      <c r="AP192">
        <v>500000</v>
      </c>
      <c r="AQ192" s="15">
        <f t="shared" si="24"/>
        <v>500000</v>
      </c>
      <c r="AR192">
        <v>0</v>
      </c>
      <c r="AS192">
        <v>500000</v>
      </c>
      <c r="AT192">
        <v>0</v>
      </c>
      <c r="AU192">
        <v>0</v>
      </c>
      <c r="AV192" s="16">
        <f t="shared" si="25"/>
        <v>500000</v>
      </c>
      <c r="AW192" s="13" t="str">
        <f t="shared" si="26"/>
        <v>SIM</v>
      </c>
      <c r="AX192" s="13" t="str">
        <f t="shared" si="27"/>
        <v>VER CAPITAL</v>
      </c>
      <c r="AY192" s="13" t="str">
        <f t="shared" si="28"/>
        <v>OK</v>
      </c>
      <c r="AZ192">
        <f t="shared" si="29"/>
        <v>-189.379176</v>
      </c>
    </row>
    <row r="193" spans="2:52" x14ac:dyDescent="0.3">
      <c r="B193" t="s">
        <v>887</v>
      </c>
      <c r="C193" t="s">
        <v>921</v>
      </c>
      <c r="D193" t="s">
        <v>922</v>
      </c>
      <c r="E193" s="11" t="s">
        <v>923</v>
      </c>
      <c r="F193" t="s">
        <v>46</v>
      </c>
      <c r="G193" t="s">
        <v>47</v>
      </c>
      <c r="H193" t="s">
        <v>60</v>
      </c>
      <c r="I193" t="s">
        <v>49</v>
      </c>
      <c r="J193" t="s">
        <v>50</v>
      </c>
      <c r="K193" t="s">
        <v>51</v>
      </c>
      <c r="L193" t="s">
        <v>54</v>
      </c>
      <c r="M193" t="s">
        <v>134</v>
      </c>
      <c r="N193" t="s">
        <v>208</v>
      </c>
      <c r="O193" s="11" t="str">
        <f t="shared" si="20"/>
        <v>OK</v>
      </c>
      <c r="P193" t="s">
        <v>54</v>
      </c>
      <c r="Q193" t="s">
        <v>54</v>
      </c>
      <c r="R193" t="s">
        <v>54</v>
      </c>
      <c r="S193" t="s">
        <v>55</v>
      </c>
      <c r="T193" s="1">
        <v>0</v>
      </c>
      <c r="U193" s="1">
        <v>167603.73000000001</v>
      </c>
      <c r="V193" s="13" t="str">
        <f t="shared" si="21"/>
        <v>OK</v>
      </c>
      <c r="W193" s="1">
        <v>169246.94</v>
      </c>
      <c r="X193" s="1">
        <v>0</v>
      </c>
      <c r="Y193" t="s">
        <v>51</v>
      </c>
      <c r="Z193">
        <v>119373.1</v>
      </c>
      <c r="AA193">
        <v>0</v>
      </c>
      <c r="AB193">
        <v>0</v>
      </c>
      <c r="AC193">
        <v>-227233.61</v>
      </c>
      <c r="AD193" s="13" t="str">
        <f t="shared" si="22"/>
        <v>OK</v>
      </c>
      <c r="AE193">
        <v>3000</v>
      </c>
      <c r="AF193">
        <v>0</v>
      </c>
      <c r="AG193">
        <v>0</v>
      </c>
      <c r="AH193">
        <v>0</v>
      </c>
      <c r="AI193">
        <v>0</v>
      </c>
      <c r="AJ193" s="13" t="str">
        <f t="shared" si="23"/>
        <v>OK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30000</v>
      </c>
      <c r="AQ193" s="15">
        <f t="shared" si="24"/>
        <v>30000</v>
      </c>
      <c r="AR193">
        <v>0</v>
      </c>
      <c r="AS193">
        <v>3000</v>
      </c>
      <c r="AT193">
        <v>0</v>
      </c>
      <c r="AU193">
        <v>27000</v>
      </c>
      <c r="AV193" s="16">
        <f t="shared" si="25"/>
        <v>30000</v>
      </c>
      <c r="AW193" s="13" t="str">
        <f t="shared" si="26"/>
        <v>SIM</v>
      </c>
      <c r="AX193" s="13" t="str">
        <f t="shared" si="27"/>
        <v>OK</v>
      </c>
      <c r="AY193" s="13" t="str">
        <f t="shared" si="28"/>
        <v>OK</v>
      </c>
      <c r="AZ193">
        <f t="shared" si="29"/>
        <v>-7574.4536666666663</v>
      </c>
    </row>
    <row r="194" spans="2:52" x14ac:dyDescent="0.3">
      <c r="B194" t="s">
        <v>887</v>
      </c>
      <c r="C194" t="s">
        <v>924</v>
      </c>
      <c r="D194" t="s">
        <v>925</v>
      </c>
      <c r="E194" t="s">
        <v>926</v>
      </c>
      <c r="F194" t="s">
        <v>46</v>
      </c>
      <c r="G194" t="s">
        <v>314</v>
      </c>
      <c r="H194" t="s">
        <v>60</v>
      </c>
      <c r="I194" t="s">
        <v>49</v>
      </c>
      <c r="J194" t="s">
        <v>50</v>
      </c>
      <c r="K194" t="s">
        <v>51</v>
      </c>
      <c r="L194" t="s">
        <v>54</v>
      </c>
      <c r="M194" t="s">
        <v>134</v>
      </c>
      <c r="N194" t="s">
        <v>927</v>
      </c>
      <c r="O194" s="11" t="str">
        <f t="shared" ref="O194:O257" si="30">IF(AND(F194="ATIVA",VALUE(N194)=0),"VERIFICAR","OK")</f>
        <v>OK</v>
      </c>
      <c r="P194" t="s">
        <v>54</v>
      </c>
      <c r="Q194" t="s">
        <v>54</v>
      </c>
      <c r="R194" t="s">
        <v>54</v>
      </c>
      <c r="S194" t="s">
        <v>55</v>
      </c>
      <c r="T194" s="1">
        <v>0</v>
      </c>
      <c r="U194" s="1">
        <v>1968350.08</v>
      </c>
      <c r="V194" s="13" t="str">
        <f t="shared" ref="V194:V257" si="31">IF(AND(VALUE(N194)=0,VALUE(U194)&gt;0),"VERIFICAR","OK")</f>
        <v>OK</v>
      </c>
      <c r="W194" s="1">
        <v>4393849.0199999996</v>
      </c>
      <c r="X194" s="1">
        <v>1957965.72</v>
      </c>
      <c r="Y194" t="s">
        <v>51</v>
      </c>
      <c r="Z194">
        <v>274778.15999999997</v>
      </c>
      <c r="AA194">
        <v>0</v>
      </c>
      <c r="AB194">
        <v>0</v>
      </c>
      <c r="AC194">
        <v>0</v>
      </c>
      <c r="AD194" s="13" t="str">
        <f t="shared" ref="AD194:AD257" si="32">IF(AND(Y194="SIM",VALUE(AC194)&lt;0),"VERIFICAR","OK")</f>
        <v>OK</v>
      </c>
      <c r="AE194">
        <v>0</v>
      </c>
      <c r="AF194">
        <v>0</v>
      </c>
      <c r="AG194">
        <v>0</v>
      </c>
      <c r="AH194">
        <v>4411871.4000000004</v>
      </c>
      <c r="AI194">
        <v>0</v>
      </c>
      <c r="AJ194" s="13" t="str">
        <f t="shared" ref="AJ194:AJ257" si="33">IF(AND(M194="NÃO DEPENDENTE",VALUE(AI194)&gt;0),"INDÍCIO DE DEPENDÊNCIA POR SUBVENÇÃO","OK")</f>
        <v>OK</v>
      </c>
      <c r="AK194">
        <v>0</v>
      </c>
      <c r="AL194">
        <v>0</v>
      </c>
      <c r="AM194">
        <v>0</v>
      </c>
      <c r="AN194">
        <v>0</v>
      </c>
      <c r="AO194">
        <v>30000000</v>
      </c>
      <c r="AP194">
        <v>30000000</v>
      </c>
      <c r="AQ194" s="15">
        <f t="shared" ref="AQ194:AQ257" si="34">AP194-AO194</f>
        <v>0</v>
      </c>
      <c r="AR194">
        <v>0</v>
      </c>
      <c r="AS194">
        <v>0</v>
      </c>
      <c r="AT194">
        <v>30000000</v>
      </c>
      <c r="AU194">
        <v>30000000</v>
      </c>
      <c r="AV194" s="16">
        <f t="shared" ref="AV194:AV257" si="35">(AS194-AR194)+(AU194)</f>
        <v>30000000</v>
      </c>
      <c r="AW194" s="13" t="str">
        <f t="shared" ref="AW194:AW257" si="36">IF(OR(VALUE(AQ194)&gt;0,VALUE(AV194)&gt;0),"SIM","NÃO")</f>
        <v>SIM</v>
      </c>
      <c r="AX194" s="13" t="str">
        <f t="shared" ref="AX194:AX257" si="37">IF(AND(M194="NÃO DEPENDENTE",VALUE(AN194)&gt;0),"VER CAPITAL","OK")</f>
        <v>OK</v>
      </c>
      <c r="AY194" s="13" t="str">
        <f t="shared" ref="AY194:AY257" si="38">IF(AND(AX194="VER CAPITAL",AW194="NÃO"),"INDÍCIO DE DEPENDÊNCIA POR CAPITAL","OK")</f>
        <v>OK</v>
      </c>
      <c r="AZ194" t="e">
        <f t="shared" ref="AZ194:AZ257" si="39">AC194*100/AE194</f>
        <v>#DIV/0!</v>
      </c>
    </row>
    <row r="195" spans="2:52" x14ac:dyDescent="0.3">
      <c r="B195" t="s">
        <v>887</v>
      </c>
      <c r="C195" t="s">
        <v>928</v>
      </c>
      <c r="D195" t="s">
        <v>929</v>
      </c>
      <c r="E195" t="s">
        <v>930</v>
      </c>
      <c r="F195" t="s">
        <v>46</v>
      </c>
      <c r="G195" t="s">
        <v>65</v>
      </c>
      <c r="H195" t="s">
        <v>60</v>
      </c>
      <c r="I195" t="s">
        <v>49</v>
      </c>
      <c r="J195" t="s">
        <v>50</v>
      </c>
      <c r="K195" t="s">
        <v>51</v>
      </c>
      <c r="L195" t="s">
        <v>54</v>
      </c>
      <c r="M195" t="s">
        <v>134</v>
      </c>
      <c r="N195" t="s">
        <v>471</v>
      </c>
      <c r="O195" s="11" t="str">
        <f t="shared" si="30"/>
        <v>OK</v>
      </c>
      <c r="P195" t="s">
        <v>54</v>
      </c>
      <c r="Q195" t="s">
        <v>54</v>
      </c>
      <c r="R195" t="s">
        <v>54</v>
      </c>
      <c r="S195" t="s">
        <v>931</v>
      </c>
      <c r="T195" s="1">
        <v>0</v>
      </c>
      <c r="U195" s="1">
        <v>3078407.84</v>
      </c>
      <c r="V195" s="13" t="str">
        <f t="shared" si="31"/>
        <v>OK</v>
      </c>
      <c r="W195" s="1">
        <v>6726462.9400000004</v>
      </c>
      <c r="X195" s="1">
        <v>41704.9</v>
      </c>
      <c r="Y195" t="s">
        <v>51</v>
      </c>
      <c r="Z195">
        <v>299120.37</v>
      </c>
      <c r="AA195">
        <v>0</v>
      </c>
      <c r="AB195">
        <v>0</v>
      </c>
      <c r="AC195">
        <v>-11040815.939999999</v>
      </c>
      <c r="AD195" s="13" t="str">
        <f t="shared" si="32"/>
        <v>OK</v>
      </c>
      <c r="AE195">
        <v>76891901.260000005</v>
      </c>
      <c r="AF195">
        <v>0</v>
      </c>
      <c r="AG195">
        <v>0</v>
      </c>
      <c r="AH195">
        <v>0</v>
      </c>
      <c r="AI195">
        <v>0</v>
      </c>
      <c r="AJ195" s="13" t="str">
        <f t="shared" si="33"/>
        <v>OK</v>
      </c>
      <c r="AK195">
        <v>0</v>
      </c>
      <c r="AL195">
        <v>0</v>
      </c>
      <c r="AM195">
        <v>8924315.8399999999</v>
      </c>
      <c r="AN195">
        <v>6717233.7699999996</v>
      </c>
      <c r="AO195">
        <v>55091217.200000003</v>
      </c>
      <c r="AP195">
        <v>66825320</v>
      </c>
      <c r="AQ195" s="15">
        <f t="shared" si="34"/>
        <v>11734102.799999997</v>
      </c>
      <c r="AR195">
        <v>20144029.199999999</v>
      </c>
      <c r="AS195">
        <v>66825320</v>
      </c>
      <c r="AT195">
        <v>0</v>
      </c>
      <c r="AU195">
        <v>0</v>
      </c>
      <c r="AV195" s="16">
        <f t="shared" si="35"/>
        <v>46681290.799999997</v>
      </c>
      <c r="AW195" s="13" t="str">
        <f t="shared" si="36"/>
        <v>SIM</v>
      </c>
      <c r="AX195" s="13" t="str">
        <f t="shared" si="37"/>
        <v>VER CAPITAL</v>
      </c>
      <c r="AY195" s="13" t="str">
        <f t="shared" si="38"/>
        <v>OK</v>
      </c>
      <c r="AZ195">
        <f t="shared" si="39"/>
        <v>-14.358880140922658</v>
      </c>
    </row>
    <row r="196" spans="2:52" x14ac:dyDescent="0.3">
      <c r="B196" t="s">
        <v>932</v>
      </c>
      <c r="C196" t="s">
        <v>940</v>
      </c>
      <c r="D196" t="s">
        <v>941</v>
      </c>
      <c r="E196" t="s">
        <v>942</v>
      </c>
      <c r="F196" t="s">
        <v>46</v>
      </c>
      <c r="G196" t="s">
        <v>71</v>
      </c>
      <c r="H196" t="s">
        <v>60</v>
      </c>
      <c r="I196" t="s">
        <v>49</v>
      </c>
      <c r="J196" t="s">
        <v>50</v>
      </c>
      <c r="K196" t="s">
        <v>51</v>
      </c>
      <c r="L196" t="s">
        <v>51</v>
      </c>
      <c r="M196" t="s">
        <v>134</v>
      </c>
      <c r="N196" t="s">
        <v>442</v>
      </c>
      <c r="O196" s="11" t="str">
        <f t="shared" si="30"/>
        <v>OK</v>
      </c>
      <c r="P196" t="s">
        <v>54</v>
      </c>
      <c r="Q196" t="s">
        <v>54</v>
      </c>
      <c r="R196" t="s">
        <v>54</v>
      </c>
      <c r="S196" t="s">
        <v>943</v>
      </c>
      <c r="T196" s="1">
        <v>337234712.20999998</v>
      </c>
      <c r="U196" s="1">
        <v>46350498.710000001</v>
      </c>
      <c r="V196" s="13" t="str">
        <f t="shared" si="31"/>
        <v>OK</v>
      </c>
      <c r="W196" s="1">
        <v>261771071.47</v>
      </c>
      <c r="X196" s="1">
        <v>617246.23</v>
      </c>
      <c r="Y196" t="s">
        <v>54</v>
      </c>
      <c r="Z196">
        <v>514241.76</v>
      </c>
      <c r="AA196">
        <v>0</v>
      </c>
      <c r="AB196">
        <v>35747.24</v>
      </c>
      <c r="AC196">
        <v>198518432.02000001</v>
      </c>
      <c r="AD196" s="13" t="str">
        <f t="shared" si="32"/>
        <v>OK</v>
      </c>
      <c r="AE196">
        <v>2757579997.77</v>
      </c>
      <c r="AF196">
        <v>0</v>
      </c>
      <c r="AG196">
        <v>10603140.51</v>
      </c>
      <c r="AH196">
        <v>0</v>
      </c>
      <c r="AI196">
        <v>0</v>
      </c>
      <c r="AJ196" s="13" t="str">
        <f t="shared" si="33"/>
        <v>OK</v>
      </c>
      <c r="AK196">
        <v>0</v>
      </c>
      <c r="AL196">
        <v>0</v>
      </c>
      <c r="AM196">
        <v>133027000</v>
      </c>
      <c r="AN196">
        <v>608325000</v>
      </c>
      <c r="AO196">
        <v>1975815</v>
      </c>
      <c r="AP196">
        <v>2584140</v>
      </c>
      <c r="AQ196" s="15">
        <f t="shared" si="34"/>
        <v>608325</v>
      </c>
      <c r="AR196">
        <v>1975815000</v>
      </c>
      <c r="AS196">
        <v>2584140000</v>
      </c>
      <c r="AT196">
        <v>0</v>
      </c>
      <c r="AU196">
        <v>0</v>
      </c>
      <c r="AV196" s="16">
        <f t="shared" si="35"/>
        <v>608325000</v>
      </c>
      <c r="AW196" s="13" t="str">
        <f t="shared" si="36"/>
        <v>SIM</v>
      </c>
      <c r="AX196" s="13" t="str">
        <f t="shared" si="37"/>
        <v>VER CAPITAL</v>
      </c>
      <c r="AY196" s="13" t="str">
        <f t="shared" si="38"/>
        <v>OK</v>
      </c>
      <c r="AZ196">
        <f t="shared" si="39"/>
        <v>7.1990089926869905</v>
      </c>
    </row>
    <row r="197" spans="2:52" x14ac:dyDescent="0.3">
      <c r="B197" t="s">
        <v>932</v>
      </c>
      <c r="C197" t="s">
        <v>944</v>
      </c>
      <c r="D197" t="s">
        <v>945</v>
      </c>
      <c r="E197" t="s">
        <v>946</v>
      </c>
      <c r="F197" t="s">
        <v>46</v>
      </c>
      <c r="G197" t="s">
        <v>314</v>
      </c>
      <c r="H197" t="s">
        <v>48</v>
      </c>
      <c r="I197" t="s">
        <v>363</v>
      </c>
      <c r="J197" t="s">
        <v>50</v>
      </c>
      <c r="K197" t="s">
        <v>51</v>
      </c>
      <c r="L197" t="s">
        <v>51</v>
      </c>
      <c r="M197" t="s">
        <v>134</v>
      </c>
      <c r="N197" t="s">
        <v>947</v>
      </c>
      <c r="O197" s="11" t="str">
        <f t="shared" si="30"/>
        <v>OK</v>
      </c>
      <c r="P197" t="s">
        <v>54</v>
      </c>
      <c r="Q197" t="s">
        <v>54</v>
      </c>
      <c r="R197" t="s">
        <v>54</v>
      </c>
      <c r="S197" t="s">
        <v>948</v>
      </c>
      <c r="T197" s="1">
        <v>588214707.40999997</v>
      </c>
      <c r="U197" s="1">
        <v>144616993.09999999</v>
      </c>
      <c r="V197" s="13" t="str">
        <f t="shared" si="31"/>
        <v>OK</v>
      </c>
      <c r="W197" s="1">
        <v>627453004.46000004</v>
      </c>
      <c r="X197" s="1">
        <v>117818300.08</v>
      </c>
      <c r="Y197" t="s">
        <v>51</v>
      </c>
      <c r="Z197">
        <v>687685.04</v>
      </c>
      <c r="AA197">
        <v>0</v>
      </c>
      <c r="AB197">
        <v>120201.16</v>
      </c>
      <c r="AC197">
        <v>121546815.67</v>
      </c>
      <c r="AD197" s="13" t="str">
        <f t="shared" si="32"/>
        <v>OK</v>
      </c>
      <c r="AE197">
        <v>1126993688.1800001</v>
      </c>
      <c r="AF197">
        <v>0</v>
      </c>
      <c r="AG197">
        <v>0</v>
      </c>
      <c r="AH197">
        <v>0</v>
      </c>
      <c r="AI197">
        <v>0</v>
      </c>
      <c r="AJ197" s="13" t="str">
        <f t="shared" si="33"/>
        <v>OK</v>
      </c>
      <c r="AK197">
        <v>0</v>
      </c>
      <c r="AL197">
        <v>0</v>
      </c>
      <c r="AM197">
        <v>0</v>
      </c>
      <c r="AN197">
        <v>0</v>
      </c>
      <c r="AO197">
        <v>100</v>
      </c>
      <c r="AP197">
        <v>100</v>
      </c>
      <c r="AQ197" s="15">
        <f t="shared" si="34"/>
        <v>0</v>
      </c>
      <c r="AR197">
        <v>1086443861.3800001</v>
      </c>
      <c r="AS197">
        <v>1086443861.3800001</v>
      </c>
      <c r="AT197">
        <v>0</v>
      </c>
      <c r="AU197">
        <v>0</v>
      </c>
      <c r="AV197" s="16">
        <f t="shared" si="35"/>
        <v>0</v>
      </c>
      <c r="AW197" s="13" t="str">
        <f t="shared" si="36"/>
        <v>NÃO</v>
      </c>
      <c r="AX197" s="13" t="str">
        <f t="shared" si="37"/>
        <v>OK</v>
      </c>
      <c r="AY197" s="13" t="str">
        <f t="shared" si="38"/>
        <v>OK</v>
      </c>
      <c r="AZ197">
        <f t="shared" si="39"/>
        <v>10.785048482950058</v>
      </c>
    </row>
    <row r="198" spans="2:52" x14ac:dyDescent="0.3">
      <c r="B198" t="s">
        <v>932</v>
      </c>
      <c r="C198" t="s">
        <v>949</v>
      </c>
      <c r="D198" t="s">
        <v>303</v>
      </c>
      <c r="E198" t="s">
        <v>950</v>
      </c>
      <c r="F198" t="s">
        <v>46</v>
      </c>
      <c r="G198" t="s">
        <v>75</v>
      </c>
      <c r="H198" t="s">
        <v>60</v>
      </c>
      <c r="I198" t="s">
        <v>49</v>
      </c>
      <c r="J198" t="s">
        <v>50</v>
      </c>
      <c r="K198" t="s">
        <v>51</v>
      </c>
      <c r="L198" t="s">
        <v>51</v>
      </c>
      <c r="M198" t="s">
        <v>134</v>
      </c>
      <c r="N198" t="s">
        <v>951</v>
      </c>
      <c r="O198" s="11" t="str">
        <f t="shared" si="30"/>
        <v>OK</v>
      </c>
      <c r="P198" t="s">
        <v>54</v>
      </c>
      <c r="Q198" t="s">
        <v>54</v>
      </c>
      <c r="R198" t="s">
        <v>51</v>
      </c>
      <c r="S198" t="s">
        <v>952</v>
      </c>
      <c r="T198" s="1">
        <v>34154000</v>
      </c>
      <c r="U198" s="1">
        <v>24508879.039999999</v>
      </c>
      <c r="V198" s="13" t="str">
        <f t="shared" si="31"/>
        <v>OK</v>
      </c>
      <c r="W198" s="1">
        <v>43321423.18</v>
      </c>
      <c r="X198" s="1">
        <v>18812544.140000001</v>
      </c>
      <c r="Y198" t="s">
        <v>51</v>
      </c>
      <c r="Z198">
        <v>402787.01</v>
      </c>
      <c r="AA198">
        <v>0</v>
      </c>
      <c r="AB198">
        <v>7722</v>
      </c>
      <c r="AC198">
        <v>1805000</v>
      </c>
      <c r="AD198" s="13" t="str">
        <f t="shared" si="32"/>
        <v>OK</v>
      </c>
      <c r="AE198">
        <v>192345753.59</v>
      </c>
      <c r="AF198">
        <v>0</v>
      </c>
      <c r="AG198">
        <v>0</v>
      </c>
      <c r="AH198">
        <v>0</v>
      </c>
      <c r="AI198">
        <v>0</v>
      </c>
      <c r="AJ198" s="13" t="str">
        <f t="shared" si="33"/>
        <v>OK</v>
      </c>
      <c r="AK198">
        <v>0</v>
      </c>
      <c r="AL198">
        <v>0</v>
      </c>
      <c r="AM198">
        <v>0</v>
      </c>
      <c r="AN198">
        <v>23200000</v>
      </c>
      <c r="AO198">
        <v>33114102</v>
      </c>
      <c r="AP198">
        <v>56314102</v>
      </c>
      <c r="AQ198" s="15">
        <f t="shared" si="34"/>
        <v>23200000</v>
      </c>
      <c r="AR198">
        <v>33114102</v>
      </c>
      <c r="AS198">
        <v>56314102</v>
      </c>
      <c r="AT198">
        <v>0</v>
      </c>
      <c r="AU198">
        <v>0</v>
      </c>
      <c r="AV198" s="16">
        <f t="shared" si="35"/>
        <v>23200000</v>
      </c>
      <c r="AW198" s="13" t="str">
        <f t="shared" si="36"/>
        <v>SIM</v>
      </c>
      <c r="AX198" s="13" t="str">
        <f t="shared" si="37"/>
        <v>VER CAPITAL</v>
      </c>
      <c r="AY198" s="13" t="str">
        <f t="shared" si="38"/>
        <v>OK</v>
      </c>
      <c r="AZ198">
        <f t="shared" si="39"/>
        <v>0.9384142702975905</v>
      </c>
    </row>
    <row r="199" spans="2:52" x14ac:dyDescent="0.3">
      <c r="B199" t="s">
        <v>932</v>
      </c>
      <c r="C199" t="s">
        <v>953</v>
      </c>
      <c r="D199" t="s">
        <v>954</v>
      </c>
      <c r="E199" t="s">
        <v>955</v>
      </c>
      <c r="F199" t="s">
        <v>46</v>
      </c>
      <c r="G199" t="s">
        <v>47</v>
      </c>
      <c r="H199" t="s">
        <v>60</v>
      </c>
      <c r="I199" t="s">
        <v>49</v>
      </c>
      <c r="J199" t="s">
        <v>50</v>
      </c>
      <c r="K199" t="s">
        <v>51</v>
      </c>
      <c r="L199" t="s">
        <v>51</v>
      </c>
      <c r="M199" t="s">
        <v>134</v>
      </c>
      <c r="N199" t="s">
        <v>956</v>
      </c>
      <c r="O199" s="11" t="str">
        <f t="shared" si="30"/>
        <v>OK</v>
      </c>
      <c r="P199" t="s">
        <v>54</v>
      </c>
      <c r="Q199" t="s">
        <v>54</v>
      </c>
      <c r="R199" t="s">
        <v>54</v>
      </c>
      <c r="S199" t="s">
        <v>957</v>
      </c>
      <c r="T199" s="1">
        <v>494676837</v>
      </c>
      <c r="U199" s="1">
        <v>229230174</v>
      </c>
      <c r="V199" s="13" t="str">
        <f t="shared" si="31"/>
        <v>OK</v>
      </c>
      <c r="W199" s="1">
        <v>355531072</v>
      </c>
      <c r="X199" s="1">
        <v>61518758</v>
      </c>
      <c r="Y199" t="s">
        <v>51</v>
      </c>
      <c r="Z199">
        <v>425858.56</v>
      </c>
      <c r="AA199">
        <v>0</v>
      </c>
      <c r="AB199">
        <v>0</v>
      </c>
      <c r="AC199">
        <v>338988220</v>
      </c>
      <c r="AD199" s="13" t="str">
        <f t="shared" si="32"/>
        <v>OK</v>
      </c>
      <c r="AE199">
        <v>538445587</v>
      </c>
      <c r="AF199">
        <v>0</v>
      </c>
      <c r="AG199">
        <v>19307859</v>
      </c>
      <c r="AH199">
        <v>0</v>
      </c>
      <c r="AI199">
        <v>0</v>
      </c>
      <c r="AJ199" s="13" t="str">
        <f t="shared" si="33"/>
        <v>OK</v>
      </c>
      <c r="AK199">
        <v>0</v>
      </c>
      <c r="AL199">
        <v>0</v>
      </c>
      <c r="AM199">
        <v>0</v>
      </c>
      <c r="AN199">
        <v>0</v>
      </c>
      <c r="AO199">
        <v>142046247</v>
      </c>
      <c r="AP199">
        <v>250000000</v>
      </c>
      <c r="AQ199" s="15">
        <f t="shared" si="34"/>
        <v>107953753</v>
      </c>
      <c r="AR199">
        <v>149670210</v>
      </c>
      <c r="AS199">
        <v>250000000</v>
      </c>
      <c r="AT199">
        <v>0</v>
      </c>
      <c r="AU199">
        <v>0</v>
      </c>
      <c r="AV199" s="16">
        <f t="shared" si="35"/>
        <v>100329790</v>
      </c>
      <c r="AW199" s="13" t="str">
        <f t="shared" si="36"/>
        <v>SIM</v>
      </c>
      <c r="AX199" s="13" t="str">
        <f t="shared" si="37"/>
        <v>OK</v>
      </c>
      <c r="AY199" s="13" t="str">
        <f t="shared" si="38"/>
        <v>OK</v>
      </c>
      <c r="AZ199">
        <f t="shared" si="39"/>
        <v>62.956820184692127</v>
      </c>
    </row>
    <row r="200" spans="2:52" x14ac:dyDescent="0.3">
      <c r="B200" t="s">
        <v>932</v>
      </c>
      <c r="C200" t="s">
        <v>933</v>
      </c>
      <c r="D200" t="s">
        <v>934</v>
      </c>
      <c r="E200" t="s">
        <v>935</v>
      </c>
      <c r="F200" t="s">
        <v>46</v>
      </c>
      <c r="G200" t="s">
        <v>93</v>
      </c>
      <c r="H200" t="s">
        <v>60</v>
      </c>
      <c r="I200" t="s">
        <v>49</v>
      </c>
      <c r="J200" t="s">
        <v>50</v>
      </c>
      <c r="K200" t="s">
        <v>51</v>
      </c>
      <c r="L200" t="s">
        <v>51</v>
      </c>
      <c r="M200" t="s">
        <v>52</v>
      </c>
      <c r="N200" t="s">
        <v>513</v>
      </c>
      <c r="O200" s="11" t="str">
        <f t="shared" si="30"/>
        <v>OK</v>
      </c>
      <c r="P200" t="s">
        <v>54</v>
      </c>
      <c r="Q200" t="s">
        <v>54</v>
      </c>
      <c r="R200" t="s">
        <v>51</v>
      </c>
      <c r="S200" t="s">
        <v>55</v>
      </c>
      <c r="T200" s="1">
        <v>9738890.9399999995</v>
      </c>
      <c r="U200" s="1">
        <v>100210156.51000001</v>
      </c>
      <c r="V200" s="13" t="str">
        <f t="shared" si="31"/>
        <v>OK</v>
      </c>
      <c r="W200" s="1">
        <v>182203596.06999999</v>
      </c>
      <c r="X200" s="1">
        <v>81993439.560000002</v>
      </c>
      <c r="Y200" t="s">
        <v>51</v>
      </c>
      <c r="Z200">
        <v>667236.96</v>
      </c>
      <c r="AA200">
        <v>0</v>
      </c>
      <c r="AB200">
        <v>30635.24</v>
      </c>
      <c r="AC200">
        <v>-47337285.969999999</v>
      </c>
      <c r="AD200" s="13" t="str">
        <f t="shared" si="32"/>
        <v>OK</v>
      </c>
      <c r="AE200">
        <v>1139847792.77</v>
      </c>
      <c r="AF200">
        <v>0</v>
      </c>
      <c r="AG200">
        <v>0</v>
      </c>
      <c r="AH200">
        <v>95093162.599999994</v>
      </c>
      <c r="AI200">
        <v>96094734.290000007</v>
      </c>
      <c r="AJ200" s="13" t="str">
        <f t="shared" si="33"/>
        <v>OK</v>
      </c>
      <c r="AK200">
        <v>95093162.599999994</v>
      </c>
      <c r="AL200" s="14">
        <v>96094734.290000007</v>
      </c>
      <c r="AM200">
        <v>0</v>
      </c>
      <c r="AN200">
        <v>0</v>
      </c>
      <c r="AO200">
        <v>1355068227</v>
      </c>
      <c r="AP200">
        <v>1355068227</v>
      </c>
      <c r="AQ200" s="15">
        <f t="shared" si="34"/>
        <v>0</v>
      </c>
      <c r="AR200">
        <v>1355068585</v>
      </c>
      <c r="AS200">
        <v>1355068585</v>
      </c>
      <c r="AT200">
        <v>330798550.31999999</v>
      </c>
      <c r="AU200">
        <v>412791989.88</v>
      </c>
      <c r="AV200" s="16">
        <f t="shared" si="35"/>
        <v>412791989.88</v>
      </c>
      <c r="AW200" s="13" t="str">
        <f t="shared" si="36"/>
        <v>SIM</v>
      </c>
      <c r="AX200" s="13" t="str">
        <f t="shared" si="37"/>
        <v>OK</v>
      </c>
      <c r="AY200" s="13" t="str">
        <f t="shared" si="38"/>
        <v>OK</v>
      </c>
      <c r="AZ200">
        <f t="shared" si="39"/>
        <v>-4.1529479874644792</v>
      </c>
    </row>
    <row r="201" spans="2:52" x14ac:dyDescent="0.3">
      <c r="B201" t="s">
        <v>932</v>
      </c>
      <c r="C201" t="s">
        <v>958</v>
      </c>
      <c r="D201" t="s">
        <v>959</v>
      </c>
      <c r="E201" t="s">
        <v>960</v>
      </c>
      <c r="F201" t="s">
        <v>46</v>
      </c>
      <c r="G201" t="s">
        <v>240</v>
      </c>
      <c r="H201" t="s">
        <v>60</v>
      </c>
      <c r="I201" t="s">
        <v>49</v>
      </c>
      <c r="J201" t="s">
        <v>50</v>
      </c>
      <c r="K201" t="s">
        <v>51</v>
      </c>
      <c r="L201" t="s">
        <v>51</v>
      </c>
      <c r="M201" t="s">
        <v>134</v>
      </c>
      <c r="N201" t="s">
        <v>951</v>
      </c>
      <c r="O201" s="11" t="str">
        <f t="shared" si="30"/>
        <v>OK</v>
      </c>
      <c r="P201" t="s">
        <v>54</v>
      </c>
      <c r="Q201" t="s">
        <v>54</v>
      </c>
      <c r="R201" t="s">
        <v>51</v>
      </c>
      <c r="S201" t="s">
        <v>55</v>
      </c>
      <c r="T201" s="1">
        <v>17016124.98</v>
      </c>
      <c r="U201" s="1">
        <v>11845137.720000001</v>
      </c>
      <c r="V201" s="13" t="str">
        <f t="shared" si="31"/>
        <v>OK</v>
      </c>
      <c r="W201" s="1">
        <v>33264400.969999999</v>
      </c>
      <c r="X201" s="1">
        <v>10023222.539999999</v>
      </c>
      <c r="Y201" t="s">
        <v>51</v>
      </c>
      <c r="Z201">
        <v>392962.93</v>
      </c>
      <c r="AA201">
        <v>0</v>
      </c>
      <c r="AB201">
        <v>0</v>
      </c>
      <c r="AC201">
        <v>16403891.92</v>
      </c>
      <c r="AD201" s="13" t="str">
        <f t="shared" si="32"/>
        <v>OK</v>
      </c>
      <c r="AE201">
        <v>261722096.43000001</v>
      </c>
      <c r="AF201">
        <v>0</v>
      </c>
      <c r="AG201">
        <v>0</v>
      </c>
      <c r="AH201">
        <v>0</v>
      </c>
      <c r="AI201">
        <v>0</v>
      </c>
      <c r="AJ201" s="13" t="str">
        <f t="shared" si="33"/>
        <v>OK</v>
      </c>
      <c r="AK201">
        <v>0</v>
      </c>
      <c r="AL201">
        <v>0</v>
      </c>
      <c r="AM201">
        <v>0</v>
      </c>
      <c r="AN201">
        <v>7075617.79</v>
      </c>
      <c r="AO201">
        <v>70145216.280000001</v>
      </c>
      <c r="AP201">
        <v>77220834.069999993</v>
      </c>
      <c r="AQ201" s="15">
        <f t="shared" si="34"/>
        <v>7075617.7899999917</v>
      </c>
      <c r="AR201">
        <v>406813156.67000002</v>
      </c>
      <c r="AS201">
        <v>406813156.67000002</v>
      </c>
      <c r="AT201">
        <v>44186843.329999998</v>
      </c>
      <c r="AU201">
        <v>44186843.329999998</v>
      </c>
      <c r="AV201" s="16">
        <f t="shared" si="35"/>
        <v>44186843.329999998</v>
      </c>
      <c r="AW201" s="13" t="str">
        <f t="shared" si="36"/>
        <v>SIM</v>
      </c>
      <c r="AX201" s="13" t="str">
        <f t="shared" si="37"/>
        <v>VER CAPITAL</v>
      </c>
      <c r="AY201" s="13" t="str">
        <f t="shared" si="38"/>
        <v>OK</v>
      </c>
      <c r="AZ201">
        <f t="shared" si="39"/>
        <v>6.2676755779340061</v>
      </c>
    </row>
    <row r="202" spans="2:52" x14ac:dyDescent="0.3">
      <c r="B202" t="s">
        <v>932</v>
      </c>
      <c r="C202" t="s">
        <v>961</v>
      </c>
      <c r="D202" t="s">
        <v>962</v>
      </c>
      <c r="E202" t="s">
        <v>963</v>
      </c>
      <c r="F202" t="s">
        <v>46</v>
      </c>
      <c r="G202" t="s">
        <v>107</v>
      </c>
      <c r="H202" t="s">
        <v>60</v>
      </c>
      <c r="I202" t="s">
        <v>49</v>
      </c>
      <c r="J202" t="s">
        <v>373</v>
      </c>
      <c r="K202" t="s">
        <v>54</v>
      </c>
      <c r="L202" t="s">
        <v>51</v>
      </c>
      <c r="M202" t="s">
        <v>134</v>
      </c>
      <c r="N202" t="s">
        <v>964</v>
      </c>
      <c r="O202" s="11" t="str">
        <f t="shared" si="30"/>
        <v>OK</v>
      </c>
      <c r="P202" t="s">
        <v>54</v>
      </c>
      <c r="Q202" t="s">
        <v>54</v>
      </c>
      <c r="R202" t="s">
        <v>54</v>
      </c>
      <c r="S202" t="s">
        <v>965</v>
      </c>
      <c r="T202" s="1">
        <v>6848218722.2799997</v>
      </c>
      <c r="U202" s="1">
        <v>1626352971.5899999</v>
      </c>
      <c r="V202" s="13" t="str">
        <f t="shared" si="31"/>
        <v>OK</v>
      </c>
      <c r="W202" s="1">
        <v>5175059168.5500002</v>
      </c>
      <c r="X202" s="1">
        <v>1908907990.3299999</v>
      </c>
      <c r="Y202" t="s">
        <v>54</v>
      </c>
      <c r="Z202">
        <v>985232.71</v>
      </c>
      <c r="AA202">
        <v>0</v>
      </c>
      <c r="AB202">
        <v>18754.900000000001</v>
      </c>
      <c r="AC202">
        <v>1545347170.4000001</v>
      </c>
      <c r="AD202" s="13" t="str">
        <f t="shared" si="32"/>
        <v>OK</v>
      </c>
      <c r="AE202">
        <v>10828706949.93</v>
      </c>
      <c r="AF202">
        <v>8418432532.4399996</v>
      </c>
      <c r="AG202">
        <v>84935680.390000001</v>
      </c>
      <c r="AH202">
        <v>0</v>
      </c>
      <c r="AI202">
        <v>0</v>
      </c>
      <c r="AJ202" s="13" t="str">
        <f t="shared" si="33"/>
        <v>OK</v>
      </c>
      <c r="AK202">
        <v>0</v>
      </c>
      <c r="AL202">
        <v>0</v>
      </c>
      <c r="AM202">
        <v>0</v>
      </c>
      <c r="AN202">
        <v>0</v>
      </c>
      <c r="AO202">
        <v>302653778</v>
      </c>
      <c r="AP202">
        <v>302653778</v>
      </c>
      <c r="AQ202" s="15">
        <f t="shared" si="34"/>
        <v>0</v>
      </c>
      <c r="AR202">
        <v>6000000000</v>
      </c>
      <c r="AS202">
        <v>6000000000</v>
      </c>
      <c r="AT202">
        <v>0</v>
      </c>
      <c r="AU202">
        <v>0</v>
      </c>
      <c r="AV202" s="16">
        <f t="shared" si="35"/>
        <v>0</v>
      </c>
      <c r="AW202" s="13" t="str">
        <f t="shared" si="36"/>
        <v>NÃO</v>
      </c>
      <c r="AX202" s="13" t="str">
        <f t="shared" si="37"/>
        <v>OK</v>
      </c>
      <c r="AY202" s="13" t="str">
        <f t="shared" si="38"/>
        <v>OK</v>
      </c>
      <c r="AZ202">
        <f t="shared" si="39"/>
        <v>14.270837483601767</v>
      </c>
    </row>
    <row r="203" spans="2:52" x14ac:dyDescent="0.3">
      <c r="B203" t="s">
        <v>932</v>
      </c>
      <c r="C203" t="s">
        <v>936</v>
      </c>
      <c r="D203" t="s">
        <v>937</v>
      </c>
      <c r="E203" t="s">
        <v>938</v>
      </c>
      <c r="F203" t="s">
        <v>46</v>
      </c>
      <c r="G203" t="s">
        <v>121</v>
      </c>
      <c r="H203" t="s">
        <v>48</v>
      </c>
      <c r="I203" t="s">
        <v>76</v>
      </c>
      <c r="J203" t="s">
        <v>50</v>
      </c>
      <c r="K203" t="s">
        <v>51</v>
      </c>
      <c r="L203" t="s">
        <v>54</v>
      </c>
      <c r="M203" t="s">
        <v>52</v>
      </c>
      <c r="N203" t="s">
        <v>939</v>
      </c>
      <c r="O203" s="11" t="str">
        <f t="shared" si="30"/>
        <v>OK</v>
      </c>
      <c r="P203" t="s">
        <v>54</v>
      </c>
      <c r="Q203" t="s">
        <v>54</v>
      </c>
      <c r="R203" t="s">
        <v>51</v>
      </c>
      <c r="S203" t="s">
        <v>55</v>
      </c>
      <c r="T203" s="1">
        <v>145938743.97</v>
      </c>
      <c r="U203" s="1">
        <v>78508775.560000002</v>
      </c>
      <c r="V203" s="13" t="str">
        <f t="shared" si="31"/>
        <v>OK</v>
      </c>
      <c r="W203" s="1">
        <v>78543537.700000003</v>
      </c>
      <c r="X203" s="1">
        <v>34762.14</v>
      </c>
      <c r="Y203" t="s">
        <v>51</v>
      </c>
      <c r="Z203">
        <v>482756.69</v>
      </c>
      <c r="AA203">
        <v>0</v>
      </c>
      <c r="AB203">
        <v>0</v>
      </c>
      <c r="AC203">
        <v>6593085.8200000003</v>
      </c>
      <c r="AD203" s="13" t="str">
        <f t="shared" si="32"/>
        <v>OK</v>
      </c>
      <c r="AE203">
        <v>5632500.6799999997</v>
      </c>
      <c r="AF203">
        <v>0</v>
      </c>
      <c r="AG203">
        <v>0</v>
      </c>
      <c r="AH203">
        <v>1749649.88</v>
      </c>
      <c r="AI203">
        <v>11417926.439999999</v>
      </c>
      <c r="AJ203" s="13" t="str">
        <f t="shared" si="33"/>
        <v>OK</v>
      </c>
      <c r="AK203">
        <v>100804102.68000001</v>
      </c>
      <c r="AL203" s="14">
        <v>88050548.640000001</v>
      </c>
      <c r="AM203">
        <v>65973827</v>
      </c>
      <c r="AN203">
        <v>0</v>
      </c>
      <c r="AO203">
        <v>100</v>
      </c>
      <c r="AP203">
        <v>100</v>
      </c>
      <c r="AQ203" s="15">
        <f t="shared" si="34"/>
        <v>0</v>
      </c>
      <c r="AR203">
        <v>252554799.18000001</v>
      </c>
      <c r="AS203">
        <v>252554799.18000001</v>
      </c>
      <c r="AT203">
        <v>0</v>
      </c>
      <c r="AU203">
        <v>0</v>
      </c>
      <c r="AV203" s="16">
        <f t="shared" si="35"/>
        <v>0</v>
      </c>
      <c r="AW203" s="13" t="str">
        <f t="shared" si="36"/>
        <v>NÃO</v>
      </c>
      <c r="AX203" s="13" t="str">
        <f t="shared" si="37"/>
        <v>OK</v>
      </c>
      <c r="AY203" s="13" t="str">
        <f t="shared" si="38"/>
        <v>OK</v>
      </c>
      <c r="AZ203">
        <f t="shared" si="39"/>
        <v>117.05432798989028</v>
      </c>
    </row>
    <row r="204" spans="2:52" x14ac:dyDescent="0.3">
      <c r="B204" t="s">
        <v>966</v>
      </c>
      <c r="C204" t="s">
        <v>1021</v>
      </c>
      <c r="D204" t="s">
        <v>1022</v>
      </c>
      <c r="E204" t="s">
        <v>1023</v>
      </c>
      <c r="F204" t="s">
        <v>46</v>
      </c>
      <c r="G204" t="s">
        <v>71</v>
      </c>
      <c r="H204" t="s">
        <v>60</v>
      </c>
      <c r="I204" t="s">
        <v>49</v>
      </c>
      <c r="J204" t="s">
        <v>50</v>
      </c>
      <c r="K204" t="s">
        <v>51</v>
      </c>
      <c r="L204" t="s">
        <v>51</v>
      </c>
      <c r="M204" t="s">
        <v>134</v>
      </c>
      <c r="N204" t="s">
        <v>1024</v>
      </c>
      <c r="O204" s="11" t="str">
        <f t="shared" si="30"/>
        <v>OK</v>
      </c>
      <c r="P204" t="s">
        <v>54</v>
      </c>
      <c r="Q204" t="s">
        <v>54</v>
      </c>
      <c r="R204" t="s">
        <v>54</v>
      </c>
      <c r="S204" t="s">
        <v>55</v>
      </c>
      <c r="T204" s="1">
        <v>65938099.520000003</v>
      </c>
      <c r="U204" s="1">
        <v>39962417.390000001</v>
      </c>
      <c r="V204" s="13" t="str">
        <f t="shared" si="31"/>
        <v>OK</v>
      </c>
      <c r="W204" s="1">
        <v>119666243.77</v>
      </c>
      <c r="X204" s="1">
        <v>587036.36</v>
      </c>
      <c r="Y204" t="s">
        <v>54</v>
      </c>
      <c r="Z204">
        <v>326969.03000000003</v>
      </c>
      <c r="AA204">
        <v>3031.64</v>
      </c>
      <c r="AB204">
        <v>45854.15</v>
      </c>
      <c r="AC204">
        <v>6757408.4400000004</v>
      </c>
      <c r="AD204" s="13" t="str">
        <f t="shared" si="32"/>
        <v>OK</v>
      </c>
      <c r="AE204">
        <v>543394273.66999996</v>
      </c>
      <c r="AF204">
        <v>0</v>
      </c>
      <c r="AG204">
        <v>0</v>
      </c>
      <c r="AH204">
        <v>0</v>
      </c>
      <c r="AI204">
        <v>0</v>
      </c>
      <c r="AJ204" s="13" t="str">
        <f t="shared" si="33"/>
        <v>OK</v>
      </c>
      <c r="AK204">
        <v>0</v>
      </c>
      <c r="AL204">
        <v>0</v>
      </c>
      <c r="AM204">
        <v>0</v>
      </c>
      <c r="AN204">
        <v>0</v>
      </c>
      <c r="AO204">
        <v>170866736</v>
      </c>
      <c r="AP204">
        <v>170866736</v>
      </c>
      <c r="AQ204" s="15">
        <f t="shared" si="34"/>
        <v>0</v>
      </c>
      <c r="AR204">
        <v>532381308.81</v>
      </c>
      <c r="AS204">
        <v>536345216.19999999</v>
      </c>
      <c r="AT204">
        <v>0</v>
      </c>
      <c r="AU204">
        <v>0</v>
      </c>
      <c r="AV204" s="16">
        <f t="shared" si="35"/>
        <v>3963907.3899999857</v>
      </c>
      <c r="AW204" s="13" t="str">
        <f t="shared" si="36"/>
        <v>SIM</v>
      </c>
      <c r="AX204" s="13" t="str">
        <f t="shared" si="37"/>
        <v>OK</v>
      </c>
      <c r="AY204" s="13" t="str">
        <f t="shared" si="38"/>
        <v>OK</v>
      </c>
      <c r="AZ204">
        <f t="shared" si="39"/>
        <v>1.2435553275822213</v>
      </c>
    </row>
    <row r="205" spans="2:52" x14ac:dyDescent="0.3">
      <c r="B205" t="s">
        <v>966</v>
      </c>
      <c r="C205" t="s">
        <v>1025</v>
      </c>
      <c r="D205" t="s">
        <v>1026</v>
      </c>
      <c r="E205" t="s">
        <v>1027</v>
      </c>
      <c r="F205" t="s">
        <v>70</v>
      </c>
      <c r="G205" t="s">
        <v>71</v>
      </c>
      <c r="H205" t="s">
        <v>60</v>
      </c>
      <c r="I205" t="s">
        <v>49</v>
      </c>
      <c r="J205" t="s">
        <v>50</v>
      </c>
      <c r="K205" t="s">
        <v>51</v>
      </c>
      <c r="L205" t="s">
        <v>51</v>
      </c>
      <c r="M205" t="s">
        <v>134</v>
      </c>
      <c r="N205" t="s">
        <v>125</v>
      </c>
      <c r="O205" s="11" t="str">
        <f t="shared" si="30"/>
        <v>OK</v>
      </c>
      <c r="P205" t="s">
        <v>51</v>
      </c>
      <c r="Q205" t="s">
        <v>51</v>
      </c>
      <c r="R205" t="s">
        <v>51</v>
      </c>
      <c r="S205" t="s">
        <v>976</v>
      </c>
      <c r="T205" s="1">
        <v>15667.76</v>
      </c>
      <c r="U205" s="1">
        <v>153069.57999999999</v>
      </c>
      <c r="V205" s="13" t="str">
        <f t="shared" si="31"/>
        <v>OK</v>
      </c>
      <c r="W205" s="1">
        <v>246394.78</v>
      </c>
      <c r="X205" s="1">
        <v>0</v>
      </c>
      <c r="Y205" t="s">
        <v>51</v>
      </c>
      <c r="Z205">
        <v>64000</v>
      </c>
      <c r="AA205">
        <v>0</v>
      </c>
      <c r="AB205">
        <v>0</v>
      </c>
      <c r="AC205">
        <v>-230727.02</v>
      </c>
      <c r="AD205" s="13" t="str">
        <f t="shared" si="32"/>
        <v>OK</v>
      </c>
      <c r="AE205">
        <v>1318192.05</v>
      </c>
      <c r="AF205">
        <v>0</v>
      </c>
      <c r="AG205">
        <v>0</v>
      </c>
      <c r="AH205">
        <v>0</v>
      </c>
      <c r="AI205">
        <v>0</v>
      </c>
      <c r="AJ205" s="13" t="str">
        <f t="shared" si="33"/>
        <v>OK</v>
      </c>
      <c r="AK205">
        <v>0</v>
      </c>
      <c r="AL205">
        <v>0</v>
      </c>
      <c r="AM205">
        <v>0</v>
      </c>
      <c r="AN205">
        <v>0</v>
      </c>
      <c r="AO205">
        <v>59451621559</v>
      </c>
      <c r="AP205">
        <v>59451621559</v>
      </c>
      <c r="AQ205" s="15">
        <f t="shared" si="34"/>
        <v>0</v>
      </c>
      <c r="AR205">
        <v>158987017.12</v>
      </c>
      <c r="AS205">
        <v>158987017.12</v>
      </c>
      <c r="AT205">
        <v>0</v>
      </c>
      <c r="AU205">
        <v>0</v>
      </c>
      <c r="AV205" s="16">
        <f t="shared" si="35"/>
        <v>0</v>
      </c>
      <c r="AW205" s="13" t="str">
        <f t="shared" si="36"/>
        <v>NÃO</v>
      </c>
      <c r="AX205" s="13" t="str">
        <f t="shared" si="37"/>
        <v>OK</v>
      </c>
      <c r="AY205" s="13" t="str">
        <f t="shared" si="38"/>
        <v>OK</v>
      </c>
      <c r="AZ205">
        <f t="shared" si="39"/>
        <v>-17.50329324167901</v>
      </c>
    </row>
    <row r="206" spans="2:52" x14ac:dyDescent="0.3">
      <c r="B206" t="s">
        <v>966</v>
      </c>
      <c r="C206" t="s">
        <v>967</v>
      </c>
      <c r="D206" t="s">
        <v>968</v>
      </c>
      <c r="E206" t="s">
        <v>969</v>
      </c>
      <c r="F206" t="s">
        <v>46</v>
      </c>
      <c r="G206" t="s">
        <v>75</v>
      </c>
      <c r="H206" t="s">
        <v>60</v>
      </c>
      <c r="I206" t="s">
        <v>49</v>
      </c>
      <c r="J206" t="s">
        <v>50</v>
      </c>
      <c r="K206" t="s">
        <v>51</v>
      </c>
      <c r="L206" t="s">
        <v>51</v>
      </c>
      <c r="M206" t="s">
        <v>52</v>
      </c>
      <c r="N206" t="s">
        <v>787</v>
      </c>
      <c r="O206" s="11" t="str">
        <f t="shared" si="30"/>
        <v>OK</v>
      </c>
      <c r="P206" t="s">
        <v>54</v>
      </c>
      <c r="Q206" t="s">
        <v>54</v>
      </c>
      <c r="R206" t="s">
        <v>51</v>
      </c>
      <c r="S206" t="s">
        <v>66</v>
      </c>
      <c r="T206" s="1">
        <v>92897.09</v>
      </c>
      <c r="U206" s="1">
        <v>2850605.29</v>
      </c>
      <c r="V206" s="13" t="str">
        <f t="shared" si="31"/>
        <v>OK</v>
      </c>
      <c r="W206" s="1">
        <v>11639694.16</v>
      </c>
      <c r="X206" s="1">
        <v>0</v>
      </c>
      <c r="Y206" t="s">
        <v>51</v>
      </c>
      <c r="Z206">
        <v>230373.94</v>
      </c>
      <c r="AA206">
        <v>0</v>
      </c>
      <c r="AB206">
        <v>1818548.47</v>
      </c>
      <c r="AC206">
        <v>-116498.37</v>
      </c>
      <c r="AD206" s="13" t="str">
        <f t="shared" si="32"/>
        <v>OK</v>
      </c>
      <c r="AE206">
        <v>1514590.16</v>
      </c>
      <c r="AF206">
        <v>0</v>
      </c>
      <c r="AG206">
        <v>0</v>
      </c>
      <c r="AH206">
        <v>6399240.3700000001</v>
      </c>
      <c r="AI206">
        <v>5639924.8700000001</v>
      </c>
      <c r="AJ206" s="13" t="str">
        <f t="shared" si="33"/>
        <v>OK</v>
      </c>
      <c r="AK206">
        <v>0</v>
      </c>
      <c r="AL206" s="14">
        <v>0</v>
      </c>
      <c r="AM206">
        <v>0</v>
      </c>
      <c r="AN206">
        <v>0</v>
      </c>
      <c r="AO206">
        <v>0</v>
      </c>
      <c r="AP206">
        <v>0</v>
      </c>
      <c r="AQ206" s="15">
        <f t="shared" si="34"/>
        <v>0</v>
      </c>
      <c r="AR206">
        <v>1520887.26</v>
      </c>
      <c r="AS206">
        <v>1520887.26</v>
      </c>
      <c r="AT206">
        <v>0</v>
      </c>
      <c r="AU206">
        <v>0</v>
      </c>
      <c r="AV206" s="16">
        <f t="shared" si="35"/>
        <v>0</v>
      </c>
      <c r="AW206" s="13" t="str">
        <f t="shared" si="36"/>
        <v>NÃO</v>
      </c>
      <c r="AX206" s="13" t="str">
        <f t="shared" si="37"/>
        <v>OK</v>
      </c>
      <c r="AY206" s="13" t="str">
        <f t="shared" si="38"/>
        <v>OK</v>
      </c>
      <c r="AZ206">
        <f t="shared" si="39"/>
        <v>-7.6917421673992656</v>
      </c>
    </row>
    <row r="207" spans="2:52" x14ac:dyDescent="0.3">
      <c r="B207" t="s">
        <v>966</v>
      </c>
      <c r="C207" t="s">
        <v>970</v>
      </c>
      <c r="D207" t="s">
        <v>303</v>
      </c>
      <c r="E207" t="s">
        <v>971</v>
      </c>
      <c r="F207" t="s">
        <v>46</v>
      </c>
      <c r="G207" t="s">
        <v>75</v>
      </c>
      <c r="H207" t="s">
        <v>60</v>
      </c>
      <c r="I207" t="s">
        <v>49</v>
      </c>
      <c r="J207" t="s">
        <v>50</v>
      </c>
      <c r="K207" t="s">
        <v>51</v>
      </c>
      <c r="L207" t="s">
        <v>51</v>
      </c>
      <c r="M207" t="s">
        <v>52</v>
      </c>
      <c r="N207" t="s">
        <v>800</v>
      </c>
      <c r="O207" s="11" t="str">
        <f t="shared" si="30"/>
        <v>OK</v>
      </c>
      <c r="P207" t="s">
        <v>54</v>
      </c>
      <c r="Q207" t="s">
        <v>54</v>
      </c>
      <c r="R207" t="s">
        <v>51</v>
      </c>
      <c r="S207" t="s">
        <v>972</v>
      </c>
      <c r="T207" s="1">
        <v>155704826.68000001</v>
      </c>
      <c r="U207" s="1">
        <v>31111312.609999999</v>
      </c>
      <c r="V207" s="13" t="str">
        <f t="shared" si="31"/>
        <v>OK</v>
      </c>
      <c r="W207" s="1">
        <v>175749729.15000001</v>
      </c>
      <c r="X207" s="1">
        <v>2592351</v>
      </c>
      <c r="Y207" t="s">
        <v>51</v>
      </c>
      <c r="Z207">
        <v>287247.69</v>
      </c>
      <c r="AA207">
        <v>0</v>
      </c>
      <c r="AB207">
        <v>532956.80000000005</v>
      </c>
      <c r="AC207">
        <v>-1844059.14</v>
      </c>
      <c r="AD207" s="13" t="str">
        <f t="shared" si="32"/>
        <v>OK</v>
      </c>
      <c r="AE207">
        <v>57919389.649999999</v>
      </c>
      <c r="AF207">
        <v>0</v>
      </c>
      <c r="AG207">
        <v>0</v>
      </c>
      <c r="AH207">
        <v>6856966.1500000004</v>
      </c>
      <c r="AI207">
        <v>10523443.15</v>
      </c>
      <c r="AJ207" s="13" t="str">
        <f t="shared" si="33"/>
        <v>OK</v>
      </c>
      <c r="AK207">
        <v>1886518020</v>
      </c>
      <c r="AL207" s="14">
        <v>306360.12</v>
      </c>
      <c r="AM207">
        <v>0</v>
      </c>
      <c r="AN207">
        <v>0</v>
      </c>
      <c r="AO207">
        <v>0</v>
      </c>
      <c r="AP207">
        <v>0</v>
      </c>
      <c r="AQ207" s="15">
        <f t="shared" si="34"/>
        <v>0</v>
      </c>
      <c r="AR207">
        <v>33788930.850000001</v>
      </c>
      <c r="AS207">
        <v>33788930.850000001</v>
      </c>
      <c r="AT207">
        <v>0</v>
      </c>
      <c r="AU207">
        <v>0</v>
      </c>
      <c r="AV207" s="16">
        <f t="shared" si="35"/>
        <v>0</v>
      </c>
      <c r="AW207" s="13" t="str">
        <f t="shared" si="36"/>
        <v>NÃO</v>
      </c>
      <c r="AX207" s="13" t="str">
        <f t="shared" si="37"/>
        <v>OK</v>
      </c>
      <c r="AY207" s="13" t="str">
        <f t="shared" si="38"/>
        <v>OK</v>
      </c>
      <c r="AZ207">
        <f t="shared" si="39"/>
        <v>-3.1838373144873082</v>
      </c>
    </row>
    <row r="208" spans="2:52" x14ac:dyDescent="0.3">
      <c r="B208" t="s">
        <v>966</v>
      </c>
      <c r="C208" t="s">
        <v>1028</v>
      </c>
      <c r="D208" t="s">
        <v>1029</v>
      </c>
      <c r="E208" t="s">
        <v>1030</v>
      </c>
      <c r="F208" t="s">
        <v>46</v>
      </c>
      <c r="G208" t="s">
        <v>107</v>
      </c>
      <c r="H208" t="s">
        <v>60</v>
      </c>
      <c r="I208" t="s">
        <v>49</v>
      </c>
      <c r="J208" t="s">
        <v>373</v>
      </c>
      <c r="K208" t="s">
        <v>51</v>
      </c>
      <c r="L208" t="s">
        <v>51</v>
      </c>
      <c r="M208" t="s">
        <v>134</v>
      </c>
      <c r="N208" t="s">
        <v>1031</v>
      </c>
      <c r="O208" s="11" t="str">
        <f t="shared" si="30"/>
        <v>OK</v>
      </c>
      <c r="P208" t="s">
        <v>54</v>
      </c>
      <c r="Q208" t="s">
        <v>54</v>
      </c>
      <c r="R208" t="s">
        <v>54</v>
      </c>
      <c r="S208" t="s">
        <v>1032</v>
      </c>
      <c r="T208" s="1">
        <v>2450190000</v>
      </c>
      <c r="U208" s="1">
        <v>636118000</v>
      </c>
      <c r="V208" s="13" t="str">
        <f t="shared" si="31"/>
        <v>OK</v>
      </c>
      <c r="W208" s="1">
        <v>2005934000</v>
      </c>
      <c r="X208" s="1">
        <v>18613000</v>
      </c>
      <c r="Y208" t="s">
        <v>54</v>
      </c>
      <c r="Z208">
        <v>1465242.19</v>
      </c>
      <c r="AA208">
        <v>9000</v>
      </c>
      <c r="AB208">
        <v>0</v>
      </c>
      <c r="AC208">
        <v>708756000</v>
      </c>
      <c r="AD208" s="13" t="str">
        <f t="shared" si="32"/>
        <v>OK</v>
      </c>
      <c r="AE208">
        <v>6138024000</v>
      </c>
      <c r="AF208">
        <v>0</v>
      </c>
      <c r="AG208">
        <v>256903.11</v>
      </c>
      <c r="AH208">
        <v>0</v>
      </c>
      <c r="AI208">
        <v>0</v>
      </c>
      <c r="AJ208" s="13" t="str">
        <f t="shared" si="33"/>
        <v>OK</v>
      </c>
      <c r="AK208">
        <v>0</v>
      </c>
      <c r="AL208">
        <v>0</v>
      </c>
      <c r="AM208">
        <v>0</v>
      </c>
      <c r="AN208">
        <v>0</v>
      </c>
      <c r="AO208">
        <v>629069118</v>
      </c>
      <c r="AP208">
        <v>629069118</v>
      </c>
      <c r="AQ208" s="15">
        <f t="shared" si="34"/>
        <v>0</v>
      </c>
      <c r="AR208">
        <v>4027559713.0300002</v>
      </c>
      <c r="AS208">
        <v>4027559713.0300002</v>
      </c>
      <c r="AT208">
        <v>0</v>
      </c>
      <c r="AU208">
        <v>0</v>
      </c>
      <c r="AV208" s="16">
        <f t="shared" si="35"/>
        <v>0</v>
      </c>
      <c r="AW208" s="13" t="str">
        <f t="shared" si="36"/>
        <v>NÃO</v>
      </c>
      <c r="AX208" s="13" t="str">
        <f t="shared" si="37"/>
        <v>OK</v>
      </c>
      <c r="AY208" s="13" t="str">
        <f t="shared" si="38"/>
        <v>OK</v>
      </c>
      <c r="AZ208">
        <f t="shared" si="39"/>
        <v>11.546973423368824</v>
      </c>
    </row>
    <row r="209" spans="2:52" x14ac:dyDescent="0.3">
      <c r="B209" t="s">
        <v>966</v>
      </c>
      <c r="C209" t="s">
        <v>973</v>
      </c>
      <c r="D209" t="s">
        <v>816</v>
      </c>
      <c r="E209" t="s">
        <v>974</v>
      </c>
      <c r="F209" t="s">
        <v>46</v>
      </c>
      <c r="G209" t="s">
        <v>93</v>
      </c>
      <c r="H209" t="s">
        <v>60</v>
      </c>
      <c r="I209" t="s">
        <v>49</v>
      </c>
      <c r="J209" t="s">
        <v>50</v>
      </c>
      <c r="K209" t="s">
        <v>51</v>
      </c>
      <c r="L209" t="s">
        <v>54</v>
      </c>
      <c r="M209" t="s">
        <v>52</v>
      </c>
      <c r="N209" t="s">
        <v>975</v>
      </c>
      <c r="O209" s="11" t="str">
        <f t="shared" si="30"/>
        <v>OK</v>
      </c>
      <c r="P209" t="s">
        <v>54</v>
      </c>
      <c r="Q209" t="s">
        <v>54</v>
      </c>
      <c r="R209" t="s">
        <v>51</v>
      </c>
      <c r="S209" t="s">
        <v>976</v>
      </c>
      <c r="T209" s="1">
        <v>339807340.25</v>
      </c>
      <c r="U209" s="1">
        <v>59674686.280000001</v>
      </c>
      <c r="V209" s="13" t="str">
        <f t="shared" si="31"/>
        <v>OK</v>
      </c>
      <c r="W209" s="1">
        <v>326102830.56</v>
      </c>
      <c r="X209" s="1">
        <v>203656729.34999999</v>
      </c>
      <c r="Y209" t="s">
        <v>51</v>
      </c>
      <c r="Z209">
        <v>302412.03999999998</v>
      </c>
      <c r="AA209">
        <v>0</v>
      </c>
      <c r="AB209">
        <v>0</v>
      </c>
      <c r="AC209">
        <v>-9055528.0099999998</v>
      </c>
      <c r="AD209" s="13" t="str">
        <f t="shared" si="32"/>
        <v>OK</v>
      </c>
      <c r="AE209">
        <v>112422565.31999999</v>
      </c>
      <c r="AF209">
        <v>0</v>
      </c>
      <c r="AG209">
        <v>0</v>
      </c>
      <c r="AH209">
        <v>567889086.49000001</v>
      </c>
      <c r="AI209">
        <v>326474688.86000001</v>
      </c>
      <c r="AJ209" s="13" t="str">
        <f t="shared" si="33"/>
        <v>OK</v>
      </c>
      <c r="AK209">
        <v>3184578.24</v>
      </c>
      <c r="AL209" s="14">
        <v>3377029.67</v>
      </c>
      <c r="AM209">
        <v>0</v>
      </c>
      <c r="AN209">
        <v>0</v>
      </c>
      <c r="AO209">
        <v>3338267.4</v>
      </c>
      <c r="AP209">
        <v>3338267.4</v>
      </c>
      <c r="AQ209" s="15">
        <f t="shared" si="34"/>
        <v>0</v>
      </c>
      <c r="AR209">
        <v>242168282.16999999</v>
      </c>
      <c r="AS209">
        <v>242168282.16999999</v>
      </c>
      <c r="AT209">
        <v>0</v>
      </c>
      <c r="AU209">
        <v>0</v>
      </c>
      <c r="AV209" s="16">
        <f t="shared" si="35"/>
        <v>0</v>
      </c>
      <c r="AW209" s="13" t="str">
        <f t="shared" si="36"/>
        <v>NÃO</v>
      </c>
      <c r="AX209" s="13" t="str">
        <f t="shared" si="37"/>
        <v>OK</v>
      </c>
      <c r="AY209" s="13" t="str">
        <f t="shared" si="38"/>
        <v>OK</v>
      </c>
      <c r="AZ209">
        <f t="shared" si="39"/>
        <v>-8.0549024870801631</v>
      </c>
    </row>
    <row r="210" spans="2:52" x14ac:dyDescent="0.3">
      <c r="B210" t="s">
        <v>966</v>
      </c>
      <c r="C210" t="s">
        <v>1033</v>
      </c>
      <c r="D210" t="s">
        <v>1034</v>
      </c>
      <c r="E210" t="s">
        <v>1035</v>
      </c>
      <c r="F210" t="s">
        <v>70</v>
      </c>
      <c r="G210" t="s">
        <v>409</v>
      </c>
      <c r="H210" t="s">
        <v>60</v>
      </c>
      <c r="I210" t="s">
        <v>49</v>
      </c>
      <c r="J210" t="s">
        <v>50</v>
      </c>
      <c r="K210" t="s">
        <v>51</v>
      </c>
      <c r="L210" t="s">
        <v>51</v>
      </c>
      <c r="M210" s="11" t="s">
        <v>134</v>
      </c>
      <c r="N210" t="s">
        <v>66</v>
      </c>
      <c r="O210" s="11" t="str">
        <f t="shared" si="30"/>
        <v>OK</v>
      </c>
      <c r="P210" t="s">
        <v>51</v>
      </c>
      <c r="Q210" t="s">
        <v>51</v>
      </c>
      <c r="R210" t="s">
        <v>51</v>
      </c>
      <c r="S210" t="s">
        <v>972</v>
      </c>
      <c r="T210" s="1">
        <v>754</v>
      </c>
      <c r="U210" s="1">
        <v>0</v>
      </c>
      <c r="V210" s="13" t="str">
        <f t="shared" si="31"/>
        <v>OK</v>
      </c>
      <c r="W210" s="1">
        <v>754</v>
      </c>
      <c r="X210" s="1">
        <v>0</v>
      </c>
      <c r="Y210" t="s">
        <v>51</v>
      </c>
      <c r="Z210">
        <v>0</v>
      </c>
      <c r="AA210">
        <v>0</v>
      </c>
      <c r="AB210">
        <v>0</v>
      </c>
      <c r="AC210">
        <v>0</v>
      </c>
      <c r="AD210" s="13" t="str">
        <f t="shared" si="32"/>
        <v>OK</v>
      </c>
      <c r="AE210">
        <v>82.93</v>
      </c>
      <c r="AF210">
        <v>0</v>
      </c>
      <c r="AG210">
        <v>0</v>
      </c>
      <c r="AH210">
        <v>720</v>
      </c>
      <c r="AI210" s="14">
        <v>754</v>
      </c>
      <c r="AJ210" s="13" t="str">
        <f t="shared" si="33"/>
        <v>INDÍCIO DE DEPENDÊNCIA POR SUBVENÇÃO</v>
      </c>
      <c r="AK210">
        <v>0</v>
      </c>
      <c r="AL210" s="14">
        <v>0</v>
      </c>
      <c r="AM210">
        <v>0</v>
      </c>
      <c r="AN210">
        <v>0</v>
      </c>
      <c r="AO210">
        <v>376092373</v>
      </c>
      <c r="AP210">
        <v>3760923.73</v>
      </c>
      <c r="AQ210" s="15">
        <f t="shared" si="34"/>
        <v>-372331449.26999998</v>
      </c>
      <c r="AR210">
        <v>9225032.8100000005</v>
      </c>
      <c r="AS210">
        <v>9225032.8100000005</v>
      </c>
      <c r="AT210">
        <v>0</v>
      </c>
      <c r="AU210">
        <v>0</v>
      </c>
      <c r="AV210" s="16">
        <f t="shared" si="35"/>
        <v>0</v>
      </c>
      <c r="AW210" s="13" t="str">
        <f t="shared" si="36"/>
        <v>NÃO</v>
      </c>
      <c r="AX210" s="13" t="str">
        <f t="shared" si="37"/>
        <v>OK</v>
      </c>
      <c r="AY210" s="13" t="str">
        <f t="shared" si="38"/>
        <v>OK</v>
      </c>
      <c r="AZ210">
        <f t="shared" si="39"/>
        <v>0</v>
      </c>
    </row>
    <row r="211" spans="2:52" x14ac:dyDescent="0.3">
      <c r="B211" t="s">
        <v>966</v>
      </c>
      <c r="C211" t="s">
        <v>977</v>
      </c>
      <c r="D211" t="s">
        <v>978</v>
      </c>
      <c r="E211" t="s">
        <v>979</v>
      </c>
      <c r="F211" t="s">
        <v>46</v>
      </c>
      <c r="G211" t="s">
        <v>240</v>
      </c>
      <c r="H211" t="s">
        <v>48</v>
      </c>
      <c r="I211" t="s">
        <v>49</v>
      </c>
      <c r="J211" t="s">
        <v>50</v>
      </c>
      <c r="K211" t="s">
        <v>51</v>
      </c>
      <c r="L211" t="s">
        <v>51</v>
      </c>
      <c r="M211" t="s">
        <v>52</v>
      </c>
      <c r="N211" t="s">
        <v>800</v>
      </c>
      <c r="O211" s="11" t="str">
        <f t="shared" si="30"/>
        <v>OK</v>
      </c>
      <c r="P211" t="s">
        <v>54</v>
      </c>
      <c r="Q211" t="s">
        <v>54</v>
      </c>
      <c r="R211" t="s">
        <v>54</v>
      </c>
      <c r="S211" t="s">
        <v>972</v>
      </c>
      <c r="T211" s="1">
        <v>5874169.1600000001</v>
      </c>
      <c r="U211" s="1">
        <v>60733903.109999999</v>
      </c>
      <c r="V211" s="13" t="str">
        <f t="shared" si="31"/>
        <v>OK</v>
      </c>
      <c r="W211" s="1">
        <v>140526048.91999999</v>
      </c>
      <c r="X211" s="1">
        <v>0</v>
      </c>
      <c r="Y211" t="s">
        <v>51</v>
      </c>
      <c r="Z211">
        <v>385616.37</v>
      </c>
      <c r="AA211">
        <v>0</v>
      </c>
      <c r="AB211">
        <v>23800.44</v>
      </c>
      <c r="AC211">
        <v>-4118713.34</v>
      </c>
      <c r="AD211" s="13" t="str">
        <f t="shared" si="32"/>
        <v>OK</v>
      </c>
      <c r="AE211">
        <v>889267626.19000006</v>
      </c>
      <c r="AF211">
        <v>0</v>
      </c>
      <c r="AG211">
        <v>0</v>
      </c>
      <c r="AH211">
        <v>62515627.299999997</v>
      </c>
      <c r="AI211">
        <v>105836881.29000001</v>
      </c>
      <c r="AJ211" s="13" t="str">
        <f t="shared" si="33"/>
        <v>OK</v>
      </c>
      <c r="AK211">
        <v>4569593.9400000004</v>
      </c>
      <c r="AL211" s="14">
        <v>145020.6</v>
      </c>
      <c r="AM211">
        <v>0</v>
      </c>
      <c r="AN211">
        <v>0</v>
      </c>
      <c r="AO211">
        <v>72884768867</v>
      </c>
      <c r="AP211">
        <v>72884768867</v>
      </c>
      <c r="AQ211" s="15">
        <f t="shared" si="34"/>
        <v>0</v>
      </c>
      <c r="AR211">
        <v>996251938.23000002</v>
      </c>
      <c r="AS211">
        <v>996251938.23000002</v>
      </c>
      <c r="AT211">
        <v>0</v>
      </c>
      <c r="AU211">
        <v>0</v>
      </c>
      <c r="AV211" s="16">
        <f t="shared" si="35"/>
        <v>0</v>
      </c>
      <c r="AW211" s="13" t="str">
        <f t="shared" si="36"/>
        <v>NÃO</v>
      </c>
      <c r="AX211" s="13" t="str">
        <f t="shared" si="37"/>
        <v>OK</v>
      </c>
      <c r="AY211" s="13" t="str">
        <f t="shared" si="38"/>
        <v>OK</v>
      </c>
      <c r="AZ211">
        <f t="shared" si="39"/>
        <v>-0.46315790867663947</v>
      </c>
    </row>
    <row r="212" spans="2:52" x14ac:dyDescent="0.3">
      <c r="B212" t="s">
        <v>966</v>
      </c>
      <c r="C212" t="s">
        <v>1036</v>
      </c>
      <c r="D212" t="s">
        <v>1037</v>
      </c>
      <c r="E212" t="s">
        <v>1038</v>
      </c>
      <c r="F212" t="s">
        <v>70</v>
      </c>
      <c r="G212" t="s">
        <v>71</v>
      </c>
      <c r="H212" t="s">
        <v>60</v>
      </c>
      <c r="I212" t="s">
        <v>49</v>
      </c>
      <c r="J212" t="s">
        <v>50</v>
      </c>
      <c r="K212" t="s">
        <v>51</v>
      </c>
      <c r="L212" t="s">
        <v>51</v>
      </c>
      <c r="M212" t="s">
        <v>134</v>
      </c>
      <c r="N212" t="s">
        <v>66</v>
      </c>
      <c r="O212" s="11" t="str">
        <f t="shared" si="30"/>
        <v>OK</v>
      </c>
      <c r="P212" t="s">
        <v>51</v>
      </c>
      <c r="Q212" t="s">
        <v>51</v>
      </c>
      <c r="R212" t="s">
        <v>51</v>
      </c>
      <c r="S212" t="s">
        <v>66</v>
      </c>
      <c r="T212" s="1">
        <v>0</v>
      </c>
      <c r="U212" s="1">
        <v>0</v>
      </c>
      <c r="V212" s="13" t="str">
        <f t="shared" si="31"/>
        <v>OK</v>
      </c>
      <c r="W212" s="1">
        <v>2196.08</v>
      </c>
      <c r="X212" s="1">
        <v>0</v>
      </c>
      <c r="Y212" t="s">
        <v>51</v>
      </c>
      <c r="Z212">
        <v>0</v>
      </c>
      <c r="AA212">
        <v>0</v>
      </c>
      <c r="AB212">
        <v>0</v>
      </c>
      <c r="AC212">
        <v>-2196.08</v>
      </c>
      <c r="AD212" s="13" t="str">
        <f t="shared" si="32"/>
        <v>OK</v>
      </c>
      <c r="AE212">
        <v>-174637.05</v>
      </c>
      <c r="AF212">
        <v>0</v>
      </c>
      <c r="AG212">
        <v>0</v>
      </c>
      <c r="AH212">
        <v>0</v>
      </c>
      <c r="AI212">
        <v>0</v>
      </c>
      <c r="AJ212" s="13" t="str">
        <f t="shared" si="33"/>
        <v>OK</v>
      </c>
      <c r="AK212">
        <v>0</v>
      </c>
      <c r="AL212">
        <v>0</v>
      </c>
      <c r="AM212">
        <v>0</v>
      </c>
      <c r="AN212">
        <v>0</v>
      </c>
      <c r="AO212">
        <v>4729443</v>
      </c>
      <c r="AP212">
        <v>47294.43</v>
      </c>
      <c r="AQ212" s="15">
        <f t="shared" si="34"/>
        <v>-4682148.57</v>
      </c>
      <c r="AR212">
        <v>4729443</v>
      </c>
      <c r="AS212">
        <v>4729443</v>
      </c>
      <c r="AT212">
        <v>0</v>
      </c>
      <c r="AU212">
        <v>0</v>
      </c>
      <c r="AV212" s="16">
        <f t="shared" si="35"/>
        <v>0</v>
      </c>
      <c r="AW212" s="13" t="str">
        <f t="shared" si="36"/>
        <v>NÃO</v>
      </c>
      <c r="AX212" s="13" t="str">
        <f t="shared" si="37"/>
        <v>OK</v>
      </c>
      <c r="AY212" s="13" t="str">
        <f t="shared" si="38"/>
        <v>OK</v>
      </c>
      <c r="AZ212">
        <f t="shared" si="39"/>
        <v>1.2575109348216773</v>
      </c>
    </row>
    <row r="213" spans="2:52" x14ac:dyDescent="0.3">
      <c r="B213" t="s">
        <v>966</v>
      </c>
      <c r="C213" t="s">
        <v>980</v>
      </c>
      <c r="D213" t="s">
        <v>981</v>
      </c>
      <c r="E213" t="s">
        <v>982</v>
      </c>
      <c r="F213" t="s">
        <v>46</v>
      </c>
      <c r="G213" t="s">
        <v>240</v>
      </c>
      <c r="H213" t="s">
        <v>60</v>
      </c>
      <c r="I213" t="s">
        <v>76</v>
      </c>
      <c r="J213" t="s">
        <v>50</v>
      </c>
      <c r="K213" t="s">
        <v>51</v>
      </c>
      <c r="L213" t="s">
        <v>51</v>
      </c>
      <c r="M213" t="s">
        <v>52</v>
      </c>
      <c r="N213" t="s">
        <v>983</v>
      </c>
      <c r="O213" s="11" t="str">
        <f t="shared" si="30"/>
        <v>OK</v>
      </c>
      <c r="P213" t="s">
        <v>54</v>
      </c>
      <c r="Q213" t="s">
        <v>54</v>
      </c>
      <c r="R213" t="s">
        <v>51</v>
      </c>
      <c r="S213" t="s">
        <v>66</v>
      </c>
      <c r="T213" s="1">
        <v>25192618.399999999</v>
      </c>
      <c r="U213" s="1">
        <v>11288912.58</v>
      </c>
      <c r="V213" s="13" t="str">
        <f t="shared" si="31"/>
        <v>OK</v>
      </c>
      <c r="W213" s="1">
        <v>71331647.739999995</v>
      </c>
      <c r="X213" s="1">
        <v>20877.18</v>
      </c>
      <c r="Y213" t="s">
        <v>51</v>
      </c>
      <c r="Z213">
        <v>346137.05</v>
      </c>
      <c r="AA213">
        <v>0</v>
      </c>
      <c r="AB213">
        <v>14615.8</v>
      </c>
      <c r="AC213">
        <v>-46139029.340000004</v>
      </c>
      <c r="AD213" s="13" t="str">
        <f t="shared" si="32"/>
        <v>OK</v>
      </c>
      <c r="AE213">
        <v>-82709470.349999994</v>
      </c>
      <c r="AF213">
        <v>0</v>
      </c>
      <c r="AG213">
        <v>0</v>
      </c>
      <c r="AH213">
        <v>0</v>
      </c>
      <c r="AI213">
        <v>0</v>
      </c>
      <c r="AJ213" s="13" t="str">
        <f t="shared" si="33"/>
        <v>OK</v>
      </c>
      <c r="AK213">
        <v>0</v>
      </c>
      <c r="AL213">
        <v>0</v>
      </c>
      <c r="AM213">
        <v>0</v>
      </c>
      <c r="AN213">
        <v>0</v>
      </c>
      <c r="AO213">
        <v>526313</v>
      </c>
      <c r="AP213">
        <v>526313</v>
      </c>
      <c r="AQ213" s="15">
        <f t="shared" si="34"/>
        <v>0</v>
      </c>
      <c r="AR213">
        <v>16872235.780000001</v>
      </c>
      <c r="AS213">
        <v>16872235.780000001</v>
      </c>
      <c r="AT213">
        <v>0</v>
      </c>
      <c r="AU213">
        <v>0</v>
      </c>
      <c r="AV213" s="16">
        <f t="shared" si="35"/>
        <v>0</v>
      </c>
      <c r="AW213" s="13" t="str">
        <f t="shared" si="36"/>
        <v>NÃO</v>
      </c>
      <c r="AX213" s="13" t="str">
        <f t="shared" si="37"/>
        <v>OK</v>
      </c>
      <c r="AY213" s="13" t="str">
        <f t="shared" si="38"/>
        <v>OK</v>
      </c>
      <c r="AZ213">
        <f t="shared" si="39"/>
        <v>55.784457504992361</v>
      </c>
    </row>
    <row r="214" spans="2:52" x14ac:dyDescent="0.3">
      <c r="B214" t="s">
        <v>966</v>
      </c>
      <c r="C214" t="s">
        <v>984</v>
      </c>
      <c r="D214" t="s">
        <v>985</v>
      </c>
      <c r="E214" t="s">
        <v>986</v>
      </c>
      <c r="F214" t="s">
        <v>46</v>
      </c>
      <c r="G214" t="s">
        <v>65</v>
      </c>
      <c r="H214" t="s">
        <v>60</v>
      </c>
      <c r="I214" t="s">
        <v>49</v>
      </c>
      <c r="J214" t="s">
        <v>50</v>
      </c>
      <c r="K214" t="s">
        <v>51</v>
      </c>
      <c r="L214" t="s">
        <v>51</v>
      </c>
      <c r="M214" t="s">
        <v>52</v>
      </c>
      <c r="N214" t="s">
        <v>635</v>
      </c>
      <c r="O214" s="11" t="str">
        <f t="shared" si="30"/>
        <v>OK</v>
      </c>
      <c r="P214" t="s">
        <v>54</v>
      </c>
      <c r="Q214" t="s">
        <v>54</v>
      </c>
      <c r="R214" t="s">
        <v>54</v>
      </c>
      <c r="S214" t="s">
        <v>66</v>
      </c>
      <c r="T214" s="1">
        <v>3565427.67</v>
      </c>
      <c r="U214" s="1">
        <v>11321077.119999999</v>
      </c>
      <c r="V214" s="13" t="str">
        <f t="shared" si="31"/>
        <v>OK</v>
      </c>
      <c r="W214" s="1">
        <v>22242817.120000001</v>
      </c>
      <c r="X214" s="1">
        <v>10921740</v>
      </c>
      <c r="Y214" t="s">
        <v>51</v>
      </c>
      <c r="Z214">
        <v>296898</v>
      </c>
      <c r="AA214">
        <v>0</v>
      </c>
      <c r="AB214">
        <v>185428.47</v>
      </c>
      <c r="AC214">
        <v>492800.5</v>
      </c>
      <c r="AD214" s="13" t="str">
        <f t="shared" si="32"/>
        <v>OK</v>
      </c>
      <c r="AE214">
        <v>47238243.109999999</v>
      </c>
      <c r="AF214">
        <v>0</v>
      </c>
      <c r="AG214">
        <v>0</v>
      </c>
      <c r="AH214">
        <v>14213633</v>
      </c>
      <c r="AI214">
        <v>12344636.779999999</v>
      </c>
      <c r="AJ214" s="13" t="str">
        <f t="shared" si="33"/>
        <v>OK</v>
      </c>
      <c r="AK214">
        <v>254689.99</v>
      </c>
      <c r="AL214" s="14">
        <v>63672.46</v>
      </c>
      <c r="AM214">
        <v>0</v>
      </c>
      <c r="AN214">
        <v>0</v>
      </c>
      <c r="AO214">
        <v>194429609</v>
      </c>
      <c r="AP214">
        <v>194429609</v>
      </c>
      <c r="AQ214" s="15">
        <f t="shared" si="34"/>
        <v>0</v>
      </c>
      <c r="AR214">
        <v>32114375.34</v>
      </c>
      <c r="AS214">
        <v>32114375.34</v>
      </c>
      <c r="AT214">
        <v>0</v>
      </c>
      <c r="AU214">
        <v>0</v>
      </c>
      <c r="AV214" s="16">
        <f t="shared" si="35"/>
        <v>0</v>
      </c>
      <c r="AW214" s="13" t="str">
        <f t="shared" si="36"/>
        <v>NÃO</v>
      </c>
      <c r="AX214" s="13" t="str">
        <f t="shared" si="37"/>
        <v>OK</v>
      </c>
      <c r="AY214" s="13" t="str">
        <f t="shared" si="38"/>
        <v>OK</v>
      </c>
      <c r="AZ214">
        <f t="shared" si="39"/>
        <v>1.0432235992614163</v>
      </c>
    </row>
    <row r="215" spans="2:52" x14ac:dyDescent="0.3">
      <c r="B215" t="s">
        <v>966</v>
      </c>
      <c r="C215" t="s">
        <v>987</v>
      </c>
      <c r="D215" t="s">
        <v>988</v>
      </c>
      <c r="E215" t="s">
        <v>989</v>
      </c>
      <c r="F215" t="s">
        <v>70</v>
      </c>
      <c r="G215" t="s">
        <v>240</v>
      </c>
      <c r="H215" t="s">
        <v>60</v>
      </c>
      <c r="I215" t="s">
        <v>49</v>
      </c>
      <c r="J215" t="s">
        <v>50</v>
      </c>
      <c r="K215" t="s">
        <v>51</v>
      </c>
      <c r="L215" t="s">
        <v>51</v>
      </c>
      <c r="M215" t="s">
        <v>52</v>
      </c>
      <c r="N215" t="s">
        <v>129</v>
      </c>
      <c r="O215" s="11" t="str">
        <f t="shared" si="30"/>
        <v>OK</v>
      </c>
      <c r="P215" t="s">
        <v>51</v>
      </c>
      <c r="Q215" t="s">
        <v>51</v>
      </c>
      <c r="R215" t="s">
        <v>51</v>
      </c>
      <c r="S215" t="s">
        <v>976</v>
      </c>
      <c r="T215" s="1">
        <v>421417.97</v>
      </c>
      <c r="U215" s="1">
        <v>363057.58</v>
      </c>
      <c r="V215" s="13" t="str">
        <f t="shared" si="31"/>
        <v>OK</v>
      </c>
      <c r="W215" s="1">
        <v>836136.33</v>
      </c>
      <c r="X215" s="1">
        <v>0</v>
      </c>
      <c r="Y215" t="s">
        <v>51</v>
      </c>
      <c r="Z215">
        <v>96000</v>
      </c>
      <c r="AA215">
        <v>0</v>
      </c>
      <c r="AB215">
        <v>0</v>
      </c>
      <c r="AC215">
        <v>10206.59</v>
      </c>
      <c r="AD215" s="13" t="str">
        <f t="shared" si="32"/>
        <v>OK</v>
      </c>
      <c r="AE215">
        <v>-5827145.6900000004</v>
      </c>
      <c r="AF215">
        <v>0</v>
      </c>
      <c r="AG215">
        <v>0</v>
      </c>
      <c r="AH215">
        <v>479938.78</v>
      </c>
      <c r="AI215">
        <v>409967.21</v>
      </c>
      <c r="AJ215" s="13" t="str">
        <f t="shared" si="33"/>
        <v>OK</v>
      </c>
      <c r="AK215">
        <v>2992296.37</v>
      </c>
      <c r="AL215" s="14">
        <v>2992296.37</v>
      </c>
      <c r="AM215">
        <v>0</v>
      </c>
      <c r="AN215">
        <v>0</v>
      </c>
      <c r="AO215">
        <v>71249</v>
      </c>
      <c r="AP215">
        <v>712.49</v>
      </c>
      <c r="AQ215" s="15">
        <f t="shared" si="34"/>
        <v>-70536.509999999995</v>
      </c>
      <c r="AR215">
        <v>70025960.790000007</v>
      </c>
      <c r="AS215">
        <v>70025960.790000007</v>
      </c>
      <c r="AT215">
        <v>0</v>
      </c>
      <c r="AU215">
        <v>0</v>
      </c>
      <c r="AV215" s="16">
        <f t="shared" si="35"/>
        <v>0</v>
      </c>
      <c r="AW215" s="13" t="str">
        <f t="shared" si="36"/>
        <v>NÃO</v>
      </c>
      <c r="AX215" s="13" t="str">
        <f t="shared" si="37"/>
        <v>OK</v>
      </c>
      <c r="AY215" s="13" t="str">
        <f t="shared" si="38"/>
        <v>OK</v>
      </c>
      <c r="AZ215">
        <f t="shared" si="39"/>
        <v>-0.17515590896441099</v>
      </c>
    </row>
    <row r="216" spans="2:52" x14ac:dyDescent="0.3">
      <c r="B216" t="s">
        <v>966</v>
      </c>
      <c r="C216" t="s">
        <v>1039</v>
      </c>
      <c r="D216" t="s">
        <v>1040</v>
      </c>
      <c r="E216" t="s">
        <v>1041</v>
      </c>
      <c r="F216" t="s">
        <v>70</v>
      </c>
      <c r="G216" t="s">
        <v>71</v>
      </c>
      <c r="H216" t="s">
        <v>60</v>
      </c>
      <c r="I216" t="s">
        <v>49</v>
      </c>
      <c r="J216" t="s">
        <v>50</v>
      </c>
      <c r="K216" t="s">
        <v>51</v>
      </c>
      <c r="L216" t="s">
        <v>51</v>
      </c>
      <c r="M216" t="s">
        <v>134</v>
      </c>
      <c r="N216" t="s">
        <v>66</v>
      </c>
      <c r="O216" s="11" t="str">
        <f t="shared" si="30"/>
        <v>OK</v>
      </c>
      <c r="P216" t="s">
        <v>51</v>
      </c>
      <c r="Q216" t="s">
        <v>51</v>
      </c>
      <c r="R216" t="s">
        <v>51</v>
      </c>
      <c r="S216" t="s">
        <v>972</v>
      </c>
      <c r="T216" s="1">
        <v>48288.35</v>
      </c>
      <c r="U216" s="1">
        <v>0</v>
      </c>
      <c r="V216" s="13" t="str">
        <f t="shared" si="31"/>
        <v>OK</v>
      </c>
      <c r="W216" s="1">
        <v>69154.600000000006</v>
      </c>
      <c r="X216" s="1">
        <v>0</v>
      </c>
      <c r="Y216" t="s">
        <v>51</v>
      </c>
      <c r="Z216">
        <v>0</v>
      </c>
      <c r="AA216">
        <v>0</v>
      </c>
      <c r="AB216">
        <v>0</v>
      </c>
      <c r="AC216">
        <v>-20866.25</v>
      </c>
      <c r="AD216" s="13" t="str">
        <f t="shared" si="32"/>
        <v>OK</v>
      </c>
      <c r="AE216">
        <v>719067.5</v>
      </c>
      <c r="AF216">
        <v>0</v>
      </c>
      <c r="AG216">
        <v>0</v>
      </c>
      <c r="AH216">
        <v>0</v>
      </c>
      <c r="AI216">
        <v>0</v>
      </c>
      <c r="AJ216" s="13" t="str">
        <f t="shared" si="33"/>
        <v>OK</v>
      </c>
      <c r="AK216">
        <v>0</v>
      </c>
      <c r="AL216">
        <v>0</v>
      </c>
      <c r="AM216">
        <v>0</v>
      </c>
      <c r="AN216">
        <v>0</v>
      </c>
      <c r="AO216">
        <v>67419895</v>
      </c>
      <c r="AP216">
        <v>674198.95</v>
      </c>
      <c r="AQ216" s="15">
        <f t="shared" si="34"/>
        <v>-66745696.049999997</v>
      </c>
      <c r="AR216">
        <v>11467019.41</v>
      </c>
      <c r="AS216">
        <v>11467019.41</v>
      </c>
      <c r="AT216">
        <v>0</v>
      </c>
      <c r="AU216">
        <v>0</v>
      </c>
      <c r="AV216" s="16">
        <f t="shared" si="35"/>
        <v>0</v>
      </c>
      <c r="AW216" s="13" t="str">
        <f t="shared" si="36"/>
        <v>NÃO</v>
      </c>
      <c r="AX216" s="13" t="str">
        <f t="shared" si="37"/>
        <v>OK</v>
      </c>
      <c r="AY216" s="13" t="str">
        <f t="shared" si="38"/>
        <v>OK</v>
      </c>
      <c r="AZ216">
        <f t="shared" si="39"/>
        <v>-2.9018485747165599</v>
      </c>
    </row>
    <row r="217" spans="2:52" x14ac:dyDescent="0.3">
      <c r="B217" t="s">
        <v>966</v>
      </c>
      <c r="C217" t="s">
        <v>990</v>
      </c>
      <c r="D217" t="s">
        <v>991</v>
      </c>
      <c r="E217" t="s">
        <v>992</v>
      </c>
      <c r="F217" t="s">
        <v>46</v>
      </c>
      <c r="G217" t="s">
        <v>102</v>
      </c>
      <c r="H217" t="s">
        <v>48</v>
      </c>
      <c r="I217" t="s">
        <v>49</v>
      </c>
      <c r="J217" t="s">
        <v>50</v>
      </c>
      <c r="K217" t="s">
        <v>51</v>
      </c>
      <c r="L217" t="s">
        <v>51</v>
      </c>
      <c r="M217" t="s">
        <v>52</v>
      </c>
      <c r="N217" t="s">
        <v>993</v>
      </c>
      <c r="O217" s="11" t="str">
        <f t="shared" si="30"/>
        <v>OK</v>
      </c>
      <c r="P217" t="s">
        <v>54</v>
      </c>
      <c r="Q217" t="s">
        <v>54</v>
      </c>
      <c r="R217" t="s">
        <v>51</v>
      </c>
      <c r="S217" t="s">
        <v>994</v>
      </c>
      <c r="T217" s="1">
        <v>117436.26</v>
      </c>
      <c r="U217" s="1">
        <v>106497407.95999999</v>
      </c>
      <c r="V217" s="13" t="str">
        <f t="shared" si="31"/>
        <v>OK</v>
      </c>
      <c r="W217" s="1">
        <v>325113616.27999997</v>
      </c>
      <c r="X217" s="1">
        <v>1352756.56</v>
      </c>
      <c r="Y217" t="s">
        <v>51</v>
      </c>
      <c r="Z217">
        <v>373000.79</v>
      </c>
      <c r="AA217">
        <v>0</v>
      </c>
      <c r="AB217">
        <v>3493.17</v>
      </c>
      <c r="AC217">
        <v>-256478.42</v>
      </c>
      <c r="AD217" s="13" t="str">
        <f t="shared" si="32"/>
        <v>OK</v>
      </c>
      <c r="AE217">
        <v>-317982.86</v>
      </c>
      <c r="AF217">
        <v>0</v>
      </c>
      <c r="AG217">
        <v>0</v>
      </c>
      <c r="AH217">
        <v>131768902.88</v>
      </c>
      <c r="AI217">
        <v>154974893.5</v>
      </c>
      <c r="AJ217" s="13" t="str">
        <f t="shared" si="33"/>
        <v>OK</v>
      </c>
      <c r="AK217">
        <v>62645626.090000004</v>
      </c>
      <c r="AL217" s="14">
        <v>73963218.349999994</v>
      </c>
      <c r="AM217">
        <v>0</v>
      </c>
      <c r="AN217">
        <v>0</v>
      </c>
      <c r="AO217">
        <v>1307307880</v>
      </c>
      <c r="AP217">
        <v>1307307880</v>
      </c>
      <c r="AQ217" s="15">
        <f t="shared" si="34"/>
        <v>0</v>
      </c>
      <c r="AR217">
        <v>8310646.5499999998</v>
      </c>
      <c r="AS217">
        <v>8310646.5499999998</v>
      </c>
      <c r="AT217">
        <v>0</v>
      </c>
      <c r="AU217">
        <v>0</v>
      </c>
      <c r="AV217" s="16">
        <f t="shared" si="35"/>
        <v>0</v>
      </c>
      <c r="AW217" s="13" t="str">
        <f t="shared" si="36"/>
        <v>NÃO</v>
      </c>
      <c r="AX217" s="13" t="str">
        <f t="shared" si="37"/>
        <v>OK</v>
      </c>
      <c r="AY217" s="13" t="str">
        <f t="shared" si="38"/>
        <v>OK</v>
      </c>
      <c r="AZ217">
        <f t="shared" si="39"/>
        <v>80.657938607131214</v>
      </c>
    </row>
    <row r="218" spans="2:52" x14ac:dyDescent="0.3">
      <c r="B218" t="s">
        <v>966</v>
      </c>
      <c r="C218" t="s">
        <v>995</v>
      </c>
      <c r="D218" t="s">
        <v>996</v>
      </c>
      <c r="E218" t="s">
        <v>997</v>
      </c>
      <c r="F218" t="s">
        <v>46</v>
      </c>
      <c r="G218" t="s">
        <v>93</v>
      </c>
      <c r="H218" t="s">
        <v>48</v>
      </c>
      <c r="I218" t="s">
        <v>49</v>
      </c>
      <c r="J218" t="s">
        <v>50</v>
      </c>
      <c r="K218" t="s">
        <v>51</v>
      </c>
      <c r="L218" t="s">
        <v>51</v>
      </c>
      <c r="M218" t="s">
        <v>52</v>
      </c>
      <c r="N218" t="s">
        <v>998</v>
      </c>
      <c r="O218" s="11" t="str">
        <f t="shared" si="30"/>
        <v>OK</v>
      </c>
      <c r="P218" t="s">
        <v>54</v>
      </c>
      <c r="Q218" t="s">
        <v>54</v>
      </c>
      <c r="R218" t="s">
        <v>51</v>
      </c>
      <c r="S218" t="s">
        <v>972</v>
      </c>
      <c r="T218" s="1">
        <v>190082.08</v>
      </c>
      <c r="U218" s="1">
        <v>50687611.520000003</v>
      </c>
      <c r="V218" s="13" t="str">
        <f t="shared" si="31"/>
        <v>OK</v>
      </c>
      <c r="W218" s="1">
        <v>50687611.520000003</v>
      </c>
      <c r="X218" s="1">
        <v>0</v>
      </c>
      <c r="Y218" t="s">
        <v>51</v>
      </c>
      <c r="Z218">
        <v>423756.29</v>
      </c>
      <c r="AA218">
        <v>0</v>
      </c>
      <c r="AB218">
        <v>7835.43</v>
      </c>
      <c r="AC218">
        <v>-20605.22</v>
      </c>
      <c r="AD218" s="13" t="str">
        <f t="shared" si="32"/>
        <v>OK</v>
      </c>
      <c r="AE218">
        <v>-57911524.619999997</v>
      </c>
      <c r="AF218">
        <v>0</v>
      </c>
      <c r="AG218">
        <v>0</v>
      </c>
      <c r="AH218">
        <v>0</v>
      </c>
      <c r="AI218">
        <v>0</v>
      </c>
      <c r="AJ218" s="13" t="str">
        <f t="shared" si="33"/>
        <v>OK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 s="15">
        <f t="shared" si="34"/>
        <v>0</v>
      </c>
      <c r="AR218">
        <v>2478567.69</v>
      </c>
      <c r="AS218">
        <v>2478567.69</v>
      </c>
      <c r="AT218">
        <v>0</v>
      </c>
      <c r="AU218">
        <v>0</v>
      </c>
      <c r="AV218" s="16">
        <f t="shared" si="35"/>
        <v>0</v>
      </c>
      <c r="AW218" s="13" t="str">
        <f t="shared" si="36"/>
        <v>NÃO</v>
      </c>
      <c r="AX218" s="13" t="str">
        <f t="shared" si="37"/>
        <v>OK</v>
      </c>
      <c r="AY218" s="13" t="str">
        <f t="shared" si="38"/>
        <v>OK</v>
      </c>
      <c r="AZ218">
        <f t="shared" si="39"/>
        <v>3.5580517237641329E-2</v>
      </c>
    </row>
    <row r="219" spans="2:52" x14ac:dyDescent="0.3">
      <c r="B219" t="s">
        <v>966</v>
      </c>
      <c r="C219" t="s">
        <v>999</v>
      </c>
      <c r="D219" t="s">
        <v>1000</v>
      </c>
      <c r="E219" t="s">
        <v>1001</v>
      </c>
      <c r="F219" t="s">
        <v>70</v>
      </c>
      <c r="G219" t="s">
        <v>240</v>
      </c>
      <c r="H219" t="s">
        <v>48</v>
      </c>
      <c r="I219" t="s">
        <v>49</v>
      </c>
      <c r="J219" t="s">
        <v>50</v>
      </c>
      <c r="K219" t="s">
        <v>51</v>
      </c>
      <c r="L219" t="s">
        <v>51</v>
      </c>
      <c r="M219" t="s">
        <v>52</v>
      </c>
      <c r="N219" t="s">
        <v>129</v>
      </c>
      <c r="O219" s="11" t="str">
        <f t="shared" si="30"/>
        <v>OK</v>
      </c>
      <c r="P219" t="s">
        <v>51</v>
      </c>
      <c r="Q219" t="s">
        <v>51</v>
      </c>
      <c r="R219" t="s">
        <v>51</v>
      </c>
      <c r="S219" t="s">
        <v>55</v>
      </c>
      <c r="T219" s="1">
        <v>3405335.61</v>
      </c>
      <c r="U219" s="1">
        <v>420931.44</v>
      </c>
      <c r="V219" s="13" t="str">
        <f t="shared" si="31"/>
        <v>OK</v>
      </c>
      <c r="W219" s="1">
        <v>6857475.4400000004</v>
      </c>
      <c r="X219" s="1">
        <v>6436544</v>
      </c>
      <c r="Y219" t="s">
        <v>51</v>
      </c>
      <c r="Z219">
        <v>0</v>
      </c>
      <c r="AA219">
        <v>0</v>
      </c>
      <c r="AB219">
        <v>0</v>
      </c>
      <c r="AC219">
        <v>-158849929.86000001</v>
      </c>
      <c r="AD219" s="13" t="str">
        <f t="shared" si="32"/>
        <v>OK</v>
      </c>
      <c r="AE219">
        <v>-1377672894.5899999</v>
      </c>
      <c r="AF219">
        <v>0</v>
      </c>
      <c r="AG219">
        <v>0</v>
      </c>
      <c r="AH219">
        <v>3144093.62</v>
      </c>
      <c r="AI219">
        <v>3405335.61</v>
      </c>
      <c r="AJ219" s="13" t="str">
        <f t="shared" si="33"/>
        <v>OK</v>
      </c>
      <c r="AK219">
        <v>0</v>
      </c>
      <c r="AL219" s="14">
        <v>0</v>
      </c>
      <c r="AM219">
        <v>0</v>
      </c>
      <c r="AN219">
        <v>0</v>
      </c>
      <c r="AO219">
        <v>72884768814</v>
      </c>
      <c r="AP219">
        <v>72884769814</v>
      </c>
      <c r="AQ219" s="15">
        <f t="shared" si="34"/>
        <v>1000</v>
      </c>
      <c r="AR219">
        <v>9430415.9800000004</v>
      </c>
      <c r="AS219">
        <v>9430415.9800000004</v>
      </c>
      <c r="AT219">
        <v>0</v>
      </c>
      <c r="AU219">
        <v>0</v>
      </c>
      <c r="AV219" s="16">
        <f t="shared" si="35"/>
        <v>0</v>
      </c>
      <c r="AW219" s="13" t="str">
        <f t="shared" si="36"/>
        <v>SIM</v>
      </c>
      <c r="AX219" s="13" t="str">
        <f t="shared" si="37"/>
        <v>OK</v>
      </c>
      <c r="AY219" s="13" t="str">
        <f t="shared" si="38"/>
        <v>OK</v>
      </c>
      <c r="AZ219">
        <f t="shared" si="39"/>
        <v>11.530308136553293</v>
      </c>
    </row>
    <row r="220" spans="2:52" x14ac:dyDescent="0.3">
      <c r="B220" t="s">
        <v>966</v>
      </c>
      <c r="C220" t="s">
        <v>1042</v>
      </c>
      <c r="D220" t="s">
        <v>1043</v>
      </c>
      <c r="E220" t="s">
        <v>1044</v>
      </c>
      <c r="F220" t="s">
        <v>46</v>
      </c>
      <c r="G220" t="s">
        <v>150</v>
      </c>
      <c r="H220" t="s">
        <v>48</v>
      </c>
      <c r="I220" t="s">
        <v>76</v>
      </c>
      <c r="J220" t="s">
        <v>50</v>
      </c>
      <c r="K220" t="s">
        <v>51</v>
      </c>
      <c r="L220" t="s">
        <v>51</v>
      </c>
      <c r="M220" t="s">
        <v>134</v>
      </c>
      <c r="N220" t="s">
        <v>1045</v>
      </c>
      <c r="O220" s="11" t="str">
        <f t="shared" si="30"/>
        <v>OK</v>
      </c>
      <c r="P220" t="s">
        <v>54</v>
      </c>
      <c r="Q220" t="s">
        <v>54</v>
      </c>
      <c r="R220" t="s">
        <v>54</v>
      </c>
      <c r="S220" t="s">
        <v>55</v>
      </c>
      <c r="T220" s="1">
        <v>19849043.579999998</v>
      </c>
      <c r="U220" s="1">
        <v>19615380.280000001</v>
      </c>
      <c r="V220" s="13" t="str">
        <f t="shared" si="31"/>
        <v>OK</v>
      </c>
      <c r="W220" s="1">
        <v>29428238.149999999</v>
      </c>
      <c r="X220" s="1">
        <v>0</v>
      </c>
      <c r="Y220" t="s">
        <v>51</v>
      </c>
      <c r="Z220">
        <v>0</v>
      </c>
      <c r="AA220">
        <v>0</v>
      </c>
      <c r="AB220">
        <v>0</v>
      </c>
      <c r="AC220">
        <v>-18820792.239999998</v>
      </c>
      <c r="AD220" s="13" t="str">
        <f t="shared" si="32"/>
        <v>OK</v>
      </c>
      <c r="AE220">
        <v>64381169.649999999</v>
      </c>
      <c r="AF220">
        <v>0</v>
      </c>
      <c r="AG220">
        <v>0</v>
      </c>
      <c r="AH220">
        <v>0</v>
      </c>
      <c r="AI220">
        <v>0</v>
      </c>
      <c r="AJ220" s="13" t="str">
        <f t="shared" si="33"/>
        <v>OK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s="15">
        <f t="shared" si="34"/>
        <v>0</v>
      </c>
      <c r="AR220">
        <v>99385118.920000002</v>
      </c>
      <c r="AS220">
        <v>99385118.920000002</v>
      </c>
      <c r="AT220">
        <v>0</v>
      </c>
      <c r="AU220">
        <v>0</v>
      </c>
      <c r="AV220" s="16">
        <f t="shared" si="35"/>
        <v>0</v>
      </c>
      <c r="AW220" s="13" t="str">
        <f t="shared" si="36"/>
        <v>NÃO</v>
      </c>
      <c r="AX220" s="13" t="str">
        <f t="shared" si="37"/>
        <v>OK</v>
      </c>
      <c r="AY220" s="13" t="str">
        <f t="shared" si="38"/>
        <v>OK</v>
      </c>
      <c r="AZ220">
        <f t="shared" si="39"/>
        <v>-29.233380415914823</v>
      </c>
    </row>
    <row r="221" spans="2:52" x14ac:dyDescent="0.3">
      <c r="B221" t="s">
        <v>966</v>
      </c>
      <c r="C221" t="s">
        <v>1002</v>
      </c>
      <c r="D221" t="s">
        <v>1003</v>
      </c>
      <c r="E221" t="s">
        <v>1004</v>
      </c>
      <c r="F221" t="s">
        <v>46</v>
      </c>
      <c r="G221" t="s">
        <v>121</v>
      </c>
      <c r="H221" t="s">
        <v>60</v>
      </c>
      <c r="I221" t="s">
        <v>49</v>
      </c>
      <c r="J221" t="s">
        <v>373</v>
      </c>
      <c r="K221" t="s">
        <v>51</v>
      </c>
      <c r="L221" t="s">
        <v>51</v>
      </c>
      <c r="M221" t="s">
        <v>52</v>
      </c>
      <c r="N221" t="s">
        <v>1005</v>
      </c>
      <c r="O221" s="11" t="str">
        <f t="shared" si="30"/>
        <v>OK</v>
      </c>
      <c r="P221" t="s">
        <v>54</v>
      </c>
      <c r="Q221" t="s">
        <v>54</v>
      </c>
      <c r="R221" t="s">
        <v>51</v>
      </c>
      <c r="S221" t="s">
        <v>66</v>
      </c>
      <c r="T221" s="1">
        <v>0</v>
      </c>
      <c r="U221" s="1">
        <v>52861102.710000001</v>
      </c>
      <c r="V221" s="13" t="str">
        <f t="shared" si="31"/>
        <v>OK</v>
      </c>
      <c r="W221" s="1">
        <v>95956783.140000001</v>
      </c>
      <c r="X221" s="1">
        <v>3270932.2</v>
      </c>
      <c r="Y221" t="s">
        <v>51</v>
      </c>
      <c r="Z221">
        <v>218051.86</v>
      </c>
      <c r="AA221">
        <v>0</v>
      </c>
      <c r="AB221">
        <v>0</v>
      </c>
      <c r="AC221">
        <v>-6699565.6500000004</v>
      </c>
      <c r="AD221" s="13" t="str">
        <f t="shared" si="32"/>
        <v>OK</v>
      </c>
      <c r="AE221">
        <v>10426134.890000001</v>
      </c>
      <c r="AF221">
        <v>0</v>
      </c>
      <c r="AG221">
        <v>0</v>
      </c>
      <c r="AH221">
        <v>92913731.140000001</v>
      </c>
      <c r="AI221">
        <v>93252262.590000004</v>
      </c>
      <c r="AJ221" s="13" t="str">
        <f t="shared" si="33"/>
        <v>OK</v>
      </c>
      <c r="AK221">
        <v>744686.26</v>
      </c>
      <c r="AL221" s="14">
        <v>744686.26</v>
      </c>
      <c r="AM221">
        <v>0</v>
      </c>
      <c r="AN221">
        <v>0</v>
      </c>
      <c r="AO221">
        <v>199200</v>
      </c>
      <c r="AP221">
        <v>199200</v>
      </c>
      <c r="AQ221" s="15">
        <f t="shared" si="34"/>
        <v>0</v>
      </c>
      <c r="AR221">
        <v>15960044.109999999</v>
      </c>
      <c r="AS221">
        <v>15960044.109999999</v>
      </c>
      <c r="AT221">
        <v>0</v>
      </c>
      <c r="AU221">
        <v>0</v>
      </c>
      <c r="AV221" s="16">
        <f t="shared" si="35"/>
        <v>0</v>
      </c>
      <c r="AW221" s="13" t="str">
        <f t="shared" si="36"/>
        <v>NÃO</v>
      </c>
      <c r="AX221" s="13" t="str">
        <f t="shared" si="37"/>
        <v>OK</v>
      </c>
      <c r="AY221" s="13" t="str">
        <f t="shared" si="38"/>
        <v>OK</v>
      </c>
      <c r="AZ221">
        <f t="shared" si="39"/>
        <v>-64.257423490902099</v>
      </c>
    </row>
    <row r="222" spans="2:52" x14ac:dyDescent="0.3">
      <c r="B222" t="s">
        <v>966</v>
      </c>
      <c r="C222" t="s">
        <v>1006</v>
      </c>
      <c r="D222" t="s">
        <v>1007</v>
      </c>
      <c r="E222" t="s">
        <v>1008</v>
      </c>
      <c r="F222" t="s">
        <v>70</v>
      </c>
      <c r="G222" t="s">
        <v>240</v>
      </c>
      <c r="H222" t="s">
        <v>60</v>
      </c>
      <c r="I222" t="s">
        <v>49</v>
      </c>
      <c r="J222" t="s">
        <v>50</v>
      </c>
      <c r="K222" t="s">
        <v>51</v>
      </c>
      <c r="L222" t="s">
        <v>51</v>
      </c>
      <c r="M222" t="s">
        <v>52</v>
      </c>
      <c r="N222" t="s">
        <v>66</v>
      </c>
      <c r="O222" s="11" t="str">
        <f t="shared" si="30"/>
        <v>OK</v>
      </c>
      <c r="P222" t="s">
        <v>51</v>
      </c>
      <c r="Q222" t="s">
        <v>51</v>
      </c>
      <c r="R222" t="s">
        <v>51</v>
      </c>
      <c r="S222" t="s">
        <v>55</v>
      </c>
      <c r="T222" s="1">
        <v>20322.36</v>
      </c>
      <c r="U222" s="1">
        <v>0</v>
      </c>
      <c r="V222" s="13" t="str">
        <f t="shared" si="31"/>
        <v>OK</v>
      </c>
      <c r="W222" s="1">
        <v>30000</v>
      </c>
      <c r="X222" s="1">
        <v>30000</v>
      </c>
      <c r="Y222" t="s">
        <v>51</v>
      </c>
      <c r="Z222">
        <v>0</v>
      </c>
      <c r="AA222">
        <v>0</v>
      </c>
      <c r="AB222">
        <v>0</v>
      </c>
      <c r="AC222">
        <v>-144237772.69999999</v>
      </c>
      <c r="AD222" s="13" t="str">
        <f t="shared" si="32"/>
        <v>OK</v>
      </c>
      <c r="AE222">
        <v>-811391180.75</v>
      </c>
      <c r="AF222">
        <v>0</v>
      </c>
      <c r="AG222">
        <v>0</v>
      </c>
      <c r="AH222">
        <v>14851.29</v>
      </c>
      <c r="AI222">
        <v>20322.36</v>
      </c>
      <c r="AJ222" s="13" t="str">
        <f t="shared" si="33"/>
        <v>OK</v>
      </c>
      <c r="AK222">
        <v>0</v>
      </c>
      <c r="AL222" s="14">
        <v>0</v>
      </c>
      <c r="AM222">
        <v>0</v>
      </c>
      <c r="AN222">
        <v>0</v>
      </c>
      <c r="AO222">
        <v>9818650394</v>
      </c>
      <c r="AP222">
        <v>9818650394</v>
      </c>
      <c r="AQ222" s="15">
        <f t="shared" si="34"/>
        <v>0</v>
      </c>
      <c r="AR222">
        <v>4128123850.7399998</v>
      </c>
      <c r="AS222">
        <v>4128123850.7399998</v>
      </c>
      <c r="AT222">
        <v>0</v>
      </c>
      <c r="AU222">
        <v>0</v>
      </c>
      <c r="AV222" s="16">
        <f t="shared" si="35"/>
        <v>0</v>
      </c>
      <c r="AW222" s="13" t="str">
        <f t="shared" si="36"/>
        <v>NÃO</v>
      </c>
      <c r="AX222" s="13" t="str">
        <f t="shared" si="37"/>
        <v>OK</v>
      </c>
      <c r="AY222" s="13" t="str">
        <f t="shared" si="38"/>
        <v>OK</v>
      </c>
      <c r="AZ222">
        <f t="shared" si="39"/>
        <v>17.776600993700164</v>
      </c>
    </row>
    <row r="223" spans="2:52" x14ac:dyDescent="0.3">
      <c r="B223" t="s">
        <v>966</v>
      </c>
      <c r="C223" t="s">
        <v>1009</v>
      </c>
      <c r="D223" t="s">
        <v>1010</v>
      </c>
      <c r="E223" t="s">
        <v>1011</v>
      </c>
      <c r="F223" t="s">
        <v>46</v>
      </c>
      <c r="G223" t="s">
        <v>102</v>
      </c>
      <c r="H223" t="s">
        <v>48</v>
      </c>
      <c r="I223" t="s">
        <v>49</v>
      </c>
      <c r="J223" t="s">
        <v>50</v>
      </c>
      <c r="K223" t="s">
        <v>51</v>
      </c>
      <c r="L223" t="s">
        <v>51</v>
      </c>
      <c r="M223" t="s">
        <v>52</v>
      </c>
      <c r="N223" t="s">
        <v>1012</v>
      </c>
      <c r="O223" s="11" t="str">
        <f t="shared" si="30"/>
        <v>OK</v>
      </c>
      <c r="P223" t="s">
        <v>54</v>
      </c>
      <c r="Q223" t="s">
        <v>54</v>
      </c>
      <c r="R223" t="s">
        <v>51</v>
      </c>
      <c r="S223" t="s">
        <v>66</v>
      </c>
      <c r="T223" s="1">
        <v>0</v>
      </c>
      <c r="U223" s="1">
        <v>39507361.100000001</v>
      </c>
      <c r="V223" s="13" t="str">
        <f t="shared" si="31"/>
        <v>OK</v>
      </c>
      <c r="W223" s="1">
        <v>73119761.590000004</v>
      </c>
      <c r="X223" s="1">
        <v>3340033.33</v>
      </c>
      <c r="Y223" t="s">
        <v>51</v>
      </c>
      <c r="Z223">
        <v>341285.51</v>
      </c>
      <c r="AA223">
        <v>0</v>
      </c>
      <c r="AB223">
        <v>0</v>
      </c>
      <c r="AC223">
        <v>0</v>
      </c>
      <c r="AD223" s="13" t="str">
        <f t="shared" si="32"/>
        <v>OK</v>
      </c>
      <c r="AE223">
        <v>8769758.0399999991</v>
      </c>
      <c r="AF223">
        <v>0</v>
      </c>
      <c r="AG223">
        <v>0</v>
      </c>
      <c r="AH223">
        <v>69922726000</v>
      </c>
      <c r="AI223">
        <v>59778621</v>
      </c>
      <c r="AJ223" s="13" t="str">
        <f t="shared" si="33"/>
        <v>OK</v>
      </c>
      <c r="AK223">
        <v>0</v>
      </c>
      <c r="AL223" s="14">
        <v>0</v>
      </c>
      <c r="AM223">
        <v>0</v>
      </c>
      <c r="AN223">
        <v>0</v>
      </c>
      <c r="AO223">
        <v>0</v>
      </c>
      <c r="AP223">
        <v>0</v>
      </c>
      <c r="AQ223" s="15">
        <f t="shared" si="34"/>
        <v>0</v>
      </c>
      <c r="AR223">
        <v>811974.32</v>
      </c>
      <c r="AS223">
        <v>811974.32</v>
      </c>
      <c r="AT223">
        <v>0</v>
      </c>
      <c r="AU223">
        <v>0</v>
      </c>
      <c r="AV223" s="16">
        <f t="shared" si="35"/>
        <v>0</v>
      </c>
      <c r="AW223" s="13" t="str">
        <f t="shared" si="36"/>
        <v>NÃO</v>
      </c>
      <c r="AX223" s="13" t="str">
        <f t="shared" si="37"/>
        <v>OK</v>
      </c>
      <c r="AY223" s="13" t="str">
        <f t="shared" si="38"/>
        <v>OK</v>
      </c>
      <c r="AZ223">
        <f t="shared" si="39"/>
        <v>0</v>
      </c>
    </row>
    <row r="224" spans="2:52" x14ac:dyDescent="0.3">
      <c r="B224" t="s">
        <v>966</v>
      </c>
      <c r="C224" t="s">
        <v>1013</v>
      </c>
      <c r="D224" t="s">
        <v>1014</v>
      </c>
      <c r="E224" t="s">
        <v>1015</v>
      </c>
      <c r="F224" t="s">
        <v>46</v>
      </c>
      <c r="G224" t="s">
        <v>240</v>
      </c>
      <c r="H224" t="s">
        <v>60</v>
      </c>
      <c r="I224" t="s">
        <v>49</v>
      </c>
      <c r="J224" t="s">
        <v>50</v>
      </c>
      <c r="K224" t="s">
        <v>51</v>
      </c>
      <c r="L224" t="s">
        <v>54</v>
      </c>
      <c r="M224" t="s">
        <v>52</v>
      </c>
      <c r="N224" t="s">
        <v>1016</v>
      </c>
      <c r="O224" s="11" t="str">
        <f t="shared" si="30"/>
        <v>OK</v>
      </c>
      <c r="P224" t="s">
        <v>54</v>
      </c>
      <c r="Q224" t="s">
        <v>54</v>
      </c>
      <c r="R224" t="s">
        <v>54</v>
      </c>
      <c r="S224" t="s">
        <v>1017</v>
      </c>
      <c r="T224" s="1">
        <v>121351000</v>
      </c>
      <c r="U224" s="1">
        <v>1272508.76</v>
      </c>
      <c r="V224" s="13" t="str">
        <f t="shared" si="31"/>
        <v>OK</v>
      </c>
      <c r="W224" s="1">
        <v>110346377.89</v>
      </c>
      <c r="X224" s="1">
        <v>0</v>
      </c>
      <c r="Y224" t="s">
        <v>51</v>
      </c>
      <c r="Z224">
        <v>283790.28999999998</v>
      </c>
      <c r="AA224">
        <v>0</v>
      </c>
      <c r="AB224">
        <v>882707.9</v>
      </c>
      <c r="AC224">
        <v>-7474347</v>
      </c>
      <c r="AD224" s="13" t="str">
        <f t="shared" si="32"/>
        <v>OK</v>
      </c>
      <c r="AE224">
        <v>79205000</v>
      </c>
      <c r="AF224">
        <v>0</v>
      </c>
      <c r="AG224">
        <v>0</v>
      </c>
      <c r="AH224">
        <v>69793000</v>
      </c>
      <c r="AI224">
        <v>117452000</v>
      </c>
      <c r="AJ224" s="13" t="str">
        <f t="shared" si="33"/>
        <v>OK</v>
      </c>
      <c r="AK224">
        <v>0</v>
      </c>
      <c r="AL224" s="14">
        <v>0</v>
      </c>
      <c r="AM224">
        <v>0</v>
      </c>
      <c r="AN224">
        <v>0</v>
      </c>
      <c r="AO224">
        <v>9818650394</v>
      </c>
      <c r="AP224">
        <v>9818650394</v>
      </c>
      <c r="AQ224" s="15">
        <f t="shared" si="34"/>
        <v>0</v>
      </c>
      <c r="AR224">
        <v>5653397155.3599997</v>
      </c>
      <c r="AS224">
        <v>5653397155.3599997</v>
      </c>
      <c r="AT224">
        <v>0</v>
      </c>
      <c r="AU224">
        <v>0</v>
      </c>
      <c r="AV224" s="16">
        <f t="shared" si="35"/>
        <v>0</v>
      </c>
      <c r="AW224" s="13" t="str">
        <f t="shared" si="36"/>
        <v>NÃO</v>
      </c>
      <c r="AX224" s="13" t="str">
        <f t="shared" si="37"/>
        <v>OK</v>
      </c>
      <c r="AY224" s="13" t="str">
        <f t="shared" si="38"/>
        <v>OK</v>
      </c>
      <c r="AZ224">
        <f t="shared" si="39"/>
        <v>-9.4367110662205675</v>
      </c>
    </row>
    <row r="225" spans="2:52" x14ac:dyDescent="0.3">
      <c r="B225" t="s">
        <v>966</v>
      </c>
      <c r="C225" t="s">
        <v>1018</v>
      </c>
      <c r="D225" t="s">
        <v>1019</v>
      </c>
      <c r="E225" t="s">
        <v>1020</v>
      </c>
      <c r="F225" t="s">
        <v>46</v>
      </c>
      <c r="G225" t="s">
        <v>162</v>
      </c>
      <c r="H225" t="s">
        <v>48</v>
      </c>
      <c r="I225" t="s">
        <v>76</v>
      </c>
      <c r="J225" t="s">
        <v>50</v>
      </c>
      <c r="K225" t="s">
        <v>51</v>
      </c>
      <c r="L225" t="s">
        <v>51</v>
      </c>
      <c r="M225" t="s">
        <v>52</v>
      </c>
      <c r="N225" t="s">
        <v>94</v>
      </c>
      <c r="O225" s="11" t="str">
        <f t="shared" si="30"/>
        <v>OK</v>
      </c>
      <c r="P225" t="s">
        <v>54</v>
      </c>
      <c r="Q225" t="s">
        <v>54</v>
      </c>
      <c r="R225" t="s">
        <v>51</v>
      </c>
      <c r="S225" t="s">
        <v>976</v>
      </c>
      <c r="T225" s="1">
        <v>7576.54</v>
      </c>
      <c r="U225" s="1">
        <v>7282708.46</v>
      </c>
      <c r="V225" s="13" t="str">
        <f t="shared" si="31"/>
        <v>OK</v>
      </c>
      <c r="W225" s="1">
        <v>11024438.029999999</v>
      </c>
      <c r="X225" s="1">
        <v>0</v>
      </c>
      <c r="Y225" t="s">
        <v>51</v>
      </c>
      <c r="Z225">
        <v>247837.62</v>
      </c>
      <c r="AA225">
        <v>0</v>
      </c>
      <c r="AB225">
        <v>5692.5</v>
      </c>
      <c r="AC225">
        <v>1993742.53</v>
      </c>
      <c r="AD225" s="13" t="str">
        <f t="shared" si="32"/>
        <v>OK</v>
      </c>
      <c r="AE225">
        <v>2820166.8</v>
      </c>
      <c r="AF225">
        <v>0</v>
      </c>
      <c r="AG225">
        <v>0</v>
      </c>
      <c r="AH225">
        <v>0</v>
      </c>
      <c r="AI225">
        <v>0</v>
      </c>
      <c r="AJ225" s="13" t="str">
        <f t="shared" si="33"/>
        <v>OK</v>
      </c>
      <c r="AK225">
        <v>0</v>
      </c>
      <c r="AL225">
        <v>0</v>
      </c>
      <c r="AM225">
        <v>0</v>
      </c>
      <c r="AN225">
        <v>0</v>
      </c>
      <c r="AO225">
        <v>16465899250</v>
      </c>
      <c r="AP225">
        <v>164658992.5</v>
      </c>
      <c r="AQ225" s="15">
        <f t="shared" si="34"/>
        <v>-16301240257.5</v>
      </c>
      <c r="AR225">
        <v>8561991.9700000007</v>
      </c>
      <c r="AS225">
        <v>8561991.9700000007</v>
      </c>
      <c r="AT225">
        <v>0</v>
      </c>
      <c r="AU225">
        <v>0</v>
      </c>
      <c r="AV225" s="16">
        <f t="shared" si="35"/>
        <v>0</v>
      </c>
      <c r="AW225" s="13" t="str">
        <f t="shared" si="36"/>
        <v>NÃO</v>
      </c>
      <c r="AX225" s="13" t="str">
        <f t="shared" si="37"/>
        <v>OK</v>
      </c>
      <c r="AY225" s="13" t="str">
        <f t="shared" si="38"/>
        <v>OK</v>
      </c>
      <c r="AZ225">
        <f t="shared" si="39"/>
        <v>70.695908128554677</v>
      </c>
    </row>
    <row r="226" spans="2:52" x14ac:dyDescent="0.3">
      <c r="B226" t="s">
        <v>1046</v>
      </c>
      <c r="C226" t="s">
        <v>1068</v>
      </c>
      <c r="D226" t="s">
        <v>1069</v>
      </c>
      <c r="E226" t="s">
        <v>1070</v>
      </c>
      <c r="F226" t="s">
        <v>46</v>
      </c>
      <c r="G226" t="s">
        <v>71</v>
      </c>
      <c r="H226" t="s">
        <v>60</v>
      </c>
      <c r="I226" t="s">
        <v>49</v>
      </c>
      <c r="J226" t="s">
        <v>50</v>
      </c>
      <c r="K226" t="s">
        <v>51</v>
      </c>
      <c r="L226" t="s">
        <v>51</v>
      </c>
      <c r="M226" t="s">
        <v>134</v>
      </c>
      <c r="N226" t="s">
        <v>718</v>
      </c>
      <c r="O226" s="11" t="str">
        <f t="shared" si="30"/>
        <v>OK</v>
      </c>
      <c r="P226" t="s">
        <v>54</v>
      </c>
      <c r="Q226" t="s">
        <v>54</v>
      </c>
      <c r="R226" t="s">
        <v>51</v>
      </c>
      <c r="S226" t="s">
        <v>1071</v>
      </c>
      <c r="T226" s="1">
        <v>26147761.98</v>
      </c>
      <c r="U226" s="1">
        <v>10985714.560000001</v>
      </c>
      <c r="V226" s="13" t="str">
        <f t="shared" si="31"/>
        <v>OK</v>
      </c>
      <c r="W226" s="1">
        <v>22103935</v>
      </c>
      <c r="X226" s="1">
        <v>465334.65</v>
      </c>
      <c r="Y226" t="s">
        <v>51</v>
      </c>
      <c r="Z226">
        <v>318087.55</v>
      </c>
      <c r="AA226">
        <v>0</v>
      </c>
      <c r="AB226">
        <v>0</v>
      </c>
      <c r="AC226">
        <v>4060780.7</v>
      </c>
      <c r="AD226" s="13" t="str">
        <f t="shared" si="32"/>
        <v>OK</v>
      </c>
      <c r="AE226">
        <v>66565436.770000003</v>
      </c>
      <c r="AF226">
        <v>0</v>
      </c>
      <c r="AG226">
        <v>0</v>
      </c>
      <c r="AH226">
        <v>0</v>
      </c>
      <c r="AI226">
        <v>0</v>
      </c>
      <c r="AJ226" s="13" t="str">
        <f t="shared" si="33"/>
        <v>OK</v>
      </c>
      <c r="AK226">
        <v>0</v>
      </c>
      <c r="AL226">
        <v>0</v>
      </c>
      <c r="AM226">
        <v>0</v>
      </c>
      <c r="AN226">
        <v>0</v>
      </c>
      <c r="AO226">
        <v>98.58</v>
      </c>
      <c r="AP226">
        <v>98.58</v>
      </c>
      <c r="AQ226" s="15">
        <f t="shared" si="34"/>
        <v>0</v>
      </c>
      <c r="AR226">
        <v>49142782.07</v>
      </c>
      <c r="AS226">
        <v>60232168.07</v>
      </c>
      <c r="AT226">
        <v>0</v>
      </c>
      <c r="AU226">
        <v>0</v>
      </c>
      <c r="AV226" s="16">
        <f t="shared" si="35"/>
        <v>11089386</v>
      </c>
      <c r="AW226" s="13" t="str">
        <f t="shared" si="36"/>
        <v>SIM</v>
      </c>
      <c r="AX226" s="13" t="str">
        <f t="shared" si="37"/>
        <v>OK</v>
      </c>
      <c r="AY226" s="13" t="str">
        <f t="shared" si="38"/>
        <v>OK</v>
      </c>
      <c r="AZ226">
        <f t="shared" si="39"/>
        <v>6.1004342449235311</v>
      </c>
    </row>
    <row r="227" spans="2:52" x14ac:dyDescent="0.3">
      <c r="B227" t="s">
        <v>1046</v>
      </c>
      <c r="C227" t="s">
        <v>1072</v>
      </c>
      <c r="D227" t="s">
        <v>1073</v>
      </c>
      <c r="E227" t="s">
        <v>1074</v>
      </c>
      <c r="F227" t="s">
        <v>46</v>
      </c>
      <c r="G227" t="s">
        <v>107</v>
      </c>
      <c r="H227" t="s">
        <v>60</v>
      </c>
      <c r="I227" t="s">
        <v>49</v>
      </c>
      <c r="J227" t="s">
        <v>50</v>
      </c>
      <c r="K227" t="s">
        <v>51</v>
      </c>
      <c r="L227" t="s">
        <v>51</v>
      </c>
      <c r="M227" t="s">
        <v>134</v>
      </c>
      <c r="N227" t="s">
        <v>1075</v>
      </c>
      <c r="O227" s="11" t="str">
        <f t="shared" si="30"/>
        <v>OK</v>
      </c>
      <c r="P227" t="s">
        <v>54</v>
      </c>
      <c r="Q227" t="s">
        <v>54</v>
      </c>
      <c r="R227" t="s">
        <v>54</v>
      </c>
      <c r="S227" t="s">
        <v>1076</v>
      </c>
      <c r="T227" s="1">
        <v>1169220045.1400001</v>
      </c>
      <c r="U227" s="1">
        <v>332012755.64999998</v>
      </c>
      <c r="V227" s="13" t="str">
        <f t="shared" si="31"/>
        <v>OK</v>
      </c>
      <c r="W227" s="1">
        <v>798041909.10000002</v>
      </c>
      <c r="X227" s="1">
        <v>319959822.47000003</v>
      </c>
      <c r="Y227" t="s">
        <v>54</v>
      </c>
      <c r="Z227">
        <v>810004.09</v>
      </c>
      <c r="AA227">
        <v>21818.400000000001</v>
      </c>
      <c r="AB227">
        <v>0</v>
      </c>
      <c r="AC227">
        <v>50542946.799999997</v>
      </c>
      <c r="AD227" s="13" t="str">
        <f t="shared" si="32"/>
        <v>OK</v>
      </c>
      <c r="AE227">
        <v>2725392351.9299998</v>
      </c>
      <c r="AF227">
        <v>2725392351.9299998</v>
      </c>
      <c r="AG227">
        <v>16457730.310000001</v>
      </c>
      <c r="AH227">
        <v>0</v>
      </c>
      <c r="AI227">
        <v>0</v>
      </c>
      <c r="AJ227" s="13" t="str">
        <f t="shared" si="33"/>
        <v>OK</v>
      </c>
      <c r="AK227">
        <v>0</v>
      </c>
      <c r="AL227">
        <v>0</v>
      </c>
      <c r="AM227">
        <v>0</v>
      </c>
      <c r="AN227">
        <v>0</v>
      </c>
      <c r="AO227">
        <v>1369569232.4000001</v>
      </c>
      <c r="AP227">
        <v>1418528130.21</v>
      </c>
      <c r="AQ227" s="15">
        <f t="shared" si="34"/>
        <v>48958897.809999943</v>
      </c>
      <c r="AR227">
        <v>1408750066.4000001</v>
      </c>
      <c r="AS227">
        <v>1418750066.4000001</v>
      </c>
      <c r="AT227">
        <v>0</v>
      </c>
      <c r="AU227">
        <v>0</v>
      </c>
      <c r="AV227" s="16">
        <f t="shared" si="35"/>
        <v>10000000</v>
      </c>
      <c r="AW227" s="13" t="str">
        <f t="shared" si="36"/>
        <v>SIM</v>
      </c>
      <c r="AX227" s="13" t="str">
        <f t="shared" si="37"/>
        <v>OK</v>
      </c>
      <c r="AY227" s="13" t="str">
        <f t="shared" si="38"/>
        <v>OK</v>
      </c>
      <c r="AZ227">
        <f t="shared" si="39"/>
        <v>1.8545200203635916</v>
      </c>
    </row>
    <row r="228" spans="2:52" x14ac:dyDescent="0.3">
      <c r="B228" t="s">
        <v>1046</v>
      </c>
      <c r="C228" t="s">
        <v>1047</v>
      </c>
      <c r="D228" t="s">
        <v>303</v>
      </c>
      <c r="E228" t="s">
        <v>1048</v>
      </c>
      <c r="F228" t="s">
        <v>46</v>
      </c>
      <c r="G228" t="s">
        <v>75</v>
      </c>
      <c r="H228" t="s">
        <v>60</v>
      </c>
      <c r="I228" t="s">
        <v>49</v>
      </c>
      <c r="J228" t="s">
        <v>50</v>
      </c>
      <c r="K228" t="s">
        <v>51</v>
      </c>
      <c r="L228" t="s">
        <v>51</v>
      </c>
      <c r="M228" t="s">
        <v>52</v>
      </c>
      <c r="N228" t="s">
        <v>163</v>
      </c>
      <c r="O228" s="11" t="str">
        <f t="shared" si="30"/>
        <v>OK</v>
      </c>
      <c r="P228" t="s">
        <v>54</v>
      </c>
      <c r="Q228" t="s">
        <v>54</v>
      </c>
      <c r="R228" t="s">
        <v>51</v>
      </c>
      <c r="S228" t="s">
        <v>1049</v>
      </c>
      <c r="T228" s="1">
        <v>3481874</v>
      </c>
      <c r="U228" s="1">
        <v>13052918.939999999</v>
      </c>
      <c r="V228" s="13" t="str">
        <f t="shared" si="31"/>
        <v>OK</v>
      </c>
      <c r="W228" s="1">
        <v>14623817.35</v>
      </c>
      <c r="X228" s="1">
        <v>1009798.97</v>
      </c>
      <c r="Y228" t="s">
        <v>51</v>
      </c>
      <c r="Z228">
        <v>346530.71</v>
      </c>
      <c r="AA228">
        <v>0</v>
      </c>
      <c r="AB228">
        <v>4574.04</v>
      </c>
      <c r="AC228">
        <v>28487</v>
      </c>
      <c r="AD228" s="13" t="str">
        <f t="shared" si="32"/>
        <v>OK</v>
      </c>
      <c r="AE228">
        <v>2519513</v>
      </c>
      <c r="AF228">
        <v>0</v>
      </c>
      <c r="AG228">
        <v>0</v>
      </c>
      <c r="AH228">
        <v>8849565</v>
      </c>
      <c r="AI228">
        <v>128110.1</v>
      </c>
      <c r="AJ228" s="13" t="str">
        <f t="shared" si="33"/>
        <v>OK</v>
      </c>
      <c r="AK228">
        <v>0</v>
      </c>
      <c r="AL228" s="14">
        <v>1523104.31</v>
      </c>
      <c r="AM228">
        <v>0</v>
      </c>
      <c r="AN228">
        <v>0</v>
      </c>
      <c r="AO228">
        <v>99954</v>
      </c>
      <c r="AP228">
        <v>99954</v>
      </c>
      <c r="AQ228" s="15">
        <f t="shared" si="34"/>
        <v>0</v>
      </c>
      <c r="AR228">
        <v>2165209</v>
      </c>
      <c r="AS228">
        <v>2165209</v>
      </c>
      <c r="AT228">
        <v>0</v>
      </c>
      <c r="AU228">
        <v>0</v>
      </c>
      <c r="AV228" s="16">
        <f t="shared" si="35"/>
        <v>0</v>
      </c>
      <c r="AW228" s="13" t="str">
        <f t="shared" si="36"/>
        <v>NÃO</v>
      </c>
      <c r="AX228" s="13" t="str">
        <f t="shared" si="37"/>
        <v>OK</v>
      </c>
      <c r="AY228" s="13" t="str">
        <f t="shared" si="38"/>
        <v>OK</v>
      </c>
      <c r="AZ228">
        <f t="shared" si="39"/>
        <v>1.1306550115042073</v>
      </c>
    </row>
    <row r="229" spans="2:52" x14ac:dyDescent="0.3">
      <c r="B229" t="s">
        <v>1046</v>
      </c>
      <c r="C229" t="s">
        <v>1050</v>
      </c>
      <c r="D229" t="s">
        <v>816</v>
      </c>
      <c r="E229" t="s">
        <v>1051</v>
      </c>
      <c r="F229" t="s">
        <v>46</v>
      </c>
      <c r="G229" t="s">
        <v>93</v>
      </c>
      <c r="H229" t="s">
        <v>60</v>
      </c>
      <c r="I229" t="s">
        <v>76</v>
      </c>
      <c r="J229" t="s">
        <v>50</v>
      </c>
      <c r="K229" t="s">
        <v>51</v>
      </c>
      <c r="L229" t="s">
        <v>51</v>
      </c>
      <c r="M229" t="s">
        <v>52</v>
      </c>
      <c r="N229" t="s">
        <v>1052</v>
      </c>
      <c r="O229" s="11" t="str">
        <f t="shared" si="30"/>
        <v>OK</v>
      </c>
      <c r="P229" t="s">
        <v>54</v>
      </c>
      <c r="Q229" t="s">
        <v>54</v>
      </c>
      <c r="R229" t="s">
        <v>51</v>
      </c>
      <c r="S229" t="s">
        <v>1053</v>
      </c>
      <c r="T229" s="1">
        <v>7595584.6299999999</v>
      </c>
      <c r="U229" s="1">
        <v>1736730.4</v>
      </c>
      <c r="V229" s="13" t="str">
        <f t="shared" si="31"/>
        <v>OK</v>
      </c>
      <c r="W229" s="1">
        <v>6018770.0700000003</v>
      </c>
      <c r="X229" s="1">
        <v>0</v>
      </c>
      <c r="Y229" t="s">
        <v>51</v>
      </c>
      <c r="Z229">
        <v>79311.570000000007</v>
      </c>
      <c r="AA229">
        <v>0</v>
      </c>
      <c r="AB229">
        <v>22880</v>
      </c>
      <c r="AC229">
        <v>0</v>
      </c>
      <c r="AD229" s="13" t="str">
        <f t="shared" si="32"/>
        <v>OK</v>
      </c>
      <c r="AE229">
        <v>5362965.79</v>
      </c>
      <c r="AF229">
        <v>0</v>
      </c>
      <c r="AG229">
        <v>0</v>
      </c>
      <c r="AH229">
        <v>0</v>
      </c>
      <c r="AI229">
        <v>0</v>
      </c>
      <c r="AJ229" s="13" t="str">
        <f t="shared" si="33"/>
        <v>OK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s="15">
        <f t="shared" si="34"/>
        <v>0</v>
      </c>
      <c r="AR229">
        <v>0</v>
      </c>
      <c r="AS229">
        <v>0</v>
      </c>
      <c r="AT229">
        <v>3147492.01</v>
      </c>
      <c r="AU229">
        <v>3147492.01</v>
      </c>
      <c r="AV229" s="16">
        <f t="shared" si="35"/>
        <v>3147492.01</v>
      </c>
      <c r="AW229" s="13" t="str">
        <f t="shared" si="36"/>
        <v>SIM</v>
      </c>
      <c r="AX229" s="13" t="str">
        <f t="shared" si="37"/>
        <v>OK</v>
      </c>
      <c r="AY229" s="13" t="str">
        <f t="shared" si="38"/>
        <v>OK</v>
      </c>
      <c r="AZ229">
        <f t="shared" si="39"/>
        <v>0</v>
      </c>
    </row>
    <row r="230" spans="2:52" x14ac:dyDescent="0.3">
      <c r="B230" t="s">
        <v>1046</v>
      </c>
      <c r="C230" t="s">
        <v>1054</v>
      </c>
      <c r="D230" t="s">
        <v>1055</v>
      </c>
      <c r="E230" t="s">
        <v>1056</v>
      </c>
      <c r="F230" t="s">
        <v>46</v>
      </c>
      <c r="G230" t="s">
        <v>47</v>
      </c>
      <c r="H230" t="s">
        <v>60</v>
      </c>
      <c r="I230" t="s">
        <v>49</v>
      </c>
      <c r="J230" t="s">
        <v>50</v>
      </c>
      <c r="K230" t="s">
        <v>51</v>
      </c>
      <c r="L230" t="s">
        <v>51</v>
      </c>
      <c r="M230" t="s">
        <v>52</v>
      </c>
      <c r="N230" t="s">
        <v>1057</v>
      </c>
      <c r="O230" s="11" t="str">
        <f t="shared" si="30"/>
        <v>OK</v>
      </c>
      <c r="P230" t="s">
        <v>54</v>
      </c>
      <c r="Q230" t="s">
        <v>54</v>
      </c>
      <c r="R230" t="s">
        <v>51</v>
      </c>
      <c r="S230" t="s">
        <v>1058</v>
      </c>
      <c r="T230" s="1">
        <v>168526</v>
      </c>
      <c r="U230" s="1">
        <v>2874592.67</v>
      </c>
      <c r="V230" s="13" t="str">
        <f t="shared" si="31"/>
        <v>OK</v>
      </c>
      <c r="W230" s="1">
        <v>4073300.85</v>
      </c>
      <c r="X230" s="1">
        <v>0</v>
      </c>
      <c r="Y230" t="s">
        <v>51</v>
      </c>
      <c r="Z230">
        <v>152676.14000000001</v>
      </c>
      <c r="AA230">
        <v>0</v>
      </c>
      <c r="AB230">
        <v>0</v>
      </c>
      <c r="AC230">
        <v>-923250</v>
      </c>
      <c r="AD230" s="13" t="str">
        <f t="shared" si="32"/>
        <v>OK</v>
      </c>
      <c r="AE230">
        <v>209165606</v>
      </c>
      <c r="AF230">
        <v>0</v>
      </c>
      <c r="AG230">
        <v>0</v>
      </c>
      <c r="AH230">
        <v>3262928</v>
      </c>
      <c r="AI230">
        <v>2942959</v>
      </c>
      <c r="AJ230" s="13" t="str">
        <f t="shared" si="33"/>
        <v>OK</v>
      </c>
      <c r="AK230">
        <v>3262928</v>
      </c>
      <c r="AL230" s="14">
        <v>2942959</v>
      </c>
      <c r="AM230">
        <v>310725618</v>
      </c>
      <c r="AN230">
        <v>310725618</v>
      </c>
      <c r="AO230">
        <v>1954853</v>
      </c>
      <c r="AP230">
        <v>1954853</v>
      </c>
      <c r="AQ230" s="15">
        <f t="shared" si="34"/>
        <v>0</v>
      </c>
      <c r="AR230">
        <v>1954853</v>
      </c>
      <c r="AS230">
        <v>1954853</v>
      </c>
      <c r="AT230">
        <v>0</v>
      </c>
      <c r="AU230">
        <v>0</v>
      </c>
      <c r="AV230" s="16">
        <f t="shared" si="35"/>
        <v>0</v>
      </c>
      <c r="AW230" s="13" t="str">
        <f t="shared" si="36"/>
        <v>NÃO</v>
      </c>
      <c r="AX230" s="13" t="str">
        <f t="shared" si="37"/>
        <v>OK</v>
      </c>
      <c r="AY230" s="13" t="str">
        <f t="shared" si="38"/>
        <v>OK</v>
      </c>
      <c r="AZ230">
        <f t="shared" si="39"/>
        <v>-0.44139666059629323</v>
      </c>
    </row>
    <row r="231" spans="2:52" x14ac:dyDescent="0.3">
      <c r="B231" t="s">
        <v>1046</v>
      </c>
      <c r="C231" t="s">
        <v>1077</v>
      </c>
      <c r="D231" t="s">
        <v>1078</v>
      </c>
      <c r="E231" t="s">
        <v>1079</v>
      </c>
      <c r="F231" t="s">
        <v>46</v>
      </c>
      <c r="G231" t="s">
        <v>133</v>
      </c>
      <c r="H231" t="s">
        <v>48</v>
      </c>
      <c r="I231" t="s">
        <v>76</v>
      </c>
      <c r="J231" t="s">
        <v>50</v>
      </c>
      <c r="K231" t="s">
        <v>51</v>
      </c>
      <c r="L231" t="s">
        <v>51</v>
      </c>
      <c r="M231" t="s">
        <v>134</v>
      </c>
      <c r="N231" t="s">
        <v>471</v>
      </c>
      <c r="O231" s="11" t="str">
        <f t="shared" si="30"/>
        <v>OK</v>
      </c>
      <c r="P231" t="s">
        <v>54</v>
      </c>
      <c r="Q231" t="s">
        <v>54</v>
      </c>
      <c r="R231" t="s">
        <v>51</v>
      </c>
      <c r="S231" t="s">
        <v>1080</v>
      </c>
      <c r="T231" s="1">
        <v>2945814.07</v>
      </c>
      <c r="U231" s="1">
        <v>1310072.3700000001</v>
      </c>
      <c r="V231" s="13" t="str">
        <f t="shared" si="31"/>
        <v>OK</v>
      </c>
      <c r="W231" s="1">
        <v>2929337.84</v>
      </c>
      <c r="X231" s="1">
        <v>0</v>
      </c>
      <c r="Y231" t="s">
        <v>51</v>
      </c>
      <c r="Z231">
        <v>140679.57</v>
      </c>
      <c r="AA231">
        <v>0</v>
      </c>
      <c r="AB231">
        <v>0</v>
      </c>
      <c r="AC231">
        <v>0</v>
      </c>
      <c r="AD231" s="13" t="str">
        <f t="shared" si="32"/>
        <v>OK</v>
      </c>
      <c r="AE231">
        <v>79060</v>
      </c>
      <c r="AF231">
        <v>0</v>
      </c>
      <c r="AG231">
        <v>0</v>
      </c>
      <c r="AH231">
        <v>0</v>
      </c>
      <c r="AI231">
        <v>0</v>
      </c>
      <c r="AJ231" s="13" t="str">
        <f t="shared" si="33"/>
        <v>OK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s="15">
        <f t="shared" si="34"/>
        <v>0</v>
      </c>
      <c r="AR231">
        <v>0</v>
      </c>
      <c r="AS231">
        <v>0</v>
      </c>
      <c r="AT231">
        <v>49900000</v>
      </c>
      <c r="AU231">
        <v>49900000</v>
      </c>
      <c r="AV231" s="16">
        <f t="shared" si="35"/>
        <v>49900000</v>
      </c>
      <c r="AW231" s="13" t="str">
        <f t="shared" si="36"/>
        <v>SIM</v>
      </c>
      <c r="AX231" s="13" t="str">
        <f t="shared" si="37"/>
        <v>OK</v>
      </c>
      <c r="AY231" s="13" t="str">
        <f t="shared" si="38"/>
        <v>OK</v>
      </c>
      <c r="AZ231">
        <f t="shared" si="39"/>
        <v>0</v>
      </c>
    </row>
    <row r="232" spans="2:52" x14ac:dyDescent="0.3">
      <c r="B232" t="s">
        <v>1046</v>
      </c>
      <c r="C232" t="s">
        <v>1059</v>
      </c>
      <c r="D232" t="s">
        <v>1060</v>
      </c>
      <c r="E232" t="s">
        <v>1061</v>
      </c>
      <c r="F232" t="s">
        <v>46</v>
      </c>
      <c r="G232" t="s">
        <v>102</v>
      </c>
      <c r="H232" t="s">
        <v>48</v>
      </c>
      <c r="I232" t="s">
        <v>49</v>
      </c>
      <c r="J232" t="s">
        <v>50</v>
      </c>
      <c r="K232" t="s">
        <v>51</v>
      </c>
      <c r="L232" t="s">
        <v>51</v>
      </c>
      <c r="M232" t="s">
        <v>52</v>
      </c>
      <c r="N232" t="s">
        <v>1062</v>
      </c>
      <c r="O232" s="11" t="str">
        <f t="shared" si="30"/>
        <v>OK</v>
      </c>
      <c r="P232" t="s">
        <v>54</v>
      </c>
      <c r="Q232" t="s">
        <v>54</v>
      </c>
      <c r="R232" t="s">
        <v>51</v>
      </c>
      <c r="S232" t="s">
        <v>55</v>
      </c>
      <c r="T232" s="1">
        <v>1031029</v>
      </c>
      <c r="U232" s="1">
        <v>16437274.029999999</v>
      </c>
      <c r="V232" s="13" t="str">
        <f t="shared" si="31"/>
        <v>OK</v>
      </c>
      <c r="W232" s="1">
        <v>19443754.57</v>
      </c>
      <c r="X232" s="1">
        <v>0</v>
      </c>
      <c r="Y232" t="s">
        <v>51</v>
      </c>
      <c r="Z232">
        <v>264916.24</v>
      </c>
      <c r="AA232">
        <v>0</v>
      </c>
      <c r="AB232">
        <v>56557.18</v>
      </c>
      <c r="AC232">
        <v>-12057808</v>
      </c>
      <c r="AD232" s="13" t="str">
        <f t="shared" si="32"/>
        <v>OK</v>
      </c>
      <c r="AE232">
        <v>1895913</v>
      </c>
      <c r="AF232">
        <v>0</v>
      </c>
      <c r="AG232">
        <v>0</v>
      </c>
      <c r="AH232">
        <v>18855734</v>
      </c>
      <c r="AI232">
        <v>16274846</v>
      </c>
      <c r="AJ232" s="13" t="str">
        <f t="shared" si="33"/>
        <v>OK</v>
      </c>
      <c r="AK232">
        <v>18855734</v>
      </c>
      <c r="AL232" s="14">
        <v>16274846</v>
      </c>
      <c r="AM232">
        <v>0</v>
      </c>
      <c r="AN232">
        <v>0</v>
      </c>
      <c r="AO232">
        <v>1693900</v>
      </c>
      <c r="AP232">
        <v>1693900</v>
      </c>
      <c r="AQ232" s="15">
        <f t="shared" si="34"/>
        <v>0</v>
      </c>
      <c r="AR232">
        <v>1693900</v>
      </c>
      <c r="AS232">
        <v>1693900</v>
      </c>
      <c r="AT232">
        <v>202013</v>
      </c>
      <c r="AU232">
        <v>202013</v>
      </c>
      <c r="AV232" s="16">
        <f t="shared" si="35"/>
        <v>202013</v>
      </c>
      <c r="AW232" s="13" t="str">
        <f t="shared" si="36"/>
        <v>SIM</v>
      </c>
      <c r="AX232" s="13" t="str">
        <f t="shared" si="37"/>
        <v>OK</v>
      </c>
      <c r="AY232" s="13" t="str">
        <f t="shared" si="38"/>
        <v>OK</v>
      </c>
      <c r="AZ232">
        <f t="shared" si="39"/>
        <v>-635.98952061618866</v>
      </c>
    </row>
    <row r="233" spans="2:52" x14ac:dyDescent="0.3">
      <c r="B233" t="s">
        <v>1046</v>
      </c>
      <c r="C233" t="s">
        <v>1063</v>
      </c>
      <c r="D233" t="s">
        <v>1064</v>
      </c>
      <c r="E233" t="s">
        <v>1065</v>
      </c>
      <c r="F233" t="s">
        <v>46</v>
      </c>
      <c r="G233" t="s">
        <v>162</v>
      </c>
      <c r="H233" t="s">
        <v>60</v>
      </c>
      <c r="I233" t="s">
        <v>49</v>
      </c>
      <c r="J233" t="s">
        <v>50</v>
      </c>
      <c r="K233" t="s">
        <v>51</v>
      </c>
      <c r="L233" t="s">
        <v>51</v>
      </c>
      <c r="M233" t="s">
        <v>52</v>
      </c>
      <c r="N233" t="s">
        <v>1066</v>
      </c>
      <c r="O233" s="11" t="str">
        <f t="shared" si="30"/>
        <v>OK</v>
      </c>
      <c r="P233" t="s">
        <v>54</v>
      </c>
      <c r="Q233" t="s">
        <v>54</v>
      </c>
      <c r="R233" t="s">
        <v>51</v>
      </c>
      <c r="S233" t="s">
        <v>1067</v>
      </c>
      <c r="T233" s="1">
        <v>5069130</v>
      </c>
      <c r="U233" s="1">
        <v>3989824.83</v>
      </c>
      <c r="V233" s="13" t="str">
        <f t="shared" si="31"/>
        <v>OK</v>
      </c>
      <c r="W233" s="1">
        <v>16091709.960000001</v>
      </c>
      <c r="X233" s="1">
        <v>6014689.0499999998</v>
      </c>
      <c r="Y233" t="s">
        <v>51</v>
      </c>
      <c r="Z233">
        <v>136342.19</v>
      </c>
      <c r="AA233">
        <v>0</v>
      </c>
      <c r="AB233">
        <v>0</v>
      </c>
      <c r="AC233">
        <v>-6358403</v>
      </c>
      <c r="AD233" s="13" t="str">
        <f t="shared" si="32"/>
        <v>OK</v>
      </c>
      <c r="AE233">
        <v>-2558403</v>
      </c>
      <c r="AF233">
        <v>0</v>
      </c>
      <c r="AG233">
        <v>0</v>
      </c>
      <c r="AH233">
        <v>13008609</v>
      </c>
      <c r="AI233">
        <v>15406625</v>
      </c>
      <c r="AJ233" s="13" t="str">
        <f t="shared" si="33"/>
        <v>OK</v>
      </c>
      <c r="AK233">
        <v>0</v>
      </c>
      <c r="AL233" s="14">
        <v>0</v>
      </c>
      <c r="AM233">
        <v>0</v>
      </c>
      <c r="AN233">
        <v>0</v>
      </c>
      <c r="AO233">
        <v>0</v>
      </c>
      <c r="AP233">
        <v>0</v>
      </c>
      <c r="AQ233" s="15">
        <f t="shared" si="34"/>
        <v>0</v>
      </c>
      <c r="AR233">
        <v>0</v>
      </c>
      <c r="AS233">
        <v>0</v>
      </c>
      <c r="AT233">
        <v>200000</v>
      </c>
      <c r="AU233">
        <v>200000</v>
      </c>
      <c r="AV233" s="16">
        <f t="shared" si="35"/>
        <v>200000</v>
      </c>
      <c r="AW233" s="13" t="str">
        <f t="shared" si="36"/>
        <v>SIM</v>
      </c>
      <c r="AX233" s="13" t="str">
        <f t="shared" si="37"/>
        <v>OK</v>
      </c>
      <c r="AY233" s="13" t="str">
        <f t="shared" si="38"/>
        <v>OK</v>
      </c>
      <c r="AZ233">
        <f t="shared" si="39"/>
        <v>248.53015728952789</v>
      </c>
    </row>
    <row r="234" spans="2:52" x14ac:dyDescent="0.3">
      <c r="B234" t="s">
        <v>1046</v>
      </c>
      <c r="C234" t="s">
        <v>1081</v>
      </c>
      <c r="D234" t="s">
        <v>1082</v>
      </c>
      <c r="E234" t="s">
        <v>1083</v>
      </c>
      <c r="F234" t="s">
        <v>46</v>
      </c>
      <c r="G234" t="s">
        <v>139</v>
      </c>
      <c r="H234" t="s">
        <v>60</v>
      </c>
      <c r="I234" t="s">
        <v>49</v>
      </c>
      <c r="J234" t="s">
        <v>50</v>
      </c>
      <c r="K234" t="s">
        <v>51</v>
      </c>
      <c r="L234" t="s">
        <v>51</v>
      </c>
      <c r="M234" t="s">
        <v>134</v>
      </c>
      <c r="N234" t="s">
        <v>1084</v>
      </c>
      <c r="O234" s="11" t="str">
        <f t="shared" si="30"/>
        <v>OK</v>
      </c>
      <c r="P234" t="s">
        <v>54</v>
      </c>
      <c r="Q234" t="s">
        <v>54</v>
      </c>
      <c r="R234" t="s">
        <v>54</v>
      </c>
      <c r="S234" t="s">
        <v>1085</v>
      </c>
      <c r="T234" s="1">
        <v>258288839.16999999</v>
      </c>
      <c r="U234" s="1">
        <v>21057362.98</v>
      </c>
      <c r="V234" s="13" t="str">
        <f t="shared" si="31"/>
        <v>OK</v>
      </c>
      <c r="W234" s="1">
        <v>59445850.399999999</v>
      </c>
      <c r="X234" s="1">
        <v>16281871.98</v>
      </c>
      <c r="Y234" t="s">
        <v>54</v>
      </c>
      <c r="Z234">
        <v>479928.84</v>
      </c>
      <c r="AA234">
        <v>24917.13</v>
      </c>
      <c r="AB234">
        <v>0</v>
      </c>
      <c r="AC234">
        <v>58608385.719999999</v>
      </c>
      <c r="AD234" s="13" t="str">
        <f t="shared" si="32"/>
        <v>OK</v>
      </c>
      <c r="AE234">
        <v>124225031.56</v>
      </c>
      <c r="AF234">
        <v>0</v>
      </c>
      <c r="AG234">
        <v>3819434.21</v>
      </c>
      <c r="AH234">
        <v>0</v>
      </c>
      <c r="AI234">
        <v>0</v>
      </c>
      <c r="AJ234" s="13" t="str">
        <f t="shared" si="33"/>
        <v>OK</v>
      </c>
      <c r="AK234">
        <v>0</v>
      </c>
      <c r="AL234">
        <v>0</v>
      </c>
      <c r="AM234">
        <v>0</v>
      </c>
      <c r="AN234">
        <v>0</v>
      </c>
      <c r="AO234">
        <v>721650</v>
      </c>
      <c r="AP234">
        <v>721650</v>
      </c>
      <c r="AQ234" s="15">
        <f t="shared" si="34"/>
        <v>0</v>
      </c>
      <c r="AR234">
        <v>63893105.810000002</v>
      </c>
      <c r="AS234">
        <v>68171010.700000003</v>
      </c>
      <c r="AT234">
        <v>4277904.8899999997</v>
      </c>
      <c r="AU234">
        <v>3550964.98</v>
      </c>
      <c r="AV234" s="16">
        <f t="shared" si="35"/>
        <v>7828869.870000001</v>
      </c>
      <c r="AW234" s="13" t="str">
        <f t="shared" si="36"/>
        <v>SIM</v>
      </c>
      <c r="AX234" s="13" t="str">
        <f t="shared" si="37"/>
        <v>OK</v>
      </c>
      <c r="AY234" s="13" t="str">
        <f t="shared" si="38"/>
        <v>OK</v>
      </c>
      <c r="AZ234">
        <f t="shared" si="39"/>
        <v>47.179207752257625</v>
      </c>
    </row>
    <row r="235" spans="2:52" x14ac:dyDescent="0.3">
      <c r="B235" t="s">
        <v>1086</v>
      </c>
      <c r="C235" t="s">
        <v>1087</v>
      </c>
      <c r="D235" t="s">
        <v>1088</v>
      </c>
      <c r="E235" t="s">
        <v>1089</v>
      </c>
      <c r="F235" t="s">
        <v>70</v>
      </c>
      <c r="G235" t="s">
        <v>71</v>
      </c>
      <c r="H235" t="s">
        <v>60</v>
      </c>
      <c r="I235" t="s">
        <v>49</v>
      </c>
      <c r="J235" t="s">
        <v>50</v>
      </c>
      <c r="K235" t="s">
        <v>51</v>
      </c>
      <c r="L235" t="s">
        <v>51</v>
      </c>
      <c r="M235" t="s">
        <v>134</v>
      </c>
      <c r="N235" t="s">
        <v>66</v>
      </c>
      <c r="O235" s="11" t="str">
        <f t="shared" si="30"/>
        <v>OK</v>
      </c>
      <c r="P235" t="s">
        <v>51</v>
      </c>
      <c r="Q235" t="s">
        <v>51</v>
      </c>
      <c r="R235" t="s">
        <v>51</v>
      </c>
      <c r="S235" t="s">
        <v>55</v>
      </c>
      <c r="T235" s="1">
        <v>0</v>
      </c>
      <c r="U235" s="1">
        <v>0</v>
      </c>
      <c r="V235" s="13" t="str">
        <f t="shared" si="31"/>
        <v>OK</v>
      </c>
      <c r="W235" s="1">
        <v>0</v>
      </c>
      <c r="X235" s="1">
        <v>0</v>
      </c>
      <c r="Y235" t="s">
        <v>51</v>
      </c>
      <c r="Z235">
        <v>0</v>
      </c>
      <c r="AA235">
        <v>0</v>
      </c>
      <c r="AB235">
        <v>0</v>
      </c>
      <c r="AC235">
        <v>0</v>
      </c>
      <c r="AD235" s="13" t="str">
        <f t="shared" si="32"/>
        <v>OK</v>
      </c>
      <c r="AE235">
        <v>0</v>
      </c>
      <c r="AF235">
        <v>0</v>
      </c>
      <c r="AG235">
        <v>0</v>
      </c>
      <c r="AH235">
        <v>0</v>
      </c>
      <c r="AI235">
        <v>0</v>
      </c>
      <c r="AJ235" s="13" t="str">
        <f t="shared" si="33"/>
        <v>OK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s="15">
        <f t="shared" si="34"/>
        <v>0</v>
      </c>
      <c r="AR235">
        <v>0</v>
      </c>
      <c r="AS235">
        <v>0</v>
      </c>
      <c r="AT235">
        <v>0</v>
      </c>
      <c r="AU235">
        <v>0</v>
      </c>
      <c r="AV235" s="16">
        <f t="shared" si="35"/>
        <v>0</v>
      </c>
      <c r="AW235" s="13" t="str">
        <f t="shared" si="36"/>
        <v>NÃO</v>
      </c>
      <c r="AX235" s="13" t="str">
        <f t="shared" si="37"/>
        <v>OK</v>
      </c>
      <c r="AY235" s="13" t="str">
        <f t="shared" si="38"/>
        <v>OK</v>
      </c>
      <c r="AZ235" t="e">
        <f t="shared" si="39"/>
        <v>#DIV/0!</v>
      </c>
    </row>
    <row r="236" spans="2:52" x14ac:dyDescent="0.3">
      <c r="B236" t="s">
        <v>1086</v>
      </c>
      <c r="C236" t="s">
        <v>1090</v>
      </c>
      <c r="D236" t="s">
        <v>1091</v>
      </c>
      <c r="E236" t="s">
        <v>1092</v>
      </c>
      <c r="F236" t="s">
        <v>46</v>
      </c>
      <c r="G236" t="s">
        <v>107</v>
      </c>
      <c r="H236" t="s">
        <v>60</v>
      </c>
      <c r="I236" t="s">
        <v>49</v>
      </c>
      <c r="J236" t="s">
        <v>50</v>
      </c>
      <c r="K236" t="s">
        <v>51</v>
      </c>
      <c r="L236" t="s">
        <v>51</v>
      </c>
      <c r="M236" s="11" t="s">
        <v>134</v>
      </c>
      <c r="N236" t="s">
        <v>1093</v>
      </c>
      <c r="O236" s="11" t="str">
        <f t="shared" si="30"/>
        <v>OK</v>
      </c>
      <c r="P236" t="s">
        <v>54</v>
      </c>
      <c r="Q236" t="s">
        <v>54</v>
      </c>
      <c r="R236" t="s">
        <v>54</v>
      </c>
      <c r="S236" t="s">
        <v>1094</v>
      </c>
      <c r="T236" s="1">
        <v>215335743.49000001</v>
      </c>
      <c r="U236" s="1">
        <v>116869706.89</v>
      </c>
      <c r="V236" s="13" t="str">
        <f t="shared" si="31"/>
        <v>OK</v>
      </c>
      <c r="W236" s="1">
        <v>260072210.03999999</v>
      </c>
      <c r="X236" s="1">
        <v>30383091.75</v>
      </c>
      <c r="Y236" t="s">
        <v>51</v>
      </c>
      <c r="Z236">
        <v>471043.74</v>
      </c>
      <c r="AA236">
        <v>0</v>
      </c>
      <c r="AB236">
        <v>41716.78</v>
      </c>
      <c r="AC236">
        <v>2082510.26</v>
      </c>
      <c r="AD236" s="13" t="str">
        <f t="shared" si="32"/>
        <v>OK</v>
      </c>
      <c r="AE236">
        <v>-1198977306.98</v>
      </c>
      <c r="AF236">
        <v>0</v>
      </c>
      <c r="AG236">
        <v>0</v>
      </c>
      <c r="AH236">
        <v>0</v>
      </c>
      <c r="AI236" s="14">
        <v>14962421.49</v>
      </c>
      <c r="AJ236" s="13" t="str">
        <f t="shared" si="33"/>
        <v>INDÍCIO DE DEPENDÊNCIA POR SUBVENÇÃO</v>
      </c>
      <c r="AK236">
        <v>0</v>
      </c>
      <c r="AL236" s="14">
        <v>0</v>
      </c>
      <c r="AM236">
        <v>0</v>
      </c>
      <c r="AN236">
        <v>0</v>
      </c>
      <c r="AO236">
        <v>182615569.50999999</v>
      </c>
      <c r="AP236">
        <v>182615569.50999999</v>
      </c>
      <c r="AQ236" s="15">
        <f t="shared" si="34"/>
        <v>0</v>
      </c>
      <c r="AR236">
        <v>182631833</v>
      </c>
      <c r="AS236">
        <v>182631832.69</v>
      </c>
      <c r="AT236">
        <v>0</v>
      </c>
      <c r="AU236">
        <v>0</v>
      </c>
      <c r="AV236" s="16">
        <f t="shared" si="35"/>
        <v>-0.31000000238418579</v>
      </c>
      <c r="AW236" s="13" t="str">
        <f t="shared" si="36"/>
        <v>NÃO</v>
      </c>
      <c r="AX236" s="13" t="str">
        <f t="shared" si="37"/>
        <v>OK</v>
      </c>
      <c r="AY236" s="13" t="str">
        <f t="shared" si="38"/>
        <v>OK</v>
      </c>
      <c r="AZ236">
        <f t="shared" si="39"/>
        <v>-0.17369054842626291</v>
      </c>
    </row>
    <row r="237" spans="2:52" x14ac:dyDescent="0.3">
      <c r="B237" t="s">
        <v>1086</v>
      </c>
      <c r="C237" t="s">
        <v>1095</v>
      </c>
      <c r="D237" t="s">
        <v>1096</v>
      </c>
      <c r="E237" t="s">
        <v>1097</v>
      </c>
      <c r="F237" t="s">
        <v>70</v>
      </c>
      <c r="G237" t="s">
        <v>93</v>
      </c>
      <c r="H237" t="s">
        <v>60</v>
      </c>
      <c r="I237" t="s">
        <v>49</v>
      </c>
      <c r="J237" t="s">
        <v>50</v>
      </c>
      <c r="K237" t="s">
        <v>51</v>
      </c>
      <c r="L237" t="s">
        <v>51</v>
      </c>
      <c r="M237" t="s">
        <v>134</v>
      </c>
      <c r="N237" t="s">
        <v>66</v>
      </c>
      <c r="O237" s="11" t="str">
        <f t="shared" si="30"/>
        <v>OK</v>
      </c>
      <c r="P237" t="s">
        <v>51</v>
      </c>
      <c r="Q237" t="s">
        <v>51</v>
      </c>
      <c r="R237" t="s">
        <v>51</v>
      </c>
      <c r="S237" t="s">
        <v>55</v>
      </c>
      <c r="T237" s="1">
        <v>0</v>
      </c>
      <c r="U237" s="1">
        <v>0</v>
      </c>
      <c r="V237" s="13" t="str">
        <f t="shared" si="31"/>
        <v>OK</v>
      </c>
      <c r="W237" s="1">
        <v>0</v>
      </c>
      <c r="X237" s="1">
        <v>0</v>
      </c>
      <c r="Y237" t="s">
        <v>51</v>
      </c>
      <c r="Z237">
        <v>0</v>
      </c>
      <c r="AA237">
        <v>0</v>
      </c>
      <c r="AB237">
        <v>0</v>
      </c>
      <c r="AC237">
        <v>0</v>
      </c>
      <c r="AD237" s="13" t="str">
        <f t="shared" si="32"/>
        <v>OK</v>
      </c>
      <c r="AE237">
        <v>0</v>
      </c>
      <c r="AF237">
        <v>0</v>
      </c>
      <c r="AG237">
        <v>0</v>
      </c>
      <c r="AH237">
        <v>0</v>
      </c>
      <c r="AI237">
        <v>0</v>
      </c>
      <c r="AJ237" s="13" t="str">
        <f t="shared" si="33"/>
        <v>OK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s="15">
        <f t="shared" si="34"/>
        <v>0</v>
      </c>
      <c r="AR237">
        <v>0</v>
      </c>
      <c r="AS237">
        <v>0</v>
      </c>
      <c r="AT237">
        <v>0</v>
      </c>
      <c r="AU237">
        <v>0</v>
      </c>
      <c r="AV237" s="16">
        <f t="shared" si="35"/>
        <v>0</v>
      </c>
      <c r="AW237" s="13" t="str">
        <f t="shared" si="36"/>
        <v>NÃO</v>
      </c>
      <c r="AX237" s="13" t="str">
        <f t="shared" si="37"/>
        <v>OK</v>
      </c>
      <c r="AY237" s="13" t="str">
        <f t="shared" si="38"/>
        <v>OK</v>
      </c>
      <c r="AZ237" t="e">
        <f t="shared" si="39"/>
        <v>#DIV/0!</v>
      </c>
    </row>
    <row r="238" spans="2:52" x14ac:dyDescent="0.3">
      <c r="B238" t="s">
        <v>1086</v>
      </c>
      <c r="C238" t="s">
        <v>1098</v>
      </c>
      <c r="D238" t="s">
        <v>1099</v>
      </c>
      <c r="E238" t="s">
        <v>1100</v>
      </c>
      <c r="F238" t="s">
        <v>70</v>
      </c>
      <c r="G238" t="s">
        <v>47</v>
      </c>
      <c r="H238" t="s">
        <v>60</v>
      </c>
      <c r="I238" t="s">
        <v>49</v>
      </c>
      <c r="J238" t="s">
        <v>50</v>
      </c>
      <c r="K238" t="s">
        <v>51</v>
      </c>
      <c r="L238" t="s">
        <v>51</v>
      </c>
      <c r="M238" t="s">
        <v>134</v>
      </c>
      <c r="N238" t="s">
        <v>66</v>
      </c>
      <c r="O238" s="11" t="str">
        <f t="shared" si="30"/>
        <v>OK</v>
      </c>
      <c r="P238" t="s">
        <v>51</v>
      </c>
      <c r="Q238" t="s">
        <v>51</v>
      </c>
      <c r="R238" t="s">
        <v>51</v>
      </c>
      <c r="S238" t="s">
        <v>55</v>
      </c>
      <c r="T238" s="1">
        <v>0</v>
      </c>
      <c r="U238" s="1">
        <v>0</v>
      </c>
      <c r="V238" s="13" t="str">
        <f t="shared" si="31"/>
        <v>OK</v>
      </c>
      <c r="W238" s="1">
        <v>0</v>
      </c>
      <c r="X238" s="1">
        <v>0</v>
      </c>
      <c r="Y238" t="s">
        <v>51</v>
      </c>
      <c r="Z238">
        <v>0</v>
      </c>
      <c r="AA238">
        <v>0</v>
      </c>
      <c r="AB238">
        <v>0</v>
      </c>
      <c r="AC238">
        <v>0</v>
      </c>
      <c r="AD238" s="13" t="str">
        <f t="shared" si="32"/>
        <v>OK</v>
      </c>
      <c r="AE238">
        <v>0</v>
      </c>
      <c r="AF238">
        <v>0</v>
      </c>
      <c r="AG238">
        <v>0</v>
      </c>
      <c r="AH238">
        <v>0</v>
      </c>
      <c r="AI238">
        <v>0</v>
      </c>
      <c r="AJ238" s="13" t="str">
        <f t="shared" si="33"/>
        <v>OK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s="15">
        <f t="shared" si="34"/>
        <v>0</v>
      </c>
      <c r="AR238">
        <v>0</v>
      </c>
      <c r="AS238">
        <v>0</v>
      </c>
      <c r="AT238">
        <v>0</v>
      </c>
      <c r="AU238">
        <v>0</v>
      </c>
      <c r="AV238" s="16">
        <f t="shared" si="35"/>
        <v>0</v>
      </c>
      <c r="AW238" s="13" t="str">
        <f t="shared" si="36"/>
        <v>NÃO</v>
      </c>
      <c r="AX238" s="13" t="str">
        <f t="shared" si="37"/>
        <v>OK</v>
      </c>
      <c r="AY238" s="13" t="str">
        <f t="shared" si="38"/>
        <v>OK</v>
      </c>
      <c r="AZ238" t="e">
        <f t="shared" si="39"/>
        <v>#DIV/0!</v>
      </c>
    </row>
    <row r="239" spans="2:52" x14ac:dyDescent="0.3">
      <c r="B239" t="s">
        <v>1086</v>
      </c>
      <c r="C239" t="s">
        <v>1101</v>
      </c>
      <c r="D239" t="s">
        <v>1102</v>
      </c>
      <c r="E239" t="s">
        <v>1103</v>
      </c>
      <c r="F239" t="s">
        <v>46</v>
      </c>
      <c r="G239" t="s">
        <v>224</v>
      </c>
      <c r="H239" t="s">
        <v>48</v>
      </c>
      <c r="I239" t="s">
        <v>49</v>
      </c>
      <c r="J239" t="s">
        <v>50</v>
      </c>
      <c r="K239" t="s">
        <v>51</v>
      </c>
      <c r="L239" t="s">
        <v>51</v>
      </c>
      <c r="M239" t="s">
        <v>134</v>
      </c>
      <c r="N239" t="s">
        <v>135</v>
      </c>
      <c r="O239" s="11" t="str">
        <f t="shared" si="30"/>
        <v>OK</v>
      </c>
      <c r="P239" t="s">
        <v>54</v>
      </c>
      <c r="Q239" t="s">
        <v>54</v>
      </c>
      <c r="R239" t="s">
        <v>51</v>
      </c>
      <c r="S239" t="s">
        <v>1104</v>
      </c>
      <c r="T239" s="1">
        <v>11722060.18</v>
      </c>
      <c r="U239" s="1">
        <v>2386124.08</v>
      </c>
      <c r="V239" s="13" t="str">
        <f t="shared" si="31"/>
        <v>OK</v>
      </c>
      <c r="W239" s="1">
        <v>14281383.52</v>
      </c>
      <c r="X239" s="1">
        <v>454519.84</v>
      </c>
      <c r="Y239" t="s">
        <v>51</v>
      </c>
      <c r="Z239">
        <v>464209.85</v>
      </c>
      <c r="AA239">
        <v>0</v>
      </c>
      <c r="AB239">
        <v>11874.09</v>
      </c>
      <c r="AC239">
        <v>-2511833.12</v>
      </c>
      <c r="AD239" s="13" t="str">
        <f t="shared" si="32"/>
        <v>OK</v>
      </c>
      <c r="AE239">
        <v>3510335392.2800002</v>
      </c>
      <c r="AF239">
        <v>0</v>
      </c>
      <c r="AG239">
        <v>0</v>
      </c>
      <c r="AH239">
        <v>0</v>
      </c>
      <c r="AI239">
        <v>0</v>
      </c>
      <c r="AJ239" s="13" t="str">
        <f t="shared" si="33"/>
        <v>OK</v>
      </c>
      <c r="AK239">
        <v>0</v>
      </c>
      <c r="AL239">
        <v>0</v>
      </c>
      <c r="AM239">
        <v>0</v>
      </c>
      <c r="AN239">
        <v>0</v>
      </c>
      <c r="AO239">
        <v>25889369.239999998</v>
      </c>
      <c r="AP239">
        <v>25889369.239999998</v>
      </c>
      <c r="AQ239" s="15">
        <f t="shared" si="34"/>
        <v>0</v>
      </c>
      <c r="AR239">
        <v>25928261.629999999</v>
      </c>
      <c r="AS239">
        <v>25928261.629999999</v>
      </c>
      <c r="AT239">
        <v>0</v>
      </c>
      <c r="AU239">
        <v>0</v>
      </c>
      <c r="AV239" s="16">
        <f t="shared" si="35"/>
        <v>0</v>
      </c>
      <c r="AW239" s="13" t="str">
        <f t="shared" si="36"/>
        <v>NÃO</v>
      </c>
      <c r="AX239" s="13" t="str">
        <f t="shared" si="37"/>
        <v>OK</v>
      </c>
      <c r="AY239" s="13" t="str">
        <f t="shared" si="38"/>
        <v>OK</v>
      </c>
      <c r="AZ239">
        <f t="shared" si="39"/>
        <v>-7.1555359796219867E-2</v>
      </c>
    </row>
    <row r="240" spans="2:52" x14ac:dyDescent="0.3">
      <c r="B240" t="s">
        <v>1086</v>
      </c>
      <c r="C240" t="s">
        <v>1105</v>
      </c>
      <c r="D240" t="s">
        <v>1106</v>
      </c>
      <c r="E240" t="s">
        <v>1107</v>
      </c>
      <c r="F240" t="s">
        <v>46</v>
      </c>
      <c r="G240" t="s">
        <v>139</v>
      </c>
      <c r="H240" t="s">
        <v>60</v>
      </c>
      <c r="I240" t="s">
        <v>49</v>
      </c>
      <c r="J240" t="s">
        <v>50</v>
      </c>
      <c r="K240" t="s">
        <v>51</v>
      </c>
      <c r="L240" t="s">
        <v>51</v>
      </c>
      <c r="M240" t="s">
        <v>134</v>
      </c>
      <c r="N240" t="s">
        <v>117</v>
      </c>
      <c r="O240" s="11" t="str">
        <f t="shared" si="30"/>
        <v>OK</v>
      </c>
      <c r="P240" t="s">
        <v>54</v>
      </c>
      <c r="Q240" t="s">
        <v>54</v>
      </c>
      <c r="R240" t="s">
        <v>51</v>
      </c>
      <c r="S240" t="s">
        <v>675</v>
      </c>
      <c r="T240" s="1">
        <v>0</v>
      </c>
      <c r="U240" s="1">
        <v>321109.34999999998</v>
      </c>
      <c r="V240" s="13" t="str">
        <f t="shared" si="31"/>
        <v>OK</v>
      </c>
      <c r="W240" s="1">
        <v>464400.8</v>
      </c>
      <c r="X240" s="1">
        <v>0</v>
      </c>
      <c r="Y240" t="s">
        <v>51</v>
      </c>
      <c r="Z240">
        <v>144000</v>
      </c>
      <c r="AA240">
        <v>0</v>
      </c>
      <c r="AB240">
        <v>0</v>
      </c>
      <c r="AC240">
        <v>385507.13</v>
      </c>
      <c r="AD240" s="13" t="str">
        <f t="shared" si="32"/>
        <v>OK</v>
      </c>
      <c r="AE240">
        <v>-1666608.18</v>
      </c>
      <c r="AF240">
        <v>0</v>
      </c>
      <c r="AG240">
        <v>0</v>
      </c>
      <c r="AH240">
        <v>0</v>
      </c>
      <c r="AI240">
        <v>0</v>
      </c>
      <c r="AJ240" s="13" t="str">
        <f t="shared" si="33"/>
        <v>OK</v>
      </c>
      <c r="AK240">
        <v>0</v>
      </c>
      <c r="AL240">
        <v>0</v>
      </c>
      <c r="AM240">
        <v>0</v>
      </c>
      <c r="AN240">
        <v>0</v>
      </c>
      <c r="AO240">
        <v>1502480</v>
      </c>
      <c r="AP240">
        <v>1502480</v>
      </c>
      <c r="AQ240" s="15">
        <f t="shared" si="34"/>
        <v>0</v>
      </c>
      <c r="AR240">
        <v>8668110</v>
      </c>
      <c r="AS240">
        <v>9083110</v>
      </c>
      <c r="AT240">
        <v>170000</v>
      </c>
      <c r="AU240">
        <v>255000</v>
      </c>
      <c r="AV240" s="16">
        <f t="shared" si="35"/>
        <v>670000</v>
      </c>
      <c r="AW240" s="13" t="str">
        <f t="shared" si="36"/>
        <v>SIM</v>
      </c>
      <c r="AX240" s="13" t="str">
        <f t="shared" si="37"/>
        <v>OK</v>
      </c>
      <c r="AY240" s="13" t="str">
        <f t="shared" si="38"/>
        <v>OK</v>
      </c>
      <c r="AZ240">
        <f t="shared" si="39"/>
        <v>-23.131239521457289</v>
      </c>
    </row>
    <row r="241" spans="2:52" x14ac:dyDescent="0.3">
      <c r="B241" t="s">
        <v>1086</v>
      </c>
      <c r="C241" t="s">
        <v>1108</v>
      </c>
      <c r="D241" t="s">
        <v>1109</v>
      </c>
      <c r="E241" t="s">
        <v>1110</v>
      </c>
      <c r="F241" t="s">
        <v>46</v>
      </c>
      <c r="G241" t="s">
        <v>314</v>
      </c>
      <c r="H241" t="s">
        <v>48</v>
      </c>
      <c r="I241" t="s">
        <v>49</v>
      </c>
      <c r="J241" t="s">
        <v>50</v>
      </c>
      <c r="K241" t="s">
        <v>51</v>
      </c>
      <c r="L241" t="s">
        <v>51</v>
      </c>
      <c r="M241" t="s">
        <v>134</v>
      </c>
      <c r="N241" t="s">
        <v>1111</v>
      </c>
      <c r="O241" s="11" t="str">
        <f t="shared" si="30"/>
        <v>OK</v>
      </c>
      <c r="P241" t="s">
        <v>54</v>
      </c>
      <c r="Q241" t="s">
        <v>54</v>
      </c>
      <c r="R241" t="s">
        <v>51</v>
      </c>
      <c r="S241" t="s">
        <v>675</v>
      </c>
      <c r="T241" s="1">
        <v>24912914.309999999</v>
      </c>
      <c r="U241" s="1">
        <v>12456521.710000001</v>
      </c>
      <c r="V241" s="13" t="str">
        <f t="shared" si="31"/>
        <v>OK</v>
      </c>
      <c r="W241" s="1">
        <v>24912914.309999999</v>
      </c>
      <c r="X241" s="1">
        <v>1432930.61</v>
      </c>
      <c r="Y241" t="s">
        <v>51</v>
      </c>
      <c r="Z241">
        <v>525495.17000000004</v>
      </c>
      <c r="AA241">
        <v>0</v>
      </c>
      <c r="AB241">
        <v>0</v>
      </c>
      <c r="AC241">
        <v>-371393.26</v>
      </c>
      <c r="AD241" s="13" t="str">
        <f t="shared" si="32"/>
        <v>OK</v>
      </c>
      <c r="AE241">
        <v>15800959.52</v>
      </c>
      <c r="AF241">
        <v>0</v>
      </c>
      <c r="AG241">
        <v>0</v>
      </c>
      <c r="AH241">
        <v>7000000</v>
      </c>
      <c r="AI241">
        <v>0</v>
      </c>
      <c r="AJ241" s="13" t="str">
        <f t="shared" si="33"/>
        <v>OK</v>
      </c>
      <c r="AK241">
        <v>0</v>
      </c>
      <c r="AL241">
        <v>0</v>
      </c>
      <c r="AM241">
        <v>1000000</v>
      </c>
      <c r="AN241">
        <v>0</v>
      </c>
      <c r="AO241">
        <v>100000</v>
      </c>
      <c r="AP241">
        <v>100000</v>
      </c>
      <c r="AQ241" s="15">
        <f t="shared" si="34"/>
        <v>0</v>
      </c>
      <c r="AR241">
        <v>11628781.640000001</v>
      </c>
      <c r="AS241">
        <v>12628781.640000001</v>
      </c>
      <c r="AT241">
        <v>1000000</v>
      </c>
      <c r="AU241">
        <v>0</v>
      </c>
      <c r="AV241" s="16">
        <f t="shared" si="35"/>
        <v>1000000</v>
      </c>
      <c r="AW241" s="13" t="str">
        <f t="shared" si="36"/>
        <v>SIM</v>
      </c>
      <c r="AX241" s="13" t="str">
        <f t="shared" si="37"/>
        <v>OK</v>
      </c>
      <c r="AY241" s="13" t="str">
        <f t="shared" si="38"/>
        <v>OK</v>
      </c>
      <c r="AZ241">
        <f t="shared" si="39"/>
        <v>-2.3504475125697937</v>
      </c>
    </row>
    <row r="242" spans="2:52" x14ac:dyDescent="0.3">
      <c r="B242" t="s">
        <v>1112</v>
      </c>
      <c r="C242" t="s">
        <v>1129</v>
      </c>
      <c r="D242" t="s">
        <v>1130</v>
      </c>
      <c r="E242" t="s">
        <v>1131</v>
      </c>
      <c r="F242" t="s">
        <v>46</v>
      </c>
      <c r="G242" t="s">
        <v>107</v>
      </c>
      <c r="H242" t="s">
        <v>60</v>
      </c>
      <c r="I242" t="s">
        <v>49</v>
      </c>
      <c r="J242" t="s">
        <v>50</v>
      </c>
      <c r="K242" t="s">
        <v>51</v>
      </c>
      <c r="L242" t="s">
        <v>51</v>
      </c>
      <c r="M242" t="s">
        <v>134</v>
      </c>
      <c r="N242" t="s">
        <v>1132</v>
      </c>
      <c r="O242" s="11" t="str">
        <f t="shared" si="30"/>
        <v>OK</v>
      </c>
      <c r="P242" t="s">
        <v>54</v>
      </c>
      <c r="Q242" t="s">
        <v>54</v>
      </c>
      <c r="R242" t="s">
        <v>51</v>
      </c>
      <c r="S242" t="s">
        <v>1133</v>
      </c>
      <c r="T242" s="1">
        <v>177590323.22999999</v>
      </c>
      <c r="U242" s="1">
        <v>100478568.90000001</v>
      </c>
      <c r="V242" s="13" t="str">
        <f t="shared" si="31"/>
        <v>OK</v>
      </c>
      <c r="W242" s="1">
        <v>265487457.38999999</v>
      </c>
      <c r="X242" s="1">
        <v>16169239</v>
      </c>
      <c r="Y242" t="s">
        <v>51</v>
      </c>
      <c r="Z242">
        <v>484507.76</v>
      </c>
      <c r="AA242">
        <v>0</v>
      </c>
      <c r="AB242">
        <v>2707744.18</v>
      </c>
      <c r="AC242">
        <v>225200633.16</v>
      </c>
      <c r="AD242" s="13" t="str">
        <f t="shared" si="32"/>
        <v>OK</v>
      </c>
      <c r="AE242">
        <v>-450667611.54000002</v>
      </c>
      <c r="AF242">
        <v>0</v>
      </c>
      <c r="AG242">
        <v>0</v>
      </c>
      <c r="AH242">
        <v>0</v>
      </c>
      <c r="AI242">
        <v>0</v>
      </c>
      <c r="AJ242" s="13" t="str">
        <f t="shared" si="33"/>
        <v>OK</v>
      </c>
      <c r="AK242">
        <v>0</v>
      </c>
      <c r="AL242">
        <v>0</v>
      </c>
      <c r="AM242">
        <v>11735793.060000001</v>
      </c>
      <c r="AN242">
        <v>16853881.600000001</v>
      </c>
      <c r="AO242">
        <v>59966976</v>
      </c>
      <c r="AP242">
        <v>59966976</v>
      </c>
      <c r="AQ242" s="15">
        <f t="shared" si="34"/>
        <v>0</v>
      </c>
      <c r="AR242">
        <v>78710883.620000005</v>
      </c>
      <c r="AS242">
        <v>78710883.620000005</v>
      </c>
      <c r="AT242">
        <v>11735793.060000001</v>
      </c>
      <c r="AU242">
        <v>16853881.600000001</v>
      </c>
      <c r="AV242" s="16">
        <f t="shared" si="35"/>
        <v>16853881.600000001</v>
      </c>
      <c r="AW242" s="13" t="str">
        <f t="shared" si="36"/>
        <v>SIM</v>
      </c>
      <c r="AX242" s="13" t="str">
        <f t="shared" si="37"/>
        <v>VER CAPITAL</v>
      </c>
      <c r="AY242" s="13" t="str">
        <f t="shared" si="38"/>
        <v>OK</v>
      </c>
      <c r="AZ242">
        <f t="shared" si="39"/>
        <v>-49.970449926600018</v>
      </c>
    </row>
    <row r="243" spans="2:52" x14ac:dyDescent="0.3">
      <c r="B243" t="s">
        <v>1112</v>
      </c>
      <c r="C243" t="s">
        <v>1113</v>
      </c>
      <c r="D243" t="s">
        <v>1114</v>
      </c>
      <c r="E243" t="s">
        <v>1115</v>
      </c>
      <c r="F243" t="s">
        <v>70</v>
      </c>
      <c r="G243" t="s">
        <v>409</v>
      </c>
      <c r="H243" t="s">
        <v>60</v>
      </c>
      <c r="I243" t="s">
        <v>49</v>
      </c>
      <c r="J243" t="s">
        <v>50</v>
      </c>
      <c r="K243" t="s">
        <v>51</v>
      </c>
      <c r="L243" t="s">
        <v>51</v>
      </c>
      <c r="M243" t="s">
        <v>52</v>
      </c>
      <c r="N243" t="s">
        <v>1012</v>
      </c>
      <c r="O243" s="11" t="str">
        <f t="shared" si="30"/>
        <v>OK</v>
      </c>
      <c r="P243" t="s">
        <v>54</v>
      </c>
      <c r="Q243" t="s">
        <v>54</v>
      </c>
      <c r="R243" t="s">
        <v>51</v>
      </c>
      <c r="S243" t="s">
        <v>1116</v>
      </c>
      <c r="T243" s="1">
        <v>34913242.700000003</v>
      </c>
      <c r="U243" s="1">
        <v>29816641.100000001</v>
      </c>
      <c r="V243" s="13" t="str">
        <f t="shared" si="31"/>
        <v>OK</v>
      </c>
      <c r="W243" s="1">
        <v>34690505.399999999</v>
      </c>
      <c r="X243" s="1">
        <v>0</v>
      </c>
      <c r="Y243" t="s">
        <v>51</v>
      </c>
      <c r="Z243">
        <v>277640.27</v>
      </c>
      <c r="AA243">
        <v>0</v>
      </c>
      <c r="AB243">
        <v>0</v>
      </c>
      <c r="AC243">
        <v>794215.69</v>
      </c>
      <c r="AD243" s="13" t="str">
        <f t="shared" si="32"/>
        <v>OK</v>
      </c>
      <c r="AE243">
        <v>-237720762.50999999</v>
      </c>
      <c r="AF243">
        <v>0</v>
      </c>
      <c r="AG243">
        <v>0</v>
      </c>
      <c r="AH243">
        <v>7079730.0700000003</v>
      </c>
      <c r="AI243">
        <v>32625398.379999999</v>
      </c>
      <c r="AJ243" s="13" t="str">
        <f t="shared" si="33"/>
        <v>OK</v>
      </c>
      <c r="AK243">
        <v>0</v>
      </c>
      <c r="AL243" s="14">
        <v>0</v>
      </c>
      <c r="AM243">
        <v>0</v>
      </c>
      <c r="AN243">
        <v>0</v>
      </c>
      <c r="AO243">
        <v>192846707637</v>
      </c>
      <c r="AP243">
        <v>192846707637</v>
      </c>
      <c r="AQ243" s="15">
        <f t="shared" si="34"/>
        <v>0</v>
      </c>
      <c r="AR243">
        <v>1313101397.05</v>
      </c>
      <c r="AS243">
        <v>1313101397.05</v>
      </c>
      <c r="AT243">
        <v>82331953.109999999</v>
      </c>
      <c r="AU243">
        <v>82331953.109999999</v>
      </c>
      <c r="AV243" s="16">
        <f t="shared" si="35"/>
        <v>82331953.109999999</v>
      </c>
      <c r="AW243" s="13" t="str">
        <f t="shared" si="36"/>
        <v>SIM</v>
      </c>
      <c r="AX243" s="13" t="str">
        <f t="shared" si="37"/>
        <v>OK</v>
      </c>
      <c r="AY243" s="13" t="str">
        <f t="shared" si="38"/>
        <v>OK</v>
      </c>
      <c r="AZ243">
        <f t="shared" si="39"/>
        <v>-0.33409605522638791</v>
      </c>
    </row>
    <row r="244" spans="2:52" x14ac:dyDescent="0.3">
      <c r="B244" t="s">
        <v>1112</v>
      </c>
      <c r="C244" t="s">
        <v>1117</v>
      </c>
      <c r="D244" t="s">
        <v>1118</v>
      </c>
      <c r="E244" t="s">
        <v>1119</v>
      </c>
      <c r="F244" t="s">
        <v>46</v>
      </c>
      <c r="G244" t="s">
        <v>65</v>
      </c>
      <c r="H244" t="s">
        <v>60</v>
      </c>
      <c r="I244" t="s">
        <v>49</v>
      </c>
      <c r="J244" t="s">
        <v>50</v>
      </c>
      <c r="K244" t="s">
        <v>51</v>
      </c>
      <c r="L244" t="s">
        <v>51</v>
      </c>
      <c r="M244" t="s">
        <v>52</v>
      </c>
      <c r="N244" t="s">
        <v>1120</v>
      </c>
      <c r="O244" s="11" t="str">
        <f t="shared" si="30"/>
        <v>OK</v>
      </c>
      <c r="P244" t="s">
        <v>54</v>
      </c>
      <c r="Q244" t="s">
        <v>54</v>
      </c>
      <c r="R244" t="s">
        <v>51</v>
      </c>
      <c r="S244" t="s">
        <v>1121</v>
      </c>
      <c r="T244" s="1">
        <v>34266488.509999998</v>
      </c>
      <c r="U244" s="1">
        <v>26418605.109999999</v>
      </c>
      <c r="V244" s="13" t="str">
        <f t="shared" si="31"/>
        <v>OK</v>
      </c>
      <c r="W244" s="1">
        <v>71653763.670000002</v>
      </c>
      <c r="X244" s="1">
        <v>260830.72</v>
      </c>
      <c r="Y244" t="s">
        <v>51</v>
      </c>
      <c r="Z244">
        <v>350532</v>
      </c>
      <c r="AA244">
        <v>0</v>
      </c>
      <c r="AB244">
        <v>0</v>
      </c>
      <c r="AC244">
        <v>-132300.81</v>
      </c>
      <c r="AD244" s="13" t="str">
        <f t="shared" si="32"/>
        <v>OK</v>
      </c>
      <c r="AE244">
        <v>119525114.04000001</v>
      </c>
      <c r="AF244">
        <v>533496172.04000002</v>
      </c>
      <c r="AG244">
        <v>0</v>
      </c>
      <c r="AH244">
        <v>29832593.460000001</v>
      </c>
      <c r="AI244">
        <v>33831463.009999998</v>
      </c>
      <c r="AJ244" s="13" t="str">
        <f t="shared" si="33"/>
        <v>OK</v>
      </c>
      <c r="AK244">
        <v>30091143.52</v>
      </c>
      <c r="AL244" s="14">
        <v>33539993.109999999</v>
      </c>
      <c r="AM244">
        <v>0</v>
      </c>
      <c r="AN244">
        <v>0</v>
      </c>
      <c r="AO244">
        <v>9984136</v>
      </c>
      <c r="AP244">
        <v>9984136</v>
      </c>
      <c r="AQ244" s="15">
        <f t="shared" si="34"/>
        <v>0</v>
      </c>
      <c r="AR244">
        <v>533496172.04000002</v>
      </c>
      <c r="AS244">
        <v>533496172.04000002</v>
      </c>
      <c r="AT244">
        <v>0</v>
      </c>
      <c r="AU244">
        <v>0</v>
      </c>
      <c r="AV244" s="16">
        <f t="shared" si="35"/>
        <v>0</v>
      </c>
      <c r="AW244" s="13" t="str">
        <f t="shared" si="36"/>
        <v>NÃO</v>
      </c>
      <c r="AX244" s="13" t="str">
        <f t="shared" si="37"/>
        <v>OK</v>
      </c>
      <c r="AY244" s="13" t="str">
        <f t="shared" si="38"/>
        <v>OK</v>
      </c>
      <c r="AZ244">
        <f t="shared" si="39"/>
        <v>-0.11068871262965246</v>
      </c>
    </row>
    <row r="245" spans="2:52" x14ac:dyDescent="0.3">
      <c r="B245" t="s">
        <v>1112</v>
      </c>
      <c r="C245" t="s">
        <v>1122</v>
      </c>
      <c r="D245" t="s">
        <v>1123</v>
      </c>
      <c r="E245" t="s">
        <v>1124</v>
      </c>
      <c r="F245" t="s">
        <v>46</v>
      </c>
      <c r="G245" t="s">
        <v>71</v>
      </c>
      <c r="H245" t="s">
        <v>60</v>
      </c>
      <c r="I245" t="s">
        <v>49</v>
      </c>
      <c r="J245" t="s">
        <v>50</v>
      </c>
      <c r="K245" t="s">
        <v>51</v>
      </c>
      <c r="L245" t="s">
        <v>51</v>
      </c>
      <c r="M245" t="s">
        <v>52</v>
      </c>
      <c r="N245" t="s">
        <v>1125</v>
      </c>
      <c r="O245" s="11" t="str">
        <f t="shared" si="30"/>
        <v>OK</v>
      </c>
      <c r="P245" t="s">
        <v>54</v>
      </c>
      <c r="Q245" t="s">
        <v>54</v>
      </c>
      <c r="R245" t="s">
        <v>54</v>
      </c>
      <c r="S245" t="s">
        <v>1126</v>
      </c>
      <c r="T245" s="1">
        <v>1946368.74</v>
      </c>
      <c r="U245" s="1">
        <v>6809601.8799999999</v>
      </c>
      <c r="V245" s="13" t="str">
        <f t="shared" si="31"/>
        <v>OK</v>
      </c>
      <c r="W245" s="1">
        <v>8919037.7400000002</v>
      </c>
      <c r="X245" s="1">
        <v>0</v>
      </c>
      <c r="Y245" t="s">
        <v>51</v>
      </c>
      <c r="Z245">
        <v>379743</v>
      </c>
      <c r="AA245">
        <v>0</v>
      </c>
      <c r="AB245">
        <v>0</v>
      </c>
      <c r="AC245">
        <v>-248374.57</v>
      </c>
      <c r="AD245" s="13" t="str">
        <f t="shared" si="32"/>
        <v>OK</v>
      </c>
      <c r="AE245">
        <v>18994658.32</v>
      </c>
      <c r="AF245">
        <v>0</v>
      </c>
      <c r="AG245">
        <v>0</v>
      </c>
      <c r="AH245">
        <v>8462899.3000000007</v>
      </c>
      <c r="AI245">
        <v>8827951.9900000002</v>
      </c>
      <c r="AJ245" s="13" t="str">
        <f t="shared" si="33"/>
        <v>OK</v>
      </c>
      <c r="AK245">
        <v>8462899.3000000007</v>
      </c>
      <c r="AL245" s="14">
        <v>8827951.9100000001</v>
      </c>
      <c r="AM245">
        <v>0</v>
      </c>
      <c r="AN245">
        <v>10002996</v>
      </c>
      <c r="AO245">
        <v>16159750</v>
      </c>
      <c r="AP245">
        <v>26167389</v>
      </c>
      <c r="AQ245" s="15">
        <f t="shared" si="34"/>
        <v>10007639</v>
      </c>
      <c r="AR245">
        <v>16164393.109999999</v>
      </c>
      <c r="AS245">
        <v>26167389.109999999</v>
      </c>
      <c r="AT245">
        <v>0</v>
      </c>
      <c r="AU245">
        <v>0</v>
      </c>
      <c r="AV245" s="16">
        <f t="shared" si="35"/>
        <v>10002996</v>
      </c>
      <c r="AW245" s="13" t="str">
        <f t="shared" si="36"/>
        <v>SIM</v>
      </c>
      <c r="AX245" s="13" t="str">
        <f t="shared" si="37"/>
        <v>OK</v>
      </c>
      <c r="AY245" s="13" t="str">
        <f t="shared" si="38"/>
        <v>OK</v>
      </c>
      <c r="AZ245">
        <f t="shared" si="39"/>
        <v>-1.3076021996061891</v>
      </c>
    </row>
    <row r="246" spans="2:52" x14ac:dyDescent="0.3">
      <c r="B246" t="s">
        <v>1112</v>
      </c>
      <c r="C246" t="s">
        <v>1127</v>
      </c>
      <c r="D246" t="s">
        <v>1127</v>
      </c>
      <c r="E246" t="s">
        <v>1128</v>
      </c>
      <c r="F246" t="s">
        <v>46</v>
      </c>
      <c r="G246" t="s">
        <v>150</v>
      </c>
      <c r="H246" t="s">
        <v>48</v>
      </c>
      <c r="I246" t="s">
        <v>76</v>
      </c>
      <c r="J246" t="s">
        <v>50</v>
      </c>
      <c r="K246" t="s">
        <v>51</v>
      </c>
      <c r="L246" t="s">
        <v>51</v>
      </c>
      <c r="M246" t="s">
        <v>52</v>
      </c>
      <c r="N246" t="s">
        <v>856</v>
      </c>
      <c r="O246" s="11" t="str">
        <f t="shared" si="30"/>
        <v>OK</v>
      </c>
      <c r="P246" t="s">
        <v>54</v>
      </c>
      <c r="Q246" t="s">
        <v>51</v>
      </c>
      <c r="R246" t="s">
        <v>54</v>
      </c>
      <c r="S246" t="s">
        <v>1121</v>
      </c>
      <c r="T246" s="1">
        <v>81582.11</v>
      </c>
      <c r="U246" s="1">
        <v>4899081.38</v>
      </c>
      <c r="V246" s="13" t="str">
        <f t="shared" si="31"/>
        <v>OK</v>
      </c>
      <c r="W246" s="1">
        <v>5285258.38</v>
      </c>
      <c r="X246" s="1">
        <v>48083.8</v>
      </c>
      <c r="Y246" t="s">
        <v>51</v>
      </c>
      <c r="Z246">
        <v>130000</v>
      </c>
      <c r="AA246">
        <v>0</v>
      </c>
      <c r="AB246">
        <v>0</v>
      </c>
      <c r="AC246">
        <v>2270915.54</v>
      </c>
      <c r="AD246" s="13" t="str">
        <f t="shared" si="32"/>
        <v>OK</v>
      </c>
      <c r="AE246">
        <v>166750.26</v>
      </c>
      <c r="AF246">
        <v>0</v>
      </c>
      <c r="AG246">
        <v>0</v>
      </c>
      <c r="AH246">
        <v>5693691.79</v>
      </c>
      <c r="AI246">
        <v>6403152.9699999997</v>
      </c>
      <c r="AJ246" s="13" t="str">
        <f t="shared" si="33"/>
        <v>OK</v>
      </c>
      <c r="AK246">
        <v>0</v>
      </c>
      <c r="AL246" s="14">
        <v>0</v>
      </c>
      <c r="AM246">
        <v>0</v>
      </c>
      <c r="AN246">
        <v>0</v>
      </c>
      <c r="AO246">
        <v>0</v>
      </c>
      <c r="AP246">
        <v>0</v>
      </c>
      <c r="AQ246" s="15">
        <f t="shared" si="34"/>
        <v>0</v>
      </c>
      <c r="AR246">
        <v>800000</v>
      </c>
      <c r="AS246">
        <v>800000</v>
      </c>
      <c r="AT246">
        <v>0</v>
      </c>
      <c r="AU246">
        <v>0</v>
      </c>
      <c r="AV246" s="16">
        <f t="shared" si="35"/>
        <v>0</v>
      </c>
      <c r="AW246" s="13" t="str">
        <f t="shared" si="36"/>
        <v>NÃO</v>
      </c>
      <c r="AX246" s="13" t="str">
        <f t="shared" si="37"/>
        <v>OK</v>
      </c>
      <c r="AY246" s="13" t="str">
        <f t="shared" si="38"/>
        <v>OK</v>
      </c>
      <c r="AZ246">
        <f t="shared" si="39"/>
        <v>1361.8662663554467</v>
      </c>
    </row>
    <row r="247" spans="2:52" x14ac:dyDescent="0.3">
      <c r="B247" t="s">
        <v>1134</v>
      </c>
      <c r="C247" t="s">
        <v>1135</v>
      </c>
      <c r="D247" t="s">
        <v>1136</v>
      </c>
      <c r="E247" t="s">
        <v>1137</v>
      </c>
      <c r="F247" t="s">
        <v>46</v>
      </c>
      <c r="G247" t="s">
        <v>71</v>
      </c>
      <c r="H247" t="s">
        <v>60</v>
      </c>
      <c r="I247" t="s">
        <v>49</v>
      </c>
      <c r="J247" t="s">
        <v>50</v>
      </c>
      <c r="K247" t="s">
        <v>51</v>
      </c>
      <c r="L247" t="s">
        <v>51</v>
      </c>
      <c r="M247" t="s">
        <v>134</v>
      </c>
      <c r="N247" t="s">
        <v>1138</v>
      </c>
      <c r="O247" s="11" t="str">
        <f t="shared" si="30"/>
        <v>OK</v>
      </c>
      <c r="P247" t="s">
        <v>54</v>
      </c>
      <c r="Q247" t="s">
        <v>54</v>
      </c>
      <c r="R247" t="s">
        <v>54</v>
      </c>
      <c r="S247" t="s">
        <v>1139</v>
      </c>
      <c r="T247" s="1">
        <v>640784428.80999994</v>
      </c>
      <c r="U247" s="1">
        <v>68153563</v>
      </c>
      <c r="V247" s="13" t="str">
        <f t="shared" si="31"/>
        <v>OK</v>
      </c>
      <c r="W247" s="1">
        <v>577484078.52999997</v>
      </c>
      <c r="X247" s="1">
        <v>0</v>
      </c>
      <c r="Y247" t="s">
        <v>54</v>
      </c>
      <c r="Z247">
        <v>571938.12</v>
      </c>
      <c r="AA247">
        <v>53415.01</v>
      </c>
      <c r="AB247">
        <v>81395.13</v>
      </c>
      <c r="AC247">
        <v>53126424.549999997</v>
      </c>
      <c r="AD247" s="13" t="str">
        <f t="shared" si="32"/>
        <v>OK</v>
      </c>
      <c r="AE247">
        <v>1008416081.0700001</v>
      </c>
      <c r="AF247">
        <v>0</v>
      </c>
      <c r="AG247">
        <v>0</v>
      </c>
      <c r="AH247">
        <v>0</v>
      </c>
      <c r="AI247">
        <v>0</v>
      </c>
      <c r="AJ247" s="13" t="str">
        <f t="shared" si="33"/>
        <v>OK</v>
      </c>
      <c r="AK247">
        <v>0</v>
      </c>
      <c r="AL247">
        <v>0</v>
      </c>
      <c r="AM247">
        <v>0</v>
      </c>
      <c r="AN247">
        <v>101336739</v>
      </c>
      <c r="AO247">
        <v>99.99</v>
      </c>
      <c r="AP247">
        <v>99.99</v>
      </c>
      <c r="AQ247" s="15">
        <f t="shared" si="34"/>
        <v>0</v>
      </c>
      <c r="AR247">
        <v>798273075</v>
      </c>
      <c r="AS247">
        <v>914150698</v>
      </c>
      <c r="AT247">
        <v>0</v>
      </c>
      <c r="AU247">
        <v>0</v>
      </c>
      <c r="AV247" s="16">
        <f t="shared" si="35"/>
        <v>115877623</v>
      </c>
      <c r="AW247" s="13" t="str">
        <f t="shared" si="36"/>
        <v>SIM</v>
      </c>
      <c r="AX247" s="13" t="str">
        <f t="shared" si="37"/>
        <v>VER CAPITAL</v>
      </c>
      <c r="AY247" s="13" t="str">
        <f t="shared" si="38"/>
        <v>OK</v>
      </c>
      <c r="AZ247">
        <f t="shared" si="39"/>
        <v>5.2683039815895381</v>
      </c>
    </row>
    <row r="248" spans="2:52" x14ac:dyDescent="0.3">
      <c r="B248" t="s">
        <v>1134</v>
      </c>
      <c r="C248" t="s">
        <v>1140</v>
      </c>
      <c r="D248" t="s">
        <v>1141</v>
      </c>
      <c r="E248" t="s">
        <v>1142</v>
      </c>
      <c r="F248" t="s">
        <v>46</v>
      </c>
      <c r="G248" t="s">
        <v>71</v>
      </c>
      <c r="H248" t="s">
        <v>60</v>
      </c>
      <c r="I248" t="s">
        <v>49</v>
      </c>
      <c r="J248" t="s">
        <v>373</v>
      </c>
      <c r="K248" t="s">
        <v>54</v>
      </c>
      <c r="L248" t="s">
        <v>51</v>
      </c>
      <c r="M248" t="s">
        <v>134</v>
      </c>
      <c r="N248" t="s">
        <v>1143</v>
      </c>
      <c r="O248" s="11" t="str">
        <f t="shared" si="30"/>
        <v>OK</v>
      </c>
      <c r="P248" t="s">
        <v>54</v>
      </c>
      <c r="Q248" t="s">
        <v>54</v>
      </c>
      <c r="R248" t="s">
        <v>54</v>
      </c>
      <c r="S248" t="s">
        <v>1144</v>
      </c>
      <c r="T248" s="1">
        <v>9130368000</v>
      </c>
      <c r="U248" s="1">
        <v>2539113000</v>
      </c>
      <c r="V248" s="13" t="str">
        <f t="shared" si="31"/>
        <v>OK</v>
      </c>
      <c r="W248" s="1">
        <v>5957274000</v>
      </c>
      <c r="X248" s="1">
        <v>384066290.88999999</v>
      </c>
      <c r="Y248" t="s">
        <v>54</v>
      </c>
      <c r="Z248">
        <v>1849122.58</v>
      </c>
      <c r="AA248">
        <v>15275.52</v>
      </c>
      <c r="AB248">
        <v>30142.49</v>
      </c>
      <c r="AC248">
        <v>916121000</v>
      </c>
      <c r="AD248" s="13" t="str">
        <f t="shared" si="32"/>
        <v>OK</v>
      </c>
      <c r="AE248">
        <v>10413708000</v>
      </c>
      <c r="AF248">
        <v>4475199903.4499998</v>
      </c>
      <c r="AG248">
        <v>200968077.28999999</v>
      </c>
      <c r="AH248">
        <v>0</v>
      </c>
      <c r="AI248">
        <v>0</v>
      </c>
      <c r="AJ248" s="13" t="str">
        <f t="shared" si="33"/>
        <v>OK</v>
      </c>
      <c r="AK248">
        <v>0</v>
      </c>
      <c r="AL248">
        <v>0</v>
      </c>
      <c r="AM248">
        <v>0</v>
      </c>
      <c r="AN248">
        <v>0</v>
      </c>
      <c r="AO248">
        <v>49.39</v>
      </c>
      <c r="AP248">
        <v>49.39</v>
      </c>
      <c r="AQ248" s="15">
        <f t="shared" si="34"/>
        <v>0</v>
      </c>
      <c r="AR248">
        <v>5200000000</v>
      </c>
      <c r="AS248">
        <v>8000000000</v>
      </c>
      <c r="AT248">
        <v>0</v>
      </c>
      <c r="AU248">
        <v>0</v>
      </c>
      <c r="AV248" s="16">
        <f t="shared" si="35"/>
        <v>2800000000</v>
      </c>
      <c r="AW248" s="13" t="str">
        <f t="shared" si="36"/>
        <v>SIM</v>
      </c>
      <c r="AX248" s="13" t="str">
        <f t="shared" si="37"/>
        <v>OK</v>
      </c>
      <c r="AY248" s="13" t="str">
        <f t="shared" si="38"/>
        <v>OK</v>
      </c>
      <c r="AZ248">
        <f t="shared" si="39"/>
        <v>8.797260303438506</v>
      </c>
    </row>
    <row r="249" spans="2:52" x14ac:dyDescent="0.3">
      <c r="B249" t="s">
        <v>1134</v>
      </c>
      <c r="C249" t="s">
        <v>1145</v>
      </c>
      <c r="D249" t="s">
        <v>1146</v>
      </c>
      <c r="E249" t="s">
        <v>1147</v>
      </c>
      <c r="F249" t="s">
        <v>46</v>
      </c>
      <c r="G249" t="s">
        <v>71</v>
      </c>
      <c r="H249" t="s">
        <v>48</v>
      </c>
      <c r="I249" t="s">
        <v>76</v>
      </c>
      <c r="J249" t="s">
        <v>50</v>
      </c>
      <c r="K249" t="s">
        <v>51</v>
      </c>
      <c r="L249" t="s">
        <v>51</v>
      </c>
      <c r="M249" t="s">
        <v>134</v>
      </c>
      <c r="N249" t="s">
        <v>173</v>
      </c>
      <c r="O249" s="11" t="str">
        <f t="shared" si="30"/>
        <v>OK</v>
      </c>
      <c r="P249" t="s">
        <v>54</v>
      </c>
      <c r="Q249" t="s">
        <v>54</v>
      </c>
      <c r="R249" t="s">
        <v>54</v>
      </c>
      <c r="S249" t="s">
        <v>1148</v>
      </c>
      <c r="T249" s="1">
        <v>3023117296.27</v>
      </c>
      <c r="U249" s="1">
        <v>262579991.37</v>
      </c>
      <c r="V249" s="13" t="str">
        <f t="shared" si="31"/>
        <v>OK</v>
      </c>
      <c r="W249" s="1">
        <v>2409384131.54</v>
      </c>
      <c r="X249" s="1">
        <v>3813473.77</v>
      </c>
      <c r="Y249" t="s">
        <v>54</v>
      </c>
      <c r="Z249">
        <v>828506.55</v>
      </c>
      <c r="AA249">
        <v>44970.29</v>
      </c>
      <c r="AB249">
        <v>23459.81</v>
      </c>
      <c r="AC249">
        <v>472452860.83999997</v>
      </c>
      <c r="AD249" s="13" t="str">
        <f t="shared" si="32"/>
        <v>OK</v>
      </c>
      <c r="AE249">
        <v>4495898455.4499998</v>
      </c>
      <c r="AF249">
        <v>0</v>
      </c>
      <c r="AG249">
        <v>0</v>
      </c>
      <c r="AH249">
        <v>0</v>
      </c>
      <c r="AI249">
        <v>0</v>
      </c>
      <c r="AJ249" s="13" t="str">
        <f t="shared" si="33"/>
        <v>OK</v>
      </c>
      <c r="AK249">
        <v>0</v>
      </c>
      <c r="AL249">
        <v>0</v>
      </c>
      <c r="AM249">
        <v>0</v>
      </c>
      <c r="AN249">
        <v>0</v>
      </c>
      <c r="AO249">
        <v>33.33</v>
      </c>
      <c r="AP249">
        <v>33.33</v>
      </c>
      <c r="AQ249" s="15">
        <f t="shared" si="34"/>
        <v>0</v>
      </c>
      <c r="AR249">
        <v>2225541000</v>
      </c>
      <c r="AS249">
        <v>2487333000</v>
      </c>
      <c r="AT249">
        <v>0</v>
      </c>
      <c r="AU249">
        <v>0</v>
      </c>
      <c r="AV249" s="16">
        <f t="shared" si="35"/>
        <v>261792000</v>
      </c>
      <c r="AW249" s="13" t="str">
        <f t="shared" si="36"/>
        <v>SIM</v>
      </c>
      <c r="AX249" s="13" t="str">
        <f t="shared" si="37"/>
        <v>OK</v>
      </c>
      <c r="AY249" s="13" t="str">
        <f t="shared" si="38"/>
        <v>OK</v>
      </c>
      <c r="AZ249">
        <f t="shared" si="39"/>
        <v>10.508530508897174</v>
      </c>
    </row>
    <row r="250" spans="2:52" x14ac:dyDescent="0.3">
      <c r="B250" t="s">
        <v>1134</v>
      </c>
      <c r="C250" t="s">
        <v>1149</v>
      </c>
      <c r="D250" t="s">
        <v>1150</v>
      </c>
      <c r="E250" t="s">
        <v>1151</v>
      </c>
      <c r="F250" t="s">
        <v>46</v>
      </c>
      <c r="G250" t="s">
        <v>133</v>
      </c>
      <c r="H250" t="s">
        <v>60</v>
      </c>
      <c r="I250" t="s">
        <v>49</v>
      </c>
      <c r="J250" t="s">
        <v>373</v>
      </c>
      <c r="K250" t="s">
        <v>51</v>
      </c>
      <c r="L250" t="s">
        <v>51</v>
      </c>
      <c r="M250" t="s">
        <v>134</v>
      </c>
      <c r="N250" t="s">
        <v>125</v>
      </c>
      <c r="O250" s="11" t="str">
        <f t="shared" si="30"/>
        <v>OK</v>
      </c>
      <c r="P250" t="s">
        <v>54</v>
      </c>
      <c r="Q250" t="s">
        <v>54</v>
      </c>
      <c r="R250" t="s">
        <v>51</v>
      </c>
      <c r="S250" t="s">
        <v>1152</v>
      </c>
      <c r="T250" s="1">
        <v>0</v>
      </c>
      <c r="U250" s="1">
        <v>0</v>
      </c>
      <c r="V250" s="13" t="str">
        <f t="shared" si="31"/>
        <v>OK</v>
      </c>
      <c r="W250" s="1">
        <v>149000</v>
      </c>
      <c r="X250" s="1">
        <v>0</v>
      </c>
      <c r="Y250" t="s">
        <v>51</v>
      </c>
      <c r="Z250">
        <v>0</v>
      </c>
      <c r="AA250">
        <v>0</v>
      </c>
      <c r="AB250">
        <v>0</v>
      </c>
      <c r="AC250">
        <v>-149112.4</v>
      </c>
      <c r="AD250" s="13" t="str">
        <f t="shared" si="32"/>
        <v>OK</v>
      </c>
      <c r="AE250">
        <v>720594627.04999995</v>
      </c>
      <c r="AF250">
        <v>0</v>
      </c>
      <c r="AG250">
        <v>0</v>
      </c>
      <c r="AH250">
        <v>0</v>
      </c>
      <c r="AI250">
        <v>0</v>
      </c>
      <c r="AJ250" s="13" t="str">
        <f t="shared" si="33"/>
        <v>OK</v>
      </c>
      <c r="AK250">
        <v>0</v>
      </c>
      <c r="AL250">
        <v>0</v>
      </c>
      <c r="AM250">
        <v>700000000</v>
      </c>
      <c r="AN250">
        <v>500000000</v>
      </c>
      <c r="AO250">
        <v>100</v>
      </c>
      <c r="AP250">
        <v>100</v>
      </c>
      <c r="AQ250" s="15">
        <f t="shared" si="34"/>
        <v>0</v>
      </c>
      <c r="AR250">
        <v>10200000</v>
      </c>
      <c r="AS250">
        <v>710200000</v>
      </c>
      <c r="AT250">
        <v>700000000</v>
      </c>
      <c r="AU250">
        <v>500000000</v>
      </c>
      <c r="AV250" s="16">
        <f t="shared" si="35"/>
        <v>1200000000</v>
      </c>
      <c r="AW250" s="13" t="str">
        <f t="shared" si="36"/>
        <v>SIM</v>
      </c>
      <c r="AX250" s="13" t="str">
        <f t="shared" si="37"/>
        <v>VER CAPITAL</v>
      </c>
      <c r="AY250" s="13" t="str">
        <f t="shared" si="38"/>
        <v>OK</v>
      </c>
      <c r="AZ250">
        <f t="shared" si="39"/>
        <v>-2.0692965837178456E-2</v>
      </c>
    </row>
    <row r="251" spans="2:52" x14ac:dyDescent="0.3">
      <c r="B251" t="s">
        <v>1134</v>
      </c>
      <c r="C251" t="s">
        <v>1153</v>
      </c>
      <c r="D251" t="s">
        <v>303</v>
      </c>
      <c r="E251" t="s">
        <v>1154</v>
      </c>
      <c r="F251" t="s">
        <v>46</v>
      </c>
      <c r="G251" t="s">
        <v>75</v>
      </c>
      <c r="H251" t="s">
        <v>60</v>
      </c>
      <c r="I251" t="s">
        <v>49</v>
      </c>
      <c r="J251" t="s">
        <v>50</v>
      </c>
      <c r="K251" t="s">
        <v>51</v>
      </c>
      <c r="L251" t="s">
        <v>51</v>
      </c>
      <c r="M251" t="s">
        <v>134</v>
      </c>
      <c r="N251" t="s">
        <v>1155</v>
      </c>
      <c r="O251" s="11" t="str">
        <f t="shared" si="30"/>
        <v>OK</v>
      </c>
      <c r="P251" t="s">
        <v>54</v>
      </c>
      <c r="Q251" t="s">
        <v>54</v>
      </c>
      <c r="R251" t="s">
        <v>54</v>
      </c>
      <c r="S251" t="s">
        <v>1156</v>
      </c>
      <c r="T251" s="1">
        <v>11697071.09</v>
      </c>
      <c r="U251" s="1">
        <v>6354041.6900000004</v>
      </c>
      <c r="V251" s="13" t="str">
        <f t="shared" si="31"/>
        <v>OK</v>
      </c>
      <c r="W251" s="1">
        <v>19451638.52</v>
      </c>
      <c r="X251" s="1">
        <v>465759.66</v>
      </c>
      <c r="Y251" t="s">
        <v>51</v>
      </c>
      <c r="Z251">
        <v>315191.63</v>
      </c>
      <c r="AA251">
        <v>0</v>
      </c>
      <c r="AB251">
        <v>47632.59</v>
      </c>
      <c r="AC251">
        <v>-5644337.2000000002</v>
      </c>
      <c r="AD251" s="13" t="str">
        <f t="shared" si="32"/>
        <v>OK</v>
      </c>
      <c r="AE251">
        <v>12702451.84</v>
      </c>
      <c r="AF251">
        <v>0</v>
      </c>
      <c r="AG251">
        <v>0</v>
      </c>
      <c r="AH251">
        <v>0</v>
      </c>
      <c r="AI251">
        <v>0</v>
      </c>
      <c r="AJ251" s="13" t="str">
        <f t="shared" si="33"/>
        <v>OK</v>
      </c>
      <c r="AK251">
        <v>0</v>
      </c>
      <c r="AL251">
        <v>0</v>
      </c>
      <c r="AM251">
        <v>0</v>
      </c>
      <c r="AN251">
        <v>0</v>
      </c>
      <c r="AO251">
        <v>94.24</v>
      </c>
      <c r="AP251">
        <v>94.24</v>
      </c>
      <c r="AQ251" s="15">
        <f t="shared" si="34"/>
        <v>0</v>
      </c>
      <c r="AR251">
        <v>21702451.98</v>
      </c>
      <c r="AS251">
        <v>21702451.98</v>
      </c>
      <c r="AT251">
        <v>0</v>
      </c>
      <c r="AU251">
        <v>18122382.02</v>
      </c>
      <c r="AV251" s="16">
        <f t="shared" si="35"/>
        <v>18122382.02</v>
      </c>
      <c r="AW251" s="13" t="str">
        <f t="shared" si="36"/>
        <v>SIM</v>
      </c>
      <c r="AX251" s="13" t="str">
        <f t="shared" si="37"/>
        <v>OK</v>
      </c>
      <c r="AY251" s="13" t="str">
        <f t="shared" si="38"/>
        <v>OK</v>
      </c>
      <c r="AZ251">
        <f t="shared" si="39"/>
        <v>-44.435021451732581</v>
      </c>
    </row>
    <row r="252" spans="2:52" x14ac:dyDescent="0.3">
      <c r="B252" t="s">
        <v>1134</v>
      </c>
      <c r="C252" t="s">
        <v>1157</v>
      </c>
      <c r="D252" t="s">
        <v>1158</v>
      </c>
      <c r="E252" t="s">
        <v>1159</v>
      </c>
      <c r="F252" t="s">
        <v>70</v>
      </c>
      <c r="G252" t="s">
        <v>75</v>
      </c>
      <c r="H252" t="s">
        <v>60</v>
      </c>
      <c r="I252" t="s">
        <v>76</v>
      </c>
      <c r="J252" t="s">
        <v>50</v>
      </c>
      <c r="K252" t="s">
        <v>51</v>
      </c>
      <c r="L252" t="s">
        <v>51</v>
      </c>
      <c r="M252" s="11" t="s">
        <v>134</v>
      </c>
      <c r="N252" t="s">
        <v>81</v>
      </c>
      <c r="O252" s="11" t="str">
        <f t="shared" si="30"/>
        <v>OK</v>
      </c>
      <c r="P252" t="s">
        <v>54</v>
      </c>
      <c r="Q252" t="s">
        <v>54</v>
      </c>
      <c r="R252" t="s">
        <v>51</v>
      </c>
      <c r="S252" t="s">
        <v>55</v>
      </c>
      <c r="T252" s="1">
        <v>0</v>
      </c>
      <c r="U252" s="1">
        <v>4276378.51</v>
      </c>
      <c r="V252" s="13" t="str">
        <f t="shared" si="31"/>
        <v>OK</v>
      </c>
      <c r="W252" s="1">
        <v>25276047.199999999</v>
      </c>
      <c r="X252" s="1">
        <v>0</v>
      </c>
      <c r="Y252" t="s">
        <v>51</v>
      </c>
      <c r="Z252">
        <v>725692.78</v>
      </c>
      <c r="AA252">
        <v>0</v>
      </c>
      <c r="AB252">
        <v>0</v>
      </c>
      <c r="AC252">
        <v>-86771443.980000004</v>
      </c>
      <c r="AD252" s="13" t="str">
        <f t="shared" si="32"/>
        <v>OK</v>
      </c>
      <c r="AE252">
        <v>-544855831.86000001</v>
      </c>
      <c r="AF252">
        <v>0</v>
      </c>
      <c r="AG252">
        <v>0</v>
      </c>
      <c r="AH252">
        <v>19200000</v>
      </c>
      <c r="AI252" s="14">
        <v>17000000</v>
      </c>
      <c r="AJ252" s="13" t="str">
        <f t="shared" si="33"/>
        <v>INDÍCIO DE DEPENDÊNCIA POR SUBVENÇÃO</v>
      </c>
      <c r="AK252">
        <v>0</v>
      </c>
      <c r="AL252" s="14">
        <v>0</v>
      </c>
      <c r="AM252">
        <v>0</v>
      </c>
      <c r="AN252">
        <v>0</v>
      </c>
      <c r="AO252">
        <v>100</v>
      </c>
      <c r="AP252">
        <v>100</v>
      </c>
      <c r="AQ252" s="15">
        <f t="shared" si="34"/>
        <v>0</v>
      </c>
      <c r="AR252">
        <v>193337426.28999999</v>
      </c>
      <c r="AS252">
        <v>193337426.28999999</v>
      </c>
      <c r="AT252">
        <v>156662573.61000001</v>
      </c>
      <c r="AU252">
        <v>156662573.61000001</v>
      </c>
      <c r="AV252" s="16">
        <f t="shared" si="35"/>
        <v>156662573.61000001</v>
      </c>
      <c r="AW252" s="13" t="str">
        <f t="shared" si="36"/>
        <v>SIM</v>
      </c>
      <c r="AX252" s="13" t="str">
        <f t="shared" si="37"/>
        <v>OK</v>
      </c>
      <c r="AY252" s="13" t="str">
        <f t="shared" si="38"/>
        <v>OK</v>
      </c>
      <c r="AZ252">
        <f t="shared" si="39"/>
        <v>15.925578640460584</v>
      </c>
    </row>
    <row r="253" spans="2:52" x14ac:dyDescent="0.3">
      <c r="B253" t="s">
        <v>1134</v>
      </c>
      <c r="C253" t="s">
        <v>1160</v>
      </c>
      <c r="D253" t="s">
        <v>1161</v>
      </c>
      <c r="E253" t="s">
        <v>1162</v>
      </c>
      <c r="F253" t="s">
        <v>46</v>
      </c>
      <c r="G253" t="s">
        <v>224</v>
      </c>
      <c r="H253" t="s">
        <v>60</v>
      </c>
      <c r="I253" t="s">
        <v>49</v>
      </c>
      <c r="J253" t="s">
        <v>50</v>
      </c>
      <c r="K253" t="s">
        <v>51</v>
      </c>
      <c r="L253" t="s">
        <v>51</v>
      </c>
      <c r="M253" t="s">
        <v>134</v>
      </c>
      <c r="N253" t="s">
        <v>1163</v>
      </c>
      <c r="O253" s="11" t="str">
        <f t="shared" si="30"/>
        <v>OK</v>
      </c>
      <c r="P253" t="s">
        <v>54</v>
      </c>
      <c r="Q253" t="s">
        <v>54</v>
      </c>
      <c r="R253" t="s">
        <v>54</v>
      </c>
      <c r="S253" t="s">
        <v>1164</v>
      </c>
      <c r="T253" s="1">
        <v>170927213.81</v>
      </c>
      <c r="U253" s="1">
        <v>60392061.159999996</v>
      </c>
      <c r="V253" s="13" t="str">
        <f t="shared" si="31"/>
        <v>OK</v>
      </c>
      <c r="W253" s="1">
        <v>164695002.86000001</v>
      </c>
      <c r="X253" s="1">
        <v>237785.55</v>
      </c>
      <c r="Y253" t="s">
        <v>51</v>
      </c>
      <c r="Z253">
        <v>537533.23</v>
      </c>
      <c r="AA253">
        <v>0</v>
      </c>
      <c r="AB253">
        <v>22962.720000000001</v>
      </c>
      <c r="AC253">
        <v>11783663.57</v>
      </c>
      <c r="AD253" s="13" t="str">
        <f t="shared" si="32"/>
        <v>OK</v>
      </c>
      <c r="AE253">
        <v>290979798.89999998</v>
      </c>
      <c r="AF253">
        <v>0</v>
      </c>
      <c r="AG253">
        <v>0</v>
      </c>
      <c r="AH253">
        <v>0</v>
      </c>
      <c r="AI253">
        <v>0</v>
      </c>
      <c r="AJ253" s="13" t="str">
        <f t="shared" si="33"/>
        <v>OK</v>
      </c>
      <c r="AK253">
        <v>0</v>
      </c>
      <c r="AL253">
        <v>0</v>
      </c>
      <c r="AM253">
        <v>0</v>
      </c>
      <c r="AN253">
        <v>0</v>
      </c>
      <c r="AO253">
        <v>100</v>
      </c>
      <c r="AP253">
        <v>100</v>
      </c>
      <c r="AQ253" s="15">
        <f t="shared" si="34"/>
        <v>0</v>
      </c>
      <c r="AR253">
        <v>289465153.32999998</v>
      </c>
      <c r="AS253">
        <v>289465153.30000001</v>
      </c>
      <c r="AT253">
        <v>74989104.359999999</v>
      </c>
      <c r="AU253">
        <v>74989104.359999999</v>
      </c>
      <c r="AV253" s="16">
        <f t="shared" si="35"/>
        <v>74989104.330000028</v>
      </c>
      <c r="AW253" s="13" t="str">
        <f t="shared" si="36"/>
        <v>SIM</v>
      </c>
      <c r="AX253" s="13" t="str">
        <f t="shared" si="37"/>
        <v>OK</v>
      </c>
      <c r="AY253" s="13" t="str">
        <f t="shared" si="38"/>
        <v>OK</v>
      </c>
      <c r="AZ253">
        <f t="shared" si="39"/>
        <v>4.0496500494350984</v>
      </c>
    </row>
    <row r="254" spans="2:52" x14ac:dyDescent="0.3">
      <c r="B254" t="s">
        <v>1134</v>
      </c>
      <c r="C254" t="s">
        <v>1165</v>
      </c>
      <c r="D254" t="s">
        <v>1166</v>
      </c>
      <c r="E254" t="s">
        <v>1167</v>
      </c>
      <c r="F254" t="s">
        <v>46</v>
      </c>
      <c r="G254" t="s">
        <v>240</v>
      </c>
      <c r="H254" t="s">
        <v>48</v>
      </c>
      <c r="I254" t="s">
        <v>49</v>
      </c>
      <c r="J254" t="s">
        <v>50</v>
      </c>
      <c r="K254" t="s">
        <v>51</v>
      </c>
      <c r="L254" t="s">
        <v>51</v>
      </c>
      <c r="M254" t="s">
        <v>134</v>
      </c>
      <c r="N254" t="s">
        <v>1168</v>
      </c>
      <c r="O254" s="11" t="str">
        <f t="shared" si="30"/>
        <v>OK</v>
      </c>
      <c r="P254" t="s">
        <v>54</v>
      </c>
      <c r="Q254" t="s">
        <v>54</v>
      </c>
      <c r="R254" t="s">
        <v>54</v>
      </c>
      <c r="S254" t="s">
        <v>1169</v>
      </c>
      <c r="T254" s="1">
        <v>161165342.27000001</v>
      </c>
      <c r="U254" s="1">
        <v>7827217.8799999999</v>
      </c>
      <c r="V254" s="13" t="str">
        <f t="shared" si="31"/>
        <v>OK</v>
      </c>
      <c r="W254" s="1">
        <v>23034756.370000001</v>
      </c>
      <c r="X254" s="1">
        <v>0</v>
      </c>
      <c r="Y254" t="s">
        <v>51</v>
      </c>
      <c r="Z254">
        <v>253554.3</v>
      </c>
      <c r="AA254">
        <v>0</v>
      </c>
      <c r="AB254">
        <v>0</v>
      </c>
      <c r="AC254">
        <v>7101553.5499999998</v>
      </c>
      <c r="AD254" s="13" t="str">
        <f t="shared" si="32"/>
        <v>OK</v>
      </c>
      <c r="AE254">
        <v>27105506.68</v>
      </c>
      <c r="AF254">
        <v>0</v>
      </c>
      <c r="AG254">
        <v>0</v>
      </c>
      <c r="AH254">
        <v>0</v>
      </c>
      <c r="AI254">
        <v>0</v>
      </c>
      <c r="AJ254" s="13" t="str">
        <f t="shared" si="33"/>
        <v>OK</v>
      </c>
      <c r="AK254">
        <v>0</v>
      </c>
      <c r="AL254">
        <v>0</v>
      </c>
      <c r="AM254">
        <v>20000000</v>
      </c>
      <c r="AN254">
        <v>0</v>
      </c>
      <c r="AO254">
        <v>100</v>
      </c>
      <c r="AP254">
        <v>100</v>
      </c>
      <c r="AQ254" s="15">
        <f t="shared" si="34"/>
        <v>0</v>
      </c>
      <c r="AR254">
        <v>64083815.590000004</v>
      </c>
      <c r="AS254">
        <v>64083815.590000004</v>
      </c>
      <c r="AT254">
        <v>500000</v>
      </c>
      <c r="AU254">
        <v>500000</v>
      </c>
      <c r="AV254" s="16">
        <f t="shared" si="35"/>
        <v>500000</v>
      </c>
      <c r="AW254" s="13" t="str">
        <f t="shared" si="36"/>
        <v>SIM</v>
      </c>
      <c r="AX254" s="13" t="str">
        <f t="shared" si="37"/>
        <v>OK</v>
      </c>
      <c r="AY254" s="13" t="str">
        <f t="shared" si="38"/>
        <v>OK</v>
      </c>
      <c r="AZ254">
        <f t="shared" si="39"/>
        <v>26.199670914987671</v>
      </c>
    </row>
    <row r="255" spans="2:52" x14ac:dyDescent="0.3">
      <c r="B255" t="s">
        <v>1134</v>
      </c>
      <c r="C255" t="s">
        <v>1170</v>
      </c>
      <c r="D255" t="s">
        <v>1171</v>
      </c>
      <c r="E255" t="s">
        <v>1172</v>
      </c>
      <c r="F255" t="s">
        <v>46</v>
      </c>
      <c r="G255" t="s">
        <v>314</v>
      </c>
      <c r="H255" t="s">
        <v>48</v>
      </c>
      <c r="I255" t="s">
        <v>49</v>
      </c>
      <c r="J255" t="s">
        <v>50</v>
      </c>
      <c r="K255" t="s">
        <v>51</v>
      </c>
      <c r="L255" t="s">
        <v>51</v>
      </c>
      <c r="M255" t="s">
        <v>134</v>
      </c>
      <c r="N255" t="s">
        <v>1173</v>
      </c>
      <c r="O255" s="11" t="str">
        <f t="shared" si="30"/>
        <v>OK</v>
      </c>
      <c r="P255" t="s">
        <v>54</v>
      </c>
      <c r="Q255" t="s">
        <v>54</v>
      </c>
      <c r="R255" t="s">
        <v>54</v>
      </c>
      <c r="S255" t="s">
        <v>1174</v>
      </c>
      <c r="T255" s="1">
        <v>225741088</v>
      </c>
      <c r="U255" s="1">
        <v>41286117</v>
      </c>
      <c r="V255" s="13" t="str">
        <f t="shared" si="31"/>
        <v>OK</v>
      </c>
      <c r="W255" s="1">
        <v>353364500</v>
      </c>
      <c r="X255" s="1">
        <v>198479587</v>
      </c>
      <c r="Y255" t="s">
        <v>51</v>
      </c>
      <c r="Z255">
        <v>345286.59</v>
      </c>
      <c r="AA255">
        <v>0</v>
      </c>
      <c r="AB255">
        <v>0</v>
      </c>
      <c r="AC255">
        <v>-107798557</v>
      </c>
      <c r="AD255" s="13" t="str">
        <f t="shared" si="32"/>
        <v>OK</v>
      </c>
      <c r="AE255">
        <v>1594403966</v>
      </c>
      <c r="AF255">
        <v>0</v>
      </c>
      <c r="AG255">
        <v>0</v>
      </c>
      <c r="AH255">
        <v>0</v>
      </c>
      <c r="AI255">
        <v>0</v>
      </c>
      <c r="AJ255" s="13" t="str">
        <f t="shared" si="33"/>
        <v>OK</v>
      </c>
      <c r="AK255">
        <v>0</v>
      </c>
      <c r="AL255">
        <v>0</v>
      </c>
      <c r="AM255">
        <v>0</v>
      </c>
      <c r="AN255">
        <v>731389764</v>
      </c>
      <c r="AO255">
        <v>100</v>
      </c>
      <c r="AP255">
        <v>100</v>
      </c>
      <c r="AQ255" s="15">
        <f t="shared" si="34"/>
        <v>0</v>
      </c>
      <c r="AR255">
        <v>972640089</v>
      </c>
      <c r="AS255">
        <v>972640089</v>
      </c>
      <c r="AT255">
        <v>3905700.13</v>
      </c>
      <c r="AU255">
        <v>3905700.13</v>
      </c>
      <c r="AV255" s="16">
        <f t="shared" si="35"/>
        <v>3905700.13</v>
      </c>
      <c r="AW255" s="13" t="str">
        <f t="shared" si="36"/>
        <v>SIM</v>
      </c>
      <c r="AX255" s="13" t="str">
        <f t="shared" si="37"/>
        <v>VER CAPITAL</v>
      </c>
      <c r="AY255" s="13" t="str">
        <f t="shared" si="38"/>
        <v>OK</v>
      </c>
      <c r="AZ255">
        <f t="shared" si="39"/>
        <v>-6.7610567521631468</v>
      </c>
    </row>
    <row r="256" spans="2:52" x14ac:dyDescent="0.3">
      <c r="B256" t="s">
        <v>1134</v>
      </c>
      <c r="C256" t="s">
        <v>1175</v>
      </c>
      <c r="D256" t="s">
        <v>1176</v>
      </c>
      <c r="E256" t="s">
        <v>1177</v>
      </c>
      <c r="F256" t="s">
        <v>46</v>
      </c>
      <c r="G256" t="s">
        <v>47</v>
      </c>
      <c r="H256" t="s">
        <v>60</v>
      </c>
      <c r="I256" t="s">
        <v>49</v>
      </c>
      <c r="J256" t="s">
        <v>50</v>
      </c>
      <c r="K256" t="s">
        <v>51</v>
      </c>
      <c r="L256" t="s">
        <v>51</v>
      </c>
      <c r="M256" t="s">
        <v>134</v>
      </c>
      <c r="N256" t="s">
        <v>1178</v>
      </c>
      <c r="O256" s="11" t="str">
        <f t="shared" si="30"/>
        <v>OK</v>
      </c>
      <c r="P256" t="s">
        <v>54</v>
      </c>
      <c r="Q256" t="s">
        <v>54</v>
      </c>
      <c r="R256" t="s">
        <v>54</v>
      </c>
      <c r="S256" t="s">
        <v>1179</v>
      </c>
      <c r="T256" s="1">
        <v>439415934.27999997</v>
      </c>
      <c r="U256" s="1">
        <v>352939865.56</v>
      </c>
      <c r="V256" s="13" t="str">
        <f t="shared" si="31"/>
        <v>OK</v>
      </c>
      <c r="W256" s="1">
        <v>473380000</v>
      </c>
      <c r="X256" s="1">
        <v>14330401.84</v>
      </c>
      <c r="Y256" t="s">
        <v>51</v>
      </c>
      <c r="Z256">
        <v>672830.52</v>
      </c>
      <c r="AA256">
        <v>31678.400000000001</v>
      </c>
      <c r="AB256">
        <v>19904.28</v>
      </c>
      <c r="AC256">
        <v>-16592949.24</v>
      </c>
      <c r="AD256" s="13" t="str">
        <f t="shared" si="32"/>
        <v>OK</v>
      </c>
      <c r="AE256">
        <v>145043343.08000001</v>
      </c>
      <c r="AF256">
        <v>0</v>
      </c>
      <c r="AG256">
        <v>0</v>
      </c>
      <c r="AH256">
        <v>0</v>
      </c>
      <c r="AI256">
        <v>0</v>
      </c>
      <c r="AJ256" s="13" t="str">
        <f t="shared" si="33"/>
        <v>OK</v>
      </c>
      <c r="AK256">
        <v>0</v>
      </c>
      <c r="AL256">
        <v>0</v>
      </c>
      <c r="AM256">
        <v>0</v>
      </c>
      <c r="AN256">
        <v>0</v>
      </c>
      <c r="AO256">
        <v>100</v>
      </c>
      <c r="AP256">
        <v>100</v>
      </c>
      <c r="AQ256" s="15">
        <f t="shared" si="34"/>
        <v>0</v>
      </c>
      <c r="AR256">
        <v>203219287.84</v>
      </c>
      <c r="AS256">
        <v>203219287.84</v>
      </c>
      <c r="AT256">
        <v>0</v>
      </c>
      <c r="AU256">
        <v>0</v>
      </c>
      <c r="AV256" s="16">
        <f t="shared" si="35"/>
        <v>0</v>
      </c>
      <c r="AW256" s="13" t="str">
        <f t="shared" si="36"/>
        <v>NÃO</v>
      </c>
      <c r="AX256" s="13" t="str">
        <f t="shared" si="37"/>
        <v>OK</v>
      </c>
      <c r="AY256" s="13" t="str">
        <f t="shared" si="38"/>
        <v>OK</v>
      </c>
      <c r="AZ256">
        <f t="shared" si="39"/>
        <v>-11.439993651310148</v>
      </c>
    </row>
    <row r="257" spans="2:52" x14ac:dyDescent="0.3">
      <c r="B257" t="s">
        <v>1180</v>
      </c>
      <c r="C257" t="s">
        <v>1197</v>
      </c>
      <c r="D257" t="s">
        <v>1198</v>
      </c>
      <c r="E257" t="s">
        <v>1199</v>
      </c>
      <c r="F257" t="s">
        <v>46</v>
      </c>
      <c r="G257" t="s">
        <v>71</v>
      </c>
      <c r="H257" t="s">
        <v>60</v>
      </c>
      <c r="I257" t="s">
        <v>49</v>
      </c>
      <c r="J257" t="s">
        <v>50</v>
      </c>
      <c r="K257" t="s">
        <v>51</v>
      </c>
      <c r="L257" t="s">
        <v>51</v>
      </c>
      <c r="M257" t="s">
        <v>134</v>
      </c>
      <c r="N257" t="s">
        <v>1200</v>
      </c>
      <c r="O257" s="11" t="str">
        <f t="shared" si="30"/>
        <v>OK</v>
      </c>
      <c r="P257" t="s">
        <v>54</v>
      </c>
      <c r="Q257" t="s">
        <v>54</v>
      </c>
      <c r="R257" t="s">
        <v>54</v>
      </c>
      <c r="S257" t="s">
        <v>1201</v>
      </c>
      <c r="T257" s="1">
        <v>210522000</v>
      </c>
      <c r="U257" s="1">
        <v>51417000</v>
      </c>
      <c r="V257" s="13" t="str">
        <f t="shared" si="31"/>
        <v>OK</v>
      </c>
      <c r="W257" s="1">
        <v>137200000</v>
      </c>
      <c r="X257" s="1">
        <v>2060000</v>
      </c>
      <c r="Y257" t="s">
        <v>51</v>
      </c>
      <c r="Z257">
        <v>784877.19</v>
      </c>
      <c r="AA257">
        <v>0</v>
      </c>
      <c r="AB257">
        <v>0</v>
      </c>
      <c r="AC257">
        <v>114459000</v>
      </c>
      <c r="AD257" s="13" t="str">
        <f t="shared" si="32"/>
        <v>OK</v>
      </c>
      <c r="AE257">
        <v>991546000</v>
      </c>
      <c r="AG257">
        <v>61748000</v>
      </c>
      <c r="AH257">
        <v>0</v>
      </c>
      <c r="AI257">
        <v>0</v>
      </c>
      <c r="AJ257" s="13" t="str">
        <f t="shared" si="33"/>
        <v>OK</v>
      </c>
      <c r="AK257">
        <v>0</v>
      </c>
      <c r="AL257">
        <v>0</v>
      </c>
      <c r="AM257">
        <v>0</v>
      </c>
      <c r="AN257">
        <v>0</v>
      </c>
      <c r="AO257">
        <v>271102262</v>
      </c>
      <c r="AP257">
        <v>271102262</v>
      </c>
      <c r="AQ257" s="15">
        <f t="shared" si="34"/>
        <v>0</v>
      </c>
      <c r="AR257">
        <v>699704845.25999999</v>
      </c>
      <c r="AS257">
        <v>699704845.25999999</v>
      </c>
      <c r="AT257">
        <v>37701461.810000002</v>
      </c>
      <c r="AU257">
        <v>737406307.07000005</v>
      </c>
      <c r="AV257" s="16">
        <f t="shared" si="35"/>
        <v>737406307.07000005</v>
      </c>
      <c r="AW257" s="13" t="str">
        <f t="shared" si="36"/>
        <v>SIM</v>
      </c>
      <c r="AX257" s="13" t="str">
        <f t="shared" si="37"/>
        <v>OK</v>
      </c>
      <c r="AY257" s="13" t="str">
        <f t="shared" si="38"/>
        <v>OK</v>
      </c>
      <c r="AZ257">
        <f t="shared" si="39"/>
        <v>11.54348865307308</v>
      </c>
    </row>
    <row r="258" spans="2:52" x14ac:dyDescent="0.3">
      <c r="B258" t="s">
        <v>1180</v>
      </c>
      <c r="C258" t="s">
        <v>1202</v>
      </c>
      <c r="D258" t="s">
        <v>1203</v>
      </c>
      <c r="E258" t="s">
        <v>1204</v>
      </c>
      <c r="F258" t="s">
        <v>70</v>
      </c>
      <c r="G258" t="s">
        <v>71</v>
      </c>
      <c r="H258" t="s">
        <v>60</v>
      </c>
      <c r="I258" t="s">
        <v>49</v>
      </c>
      <c r="J258" t="s">
        <v>50</v>
      </c>
      <c r="K258" t="s">
        <v>51</v>
      </c>
      <c r="L258" t="s">
        <v>51</v>
      </c>
      <c r="M258" t="s">
        <v>134</v>
      </c>
      <c r="N258" t="s">
        <v>125</v>
      </c>
      <c r="O258" s="11" t="str">
        <f t="shared" ref="O258:O321" si="40">IF(AND(F258="ATIVA",VALUE(N258)=0),"VERIFICAR","OK")</f>
        <v>OK</v>
      </c>
      <c r="P258" t="s">
        <v>51</v>
      </c>
      <c r="Q258" t="s">
        <v>54</v>
      </c>
      <c r="R258" t="s">
        <v>51</v>
      </c>
      <c r="S258" t="s">
        <v>55</v>
      </c>
      <c r="T258" s="1">
        <v>957619.37</v>
      </c>
      <c r="U258" s="1">
        <v>343498.26</v>
      </c>
      <c r="V258" s="13" t="str">
        <f t="shared" ref="V258:V321" si="41">IF(AND(VALUE(N258)=0,VALUE(U258)&gt;0),"VERIFICAR","OK")</f>
        <v>OK</v>
      </c>
      <c r="W258" s="1">
        <v>826410.3</v>
      </c>
      <c r="X258" s="1">
        <v>0</v>
      </c>
      <c r="Y258" t="s">
        <v>51</v>
      </c>
      <c r="Z258">
        <v>114343.71</v>
      </c>
      <c r="AA258">
        <v>0</v>
      </c>
      <c r="AB258">
        <v>0</v>
      </c>
      <c r="AC258">
        <v>259557.92</v>
      </c>
      <c r="AD258" s="13" t="str">
        <f t="shared" ref="AD258:AD321" si="42">IF(AND(Y258="SIM",VALUE(AC258)&lt;0),"VERIFICAR","OK")</f>
        <v>OK</v>
      </c>
      <c r="AE258">
        <v>880273.94</v>
      </c>
      <c r="AG258">
        <v>0</v>
      </c>
      <c r="AH258">
        <v>0</v>
      </c>
      <c r="AI258">
        <v>0</v>
      </c>
      <c r="AJ258" s="13" t="str">
        <f t="shared" ref="AJ258:AJ321" si="43">IF(AND(M258="NÃO DEPENDENTE",VALUE(AI258)&gt;0),"INDÍCIO DE DEPENDÊNCIA POR SUBVENÇÃO","OK")</f>
        <v>OK</v>
      </c>
      <c r="AK258">
        <v>0</v>
      </c>
      <c r="AL258">
        <v>0</v>
      </c>
      <c r="AM258">
        <v>0</v>
      </c>
      <c r="AN258">
        <v>0</v>
      </c>
      <c r="AO258">
        <v>4774469.43</v>
      </c>
      <c r="AP258">
        <v>6269072.6200000001</v>
      </c>
      <c r="AQ258" s="15">
        <f t="shared" ref="AQ258:AQ321" si="44">AP258-AO258</f>
        <v>1494603.1900000004</v>
      </c>
      <c r="AR258">
        <v>4774650.18</v>
      </c>
      <c r="AS258">
        <v>6269072.6200000001</v>
      </c>
      <c r="AT258">
        <v>0</v>
      </c>
      <c r="AU258">
        <v>0</v>
      </c>
      <c r="AV258" s="16">
        <f t="shared" ref="AV258:AV321" si="45">(AS258-AR258)+(AU258)</f>
        <v>1494422.4400000004</v>
      </c>
      <c r="AW258" s="13" t="str">
        <f t="shared" ref="AW258:AW321" si="46">IF(OR(VALUE(AQ258)&gt;0,VALUE(AV258)&gt;0),"SIM","NÃO")</f>
        <v>SIM</v>
      </c>
      <c r="AX258" s="13" t="str">
        <f t="shared" ref="AX258:AX299" si="47">IF(AND(M258="NÃO DEPENDENTE",VALUE(AN258)&gt;0),"VER CAPITAL","OK")</f>
        <v>OK</v>
      </c>
      <c r="AY258" s="13" t="str">
        <f t="shared" ref="AY258:AY321" si="48">IF(AND(AX258="VER CAPITAL",AW258="NÃO"),"INDÍCIO DE DEPENDÊNCIA POR CAPITAL","OK")</f>
        <v>OK</v>
      </c>
      <c r="AZ258">
        <f t="shared" ref="AZ258:AZ299" si="49">AC258*100/AE258</f>
        <v>29.486039311807868</v>
      </c>
    </row>
    <row r="259" spans="2:52" x14ac:dyDescent="0.3">
      <c r="B259" t="s">
        <v>1180</v>
      </c>
      <c r="C259" t="s">
        <v>1205</v>
      </c>
      <c r="D259" t="s">
        <v>1146</v>
      </c>
      <c r="E259" t="s">
        <v>1147</v>
      </c>
      <c r="F259" t="s">
        <v>46</v>
      </c>
      <c r="G259" t="s">
        <v>71</v>
      </c>
      <c r="H259" t="s">
        <v>48</v>
      </c>
      <c r="I259" t="s">
        <v>76</v>
      </c>
      <c r="J259" t="s">
        <v>50</v>
      </c>
      <c r="K259" t="s">
        <v>51</v>
      </c>
      <c r="L259" t="s">
        <v>51</v>
      </c>
      <c r="M259" t="s">
        <v>134</v>
      </c>
      <c r="N259" t="s">
        <v>173</v>
      </c>
      <c r="O259" s="11" t="str">
        <f t="shared" si="40"/>
        <v>OK</v>
      </c>
      <c r="P259" t="s">
        <v>54</v>
      </c>
      <c r="Q259" t="s">
        <v>54</v>
      </c>
      <c r="R259" t="s">
        <v>54</v>
      </c>
      <c r="S259" t="s">
        <v>1206</v>
      </c>
      <c r="T259" s="1">
        <v>3023117296.27</v>
      </c>
      <c r="U259" s="1">
        <v>262579991.37</v>
      </c>
      <c r="V259" s="13" t="str">
        <f t="shared" si="41"/>
        <v>OK</v>
      </c>
      <c r="W259" s="1">
        <v>2409384131.54</v>
      </c>
      <c r="X259" s="1">
        <v>3813473.77</v>
      </c>
      <c r="Y259" t="s">
        <v>54</v>
      </c>
      <c r="Z259">
        <v>828506.55</v>
      </c>
      <c r="AA259">
        <v>44970.29</v>
      </c>
      <c r="AB259">
        <v>23459.81</v>
      </c>
      <c r="AC259">
        <v>472452860.83999997</v>
      </c>
      <c r="AD259" s="13" t="str">
        <f t="shared" si="42"/>
        <v>OK</v>
      </c>
      <c r="AE259">
        <v>4495898455.4499998</v>
      </c>
      <c r="AG259">
        <v>0</v>
      </c>
      <c r="AH259">
        <v>0</v>
      </c>
      <c r="AI259">
        <v>0</v>
      </c>
      <c r="AJ259" s="13" t="str">
        <f t="shared" si="43"/>
        <v>OK</v>
      </c>
      <c r="AK259">
        <v>0</v>
      </c>
      <c r="AL259">
        <v>0</v>
      </c>
      <c r="AM259">
        <v>0</v>
      </c>
      <c r="AN259">
        <v>0</v>
      </c>
      <c r="AO259">
        <v>2225541000</v>
      </c>
      <c r="AP259">
        <v>2487333000</v>
      </c>
      <c r="AQ259" s="15">
        <f t="shared" si="44"/>
        <v>261792000</v>
      </c>
      <c r="AR259">
        <v>2225541000</v>
      </c>
      <c r="AS259">
        <v>2487333000</v>
      </c>
      <c r="AT259">
        <v>0</v>
      </c>
      <c r="AU259">
        <v>0</v>
      </c>
      <c r="AV259" s="16">
        <f t="shared" si="45"/>
        <v>261792000</v>
      </c>
      <c r="AW259" s="13" t="str">
        <f t="shared" si="46"/>
        <v>SIM</v>
      </c>
      <c r="AX259" s="13" t="str">
        <f t="shared" si="47"/>
        <v>OK</v>
      </c>
      <c r="AY259" s="13" t="str">
        <f t="shared" si="48"/>
        <v>OK</v>
      </c>
      <c r="AZ259">
        <f t="shared" si="49"/>
        <v>10.508530508897174</v>
      </c>
    </row>
    <row r="260" spans="2:52" x14ac:dyDescent="0.3">
      <c r="B260" t="s">
        <v>1180</v>
      </c>
      <c r="C260" t="s">
        <v>1207</v>
      </c>
      <c r="D260" t="s">
        <v>1208</v>
      </c>
      <c r="E260" t="s">
        <v>1209</v>
      </c>
      <c r="F260" t="s">
        <v>46</v>
      </c>
      <c r="G260" t="s">
        <v>107</v>
      </c>
      <c r="H260" t="s">
        <v>60</v>
      </c>
      <c r="I260" t="s">
        <v>49</v>
      </c>
      <c r="J260" t="s">
        <v>373</v>
      </c>
      <c r="K260" t="s">
        <v>54</v>
      </c>
      <c r="L260" t="s">
        <v>51</v>
      </c>
      <c r="M260" t="s">
        <v>134</v>
      </c>
      <c r="N260" t="s">
        <v>1210</v>
      </c>
      <c r="O260" s="11" t="str">
        <f t="shared" si="40"/>
        <v>OK</v>
      </c>
      <c r="P260" t="s">
        <v>54</v>
      </c>
      <c r="Q260" t="s">
        <v>54</v>
      </c>
      <c r="R260" t="s">
        <v>54</v>
      </c>
      <c r="S260" t="s">
        <v>1211</v>
      </c>
      <c r="T260" s="1">
        <v>1950409764</v>
      </c>
      <c r="U260" s="1">
        <v>568118199</v>
      </c>
      <c r="V260" s="13" t="str">
        <f t="shared" si="41"/>
        <v>OK</v>
      </c>
      <c r="W260" s="1">
        <v>1778371124.3599999</v>
      </c>
      <c r="X260" s="1">
        <v>601985924</v>
      </c>
      <c r="Y260" t="s">
        <v>51</v>
      </c>
      <c r="Z260">
        <v>715418.74</v>
      </c>
      <c r="AA260">
        <v>0</v>
      </c>
      <c r="AB260">
        <v>0</v>
      </c>
      <c r="AC260">
        <v>243027590</v>
      </c>
      <c r="AD260" s="13" t="str">
        <f t="shared" si="42"/>
        <v>OK</v>
      </c>
      <c r="AE260">
        <v>2258409000</v>
      </c>
      <c r="AG260">
        <v>10735810</v>
      </c>
      <c r="AH260">
        <v>0</v>
      </c>
      <c r="AI260">
        <v>0</v>
      </c>
      <c r="AJ260" s="13" t="str">
        <f t="shared" si="43"/>
        <v>OK</v>
      </c>
      <c r="AK260">
        <v>0</v>
      </c>
      <c r="AL260">
        <v>0</v>
      </c>
      <c r="AM260">
        <v>113081435</v>
      </c>
      <c r="AN260">
        <v>0</v>
      </c>
      <c r="AO260">
        <v>926058028</v>
      </c>
      <c r="AP260">
        <v>1037053443</v>
      </c>
      <c r="AQ260" s="15">
        <f t="shared" si="44"/>
        <v>110995415</v>
      </c>
      <c r="AR260">
        <v>1095971978</v>
      </c>
      <c r="AS260">
        <v>1226706788</v>
      </c>
      <c r="AT260">
        <v>120000000</v>
      </c>
      <c r="AU260">
        <v>0</v>
      </c>
      <c r="AV260" s="16">
        <f t="shared" si="45"/>
        <v>130734810</v>
      </c>
      <c r="AW260" s="13" t="str">
        <f t="shared" si="46"/>
        <v>SIM</v>
      </c>
      <c r="AX260" s="13" t="str">
        <f t="shared" si="47"/>
        <v>OK</v>
      </c>
      <c r="AY260" s="13" t="str">
        <f t="shared" si="48"/>
        <v>OK</v>
      </c>
      <c r="AZ260">
        <f t="shared" si="49"/>
        <v>10.761008745537234</v>
      </c>
    </row>
    <row r="261" spans="2:52" x14ac:dyDescent="0.3">
      <c r="B261" t="s">
        <v>1180</v>
      </c>
      <c r="C261" t="s">
        <v>1212</v>
      </c>
      <c r="D261" t="s">
        <v>303</v>
      </c>
      <c r="E261" t="s">
        <v>1213</v>
      </c>
      <c r="F261" t="s">
        <v>46</v>
      </c>
      <c r="G261" t="s">
        <v>75</v>
      </c>
      <c r="H261" t="s">
        <v>60</v>
      </c>
      <c r="I261" t="s">
        <v>49</v>
      </c>
      <c r="J261" t="s">
        <v>50</v>
      </c>
      <c r="K261" t="s">
        <v>51</v>
      </c>
      <c r="L261" t="s">
        <v>51</v>
      </c>
      <c r="M261" t="s">
        <v>134</v>
      </c>
      <c r="N261" t="s">
        <v>278</v>
      </c>
      <c r="O261" s="11" t="str">
        <f t="shared" si="40"/>
        <v>OK</v>
      </c>
      <c r="P261" t="s">
        <v>54</v>
      </c>
      <c r="Q261" t="s">
        <v>54</v>
      </c>
      <c r="R261" t="s">
        <v>51</v>
      </c>
      <c r="S261" t="s">
        <v>55</v>
      </c>
      <c r="T261" s="1">
        <v>7103944.3200000003</v>
      </c>
      <c r="U261" s="1">
        <v>3224480.22</v>
      </c>
      <c r="V261" s="13" t="str">
        <f t="shared" si="41"/>
        <v>OK</v>
      </c>
      <c r="W261" s="1">
        <v>6872800.1200000001</v>
      </c>
      <c r="X261" s="1">
        <v>203764.25</v>
      </c>
      <c r="Y261" t="s">
        <v>51</v>
      </c>
      <c r="Z261">
        <v>190906.36</v>
      </c>
      <c r="AA261">
        <v>0</v>
      </c>
      <c r="AB261">
        <v>23166.07</v>
      </c>
      <c r="AC261">
        <v>1187883.8700000001</v>
      </c>
      <c r="AD261" s="13" t="str">
        <f t="shared" si="42"/>
        <v>OK</v>
      </c>
      <c r="AE261">
        <v>14895354.66</v>
      </c>
      <c r="AG261">
        <v>0</v>
      </c>
      <c r="AH261">
        <v>0</v>
      </c>
      <c r="AI261">
        <v>0</v>
      </c>
      <c r="AJ261" s="13" t="str">
        <f t="shared" si="43"/>
        <v>OK</v>
      </c>
      <c r="AK261">
        <v>0</v>
      </c>
      <c r="AL261">
        <v>0</v>
      </c>
      <c r="AM261">
        <v>0</v>
      </c>
      <c r="AN261">
        <v>0</v>
      </c>
      <c r="AO261">
        <v>93.91</v>
      </c>
      <c r="AP261">
        <v>93.91</v>
      </c>
      <c r="AQ261" s="15">
        <f t="shared" si="44"/>
        <v>0</v>
      </c>
      <c r="AR261">
        <v>12735232.08</v>
      </c>
      <c r="AS261">
        <v>12735232.08</v>
      </c>
      <c r="AT261">
        <v>1455785.92</v>
      </c>
      <c r="AU261">
        <v>1455785.92</v>
      </c>
      <c r="AV261" s="16">
        <f t="shared" si="45"/>
        <v>1455785.92</v>
      </c>
      <c r="AW261" s="13" t="str">
        <f t="shared" si="46"/>
        <v>SIM</v>
      </c>
      <c r="AX261" s="13" t="str">
        <f t="shared" si="47"/>
        <v>OK</v>
      </c>
      <c r="AY261" s="13" t="str">
        <f t="shared" si="48"/>
        <v>OK</v>
      </c>
      <c r="AZ261">
        <f t="shared" si="49"/>
        <v>7.9748612712790559</v>
      </c>
    </row>
    <row r="262" spans="2:52" x14ac:dyDescent="0.3">
      <c r="B262" t="s">
        <v>1180</v>
      </c>
      <c r="C262" t="s">
        <v>1214</v>
      </c>
      <c r="D262" t="s">
        <v>1215</v>
      </c>
      <c r="E262" t="s">
        <v>1216</v>
      </c>
      <c r="F262" t="s">
        <v>46</v>
      </c>
      <c r="G262" t="s">
        <v>409</v>
      </c>
      <c r="H262" t="s">
        <v>60</v>
      </c>
      <c r="I262" t="s">
        <v>49</v>
      </c>
      <c r="J262" t="s">
        <v>373</v>
      </c>
      <c r="K262" t="s">
        <v>54</v>
      </c>
      <c r="L262" t="s">
        <v>51</v>
      </c>
      <c r="M262" t="s">
        <v>134</v>
      </c>
      <c r="N262" t="s">
        <v>1217</v>
      </c>
      <c r="O262" s="11" t="str">
        <f t="shared" si="40"/>
        <v>OK</v>
      </c>
      <c r="P262" t="s">
        <v>54</v>
      </c>
      <c r="Q262" t="s">
        <v>54</v>
      </c>
      <c r="R262" t="s">
        <v>54</v>
      </c>
      <c r="S262" t="s">
        <v>1218</v>
      </c>
      <c r="T262" s="1">
        <v>10658858000</v>
      </c>
      <c r="U262" s="1">
        <v>940532000</v>
      </c>
      <c r="V262" s="13" t="str">
        <f t="shared" si="41"/>
        <v>OK</v>
      </c>
      <c r="W262" s="1">
        <v>9504632000</v>
      </c>
      <c r="X262" s="1">
        <v>1264694000</v>
      </c>
      <c r="Y262" t="s">
        <v>54</v>
      </c>
      <c r="Z262">
        <v>469171.81</v>
      </c>
      <c r="AA262">
        <v>27165.040000000001</v>
      </c>
      <c r="AB262">
        <v>65248.81</v>
      </c>
      <c r="AC262">
        <v>715182000</v>
      </c>
      <c r="AD262" s="13" t="str">
        <f t="shared" si="42"/>
        <v>OK</v>
      </c>
      <c r="AE262">
        <v>2932567000</v>
      </c>
      <c r="AG262">
        <v>43675351.340000004</v>
      </c>
      <c r="AH262">
        <v>0</v>
      </c>
      <c r="AI262">
        <v>0</v>
      </c>
      <c r="AJ262" s="13" t="str">
        <f t="shared" si="43"/>
        <v>OK</v>
      </c>
      <c r="AK262">
        <v>0</v>
      </c>
      <c r="AL262">
        <v>0</v>
      </c>
      <c r="AM262">
        <v>0</v>
      </c>
      <c r="AN262">
        <v>0</v>
      </c>
      <c r="AO262">
        <v>7791201</v>
      </c>
      <c r="AP262">
        <v>7791201</v>
      </c>
      <c r="AQ262" s="15">
        <f t="shared" si="44"/>
        <v>0</v>
      </c>
      <c r="AR262">
        <v>2480000000</v>
      </c>
      <c r="AS262">
        <v>2480000000</v>
      </c>
      <c r="AT262">
        <v>0</v>
      </c>
      <c r="AU262">
        <v>0</v>
      </c>
      <c r="AV262" s="16">
        <f t="shared" si="45"/>
        <v>0</v>
      </c>
      <c r="AW262" s="13" t="str">
        <f t="shared" si="46"/>
        <v>NÃO</v>
      </c>
      <c r="AX262" s="13" t="str">
        <f t="shared" si="47"/>
        <v>OK</v>
      </c>
      <c r="AY262" s="13" t="str">
        <f t="shared" si="48"/>
        <v>OK</v>
      </c>
      <c r="AZ262">
        <f t="shared" si="49"/>
        <v>24.387575799632199</v>
      </c>
    </row>
    <row r="263" spans="2:52" x14ac:dyDescent="0.3">
      <c r="B263" t="s">
        <v>1180</v>
      </c>
      <c r="C263" t="s">
        <v>1219</v>
      </c>
      <c r="D263" t="s">
        <v>1220</v>
      </c>
      <c r="E263" t="s">
        <v>1221</v>
      </c>
      <c r="F263" t="s">
        <v>46</v>
      </c>
      <c r="G263" t="s">
        <v>47</v>
      </c>
      <c r="H263" t="s">
        <v>48</v>
      </c>
      <c r="I263" t="s">
        <v>49</v>
      </c>
      <c r="J263" t="s">
        <v>50</v>
      </c>
      <c r="K263" t="s">
        <v>51</v>
      </c>
      <c r="L263" t="s">
        <v>51</v>
      </c>
      <c r="M263" t="s">
        <v>134</v>
      </c>
      <c r="N263" t="s">
        <v>1222</v>
      </c>
      <c r="O263" s="11" t="str">
        <f t="shared" si="40"/>
        <v>OK</v>
      </c>
      <c r="P263" t="s">
        <v>54</v>
      </c>
      <c r="Q263" t="s">
        <v>54</v>
      </c>
      <c r="R263" t="s">
        <v>51</v>
      </c>
      <c r="S263" t="s">
        <v>55</v>
      </c>
      <c r="T263" s="1">
        <v>191504685.09999999</v>
      </c>
      <c r="U263" s="1">
        <v>124208209.56999999</v>
      </c>
      <c r="V263" s="13" t="str">
        <f t="shared" si="41"/>
        <v>OK</v>
      </c>
      <c r="W263" s="1">
        <v>206881075.90000001</v>
      </c>
      <c r="X263" s="1">
        <v>8208279.3300000001</v>
      </c>
      <c r="Y263" t="s">
        <v>51</v>
      </c>
      <c r="Z263">
        <v>703922.31</v>
      </c>
      <c r="AA263">
        <v>0</v>
      </c>
      <c r="AB263">
        <v>8938.5</v>
      </c>
      <c r="AC263">
        <v>-13702055.369999999</v>
      </c>
      <c r="AD263" s="13" t="str">
        <f t="shared" si="42"/>
        <v>OK</v>
      </c>
      <c r="AE263">
        <v>36449419.990000002</v>
      </c>
      <c r="AG263">
        <v>0</v>
      </c>
      <c r="AH263">
        <v>0</v>
      </c>
      <c r="AI263">
        <v>0</v>
      </c>
      <c r="AJ263" s="13" t="str">
        <f t="shared" si="43"/>
        <v>OK</v>
      </c>
      <c r="AK263">
        <v>0</v>
      </c>
      <c r="AL263">
        <v>0</v>
      </c>
      <c r="AM263">
        <v>0</v>
      </c>
      <c r="AN263">
        <v>0</v>
      </c>
      <c r="AO263">
        <v>66288995</v>
      </c>
      <c r="AP263">
        <v>66288995</v>
      </c>
      <c r="AQ263" s="15">
        <f t="shared" si="44"/>
        <v>0</v>
      </c>
      <c r="AR263">
        <v>66288995</v>
      </c>
      <c r="AS263">
        <v>66288995.5</v>
      </c>
      <c r="AT263">
        <v>18711004.5</v>
      </c>
      <c r="AU263">
        <v>18711004.5</v>
      </c>
      <c r="AV263" s="16">
        <f t="shared" si="45"/>
        <v>18711005</v>
      </c>
      <c r="AW263" s="13" t="str">
        <f t="shared" si="46"/>
        <v>SIM</v>
      </c>
      <c r="AX263" s="13" t="str">
        <f t="shared" si="47"/>
        <v>OK</v>
      </c>
      <c r="AY263" s="13" t="str">
        <f t="shared" si="48"/>
        <v>OK</v>
      </c>
      <c r="AZ263">
        <f t="shared" si="49"/>
        <v>-37.591970938794624</v>
      </c>
    </row>
    <row r="264" spans="2:52" x14ac:dyDescent="0.3">
      <c r="B264" t="s">
        <v>1180</v>
      </c>
      <c r="C264" t="s">
        <v>1181</v>
      </c>
      <c r="D264" t="s">
        <v>1182</v>
      </c>
      <c r="E264" t="s">
        <v>1183</v>
      </c>
      <c r="F264" t="s">
        <v>46</v>
      </c>
      <c r="G264" t="s">
        <v>102</v>
      </c>
      <c r="H264" t="s">
        <v>48</v>
      </c>
      <c r="I264" t="s">
        <v>76</v>
      </c>
      <c r="J264" t="s">
        <v>50</v>
      </c>
      <c r="K264" t="s">
        <v>51</v>
      </c>
      <c r="L264" t="s">
        <v>51</v>
      </c>
      <c r="M264" t="s">
        <v>52</v>
      </c>
      <c r="N264" t="s">
        <v>1184</v>
      </c>
      <c r="O264" s="11" t="str">
        <f t="shared" si="40"/>
        <v>OK</v>
      </c>
      <c r="P264" t="s">
        <v>54</v>
      </c>
      <c r="Q264" t="s">
        <v>54</v>
      </c>
      <c r="R264" t="s">
        <v>51</v>
      </c>
      <c r="S264" t="s">
        <v>1185</v>
      </c>
      <c r="T264" s="1">
        <v>6634764.5300000003</v>
      </c>
      <c r="U264" s="1">
        <v>257000723.78</v>
      </c>
      <c r="V264" s="13" t="str">
        <f t="shared" si="41"/>
        <v>OK</v>
      </c>
      <c r="W264" s="1">
        <v>290777172.29000002</v>
      </c>
      <c r="X264" s="1">
        <v>3496435.63</v>
      </c>
      <c r="Y264" t="s">
        <v>51</v>
      </c>
      <c r="Z264">
        <v>493394.96</v>
      </c>
      <c r="AA264">
        <v>0</v>
      </c>
      <c r="AB264">
        <v>15620.31</v>
      </c>
      <c r="AC264">
        <v>-4523290.33</v>
      </c>
      <c r="AD264" s="13" t="str">
        <f t="shared" si="42"/>
        <v>OK</v>
      </c>
      <c r="AE264">
        <v>-24341896.09</v>
      </c>
      <c r="AG264">
        <v>0</v>
      </c>
      <c r="AH264">
        <v>253733123.93000001</v>
      </c>
      <c r="AI264">
        <v>262956555.83000001</v>
      </c>
      <c r="AJ264" s="13" t="str">
        <f t="shared" si="43"/>
        <v>OK</v>
      </c>
      <c r="AK264">
        <v>0</v>
      </c>
      <c r="AL264" s="14">
        <v>0</v>
      </c>
      <c r="AM264">
        <v>0</v>
      </c>
      <c r="AN264">
        <v>0</v>
      </c>
      <c r="AO264">
        <v>42408424</v>
      </c>
      <c r="AP264">
        <v>49208424</v>
      </c>
      <c r="AQ264" s="15">
        <f t="shared" si="44"/>
        <v>6800000</v>
      </c>
      <c r="AR264">
        <v>42408423.68</v>
      </c>
      <c r="AS264">
        <v>49208423.68</v>
      </c>
      <c r="AT264">
        <v>6800000</v>
      </c>
      <c r="AU264">
        <v>0</v>
      </c>
      <c r="AV264" s="16">
        <f t="shared" si="45"/>
        <v>6800000</v>
      </c>
      <c r="AW264" s="13" t="str">
        <f t="shared" si="46"/>
        <v>SIM</v>
      </c>
      <c r="AX264" s="13" t="str">
        <f t="shared" si="47"/>
        <v>OK</v>
      </c>
      <c r="AY264" s="13" t="str">
        <f t="shared" si="48"/>
        <v>OK</v>
      </c>
      <c r="AZ264">
        <f t="shared" si="49"/>
        <v>18.582325359026704</v>
      </c>
    </row>
    <row r="265" spans="2:52" x14ac:dyDescent="0.3">
      <c r="B265" t="s">
        <v>1180</v>
      </c>
      <c r="C265" t="s">
        <v>1186</v>
      </c>
      <c r="D265" t="s">
        <v>1187</v>
      </c>
      <c r="E265" t="s">
        <v>1188</v>
      </c>
      <c r="F265" t="s">
        <v>70</v>
      </c>
      <c r="G265" t="s">
        <v>93</v>
      </c>
      <c r="H265" t="s">
        <v>60</v>
      </c>
      <c r="I265" t="s">
        <v>49</v>
      </c>
      <c r="J265" t="s">
        <v>50</v>
      </c>
      <c r="K265" t="s">
        <v>51</v>
      </c>
      <c r="L265" t="s">
        <v>51</v>
      </c>
      <c r="M265" t="s">
        <v>52</v>
      </c>
      <c r="N265" t="s">
        <v>683</v>
      </c>
      <c r="O265" s="11" t="str">
        <f t="shared" si="40"/>
        <v>OK</v>
      </c>
      <c r="P265" t="s">
        <v>51</v>
      </c>
      <c r="Q265" t="s">
        <v>54</v>
      </c>
      <c r="R265" t="s">
        <v>51</v>
      </c>
      <c r="S265" t="s">
        <v>55</v>
      </c>
      <c r="T265" s="1">
        <v>4396820</v>
      </c>
      <c r="U265" s="1">
        <v>4894706.21</v>
      </c>
      <c r="V265" s="13" t="str">
        <f t="shared" si="41"/>
        <v>OK</v>
      </c>
      <c r="W265" s="1">
        <v>6620680.1100000003</v>
      </c>
      <c r="X265" s="1">
        <v>0</v>
      </c>
      <c r="Y265" t="s">
        <v>51</v>
      </c>
      <c r="Z265">
        <v>298507.48</v>
      </c>
      <c r="AA265">
        <v>0</v>
      </c>
      <c r="AB265">
        <v>0</v>
      </c>
      <c r="AC265">
        <v>537560</v>
      </c>
      <c r="AD265" s="13" t="str">
        <f t="shared" si="42"/>
        <v>OK</v>
      </c>
      <c r="AE265">
        <v>-38539154</v>
      </c>
      <c r="AG265">
        <v>0</v>
      </c>
      <c r="AH265">
        <v>5510738</v>
      </c>
      <c r="AI265">
        <v>3436174.71</v>
      </c>
      <c r="AJ265" s="13" t="str">
        <f t="shared" si="43"/>
        <v>OK</v>
      </c>
      <c r="AK265">
        <v>46342958.68</v>
      </c>
      <c r="AL265" s="14">
        <v>46342958.68</v>
      </c>
      <c r="AM265">
        <v>0</v>
      </c>
      <c r="AN265">
        <v>0</v>
      </c>
      <c r="AO265">
        <v>32300207</v>
      </c>
      <c r="AP265">
        <v>32300207</v>
      </c>
      <c r="AQ265" s="15">
        <f t="shared" si="44"/>
        <v>0</v>
      </c>
      <c r="AR265">
        <v>32300207</v>
      </c>
      <c r="AS265">
        <v>32300207</v>
      </c>
      <c r="AT265">
        <v>0</v>
      </c>
      <c r="AU265">
        <v>0</v>
      </c>
      <c r="AV265" s="16">
        <f t="shared" si="45"/>
        <v>0</v>
      </c>
      <c r="AW265" s="13" t="str">
        <f t="shared" si="46"/>
        <v>NÃO</v>
      </c>
      <c r="AX265" s="13" t="str">
        <f t="shared" si="47"/>
        <v>OK</v>
      </c>
      <c r="AY265" s="13" t="str">
        <f t="shared" si="48"/>
        <v>OK</v>
      </c>
      <c r="AZ265">
        <f t="shared" si="49"/>
        <v>-1.3948412048692092</v>
      </c>
    </row>
    <row r="266" spans="2:52" x14ac:dyDescent="0.3">
      <c r="B266" t="s">
        <v>1180</v>
      </c>
      <c r="C266" t="s">
        <v>1189</v>
      </c>
      <c r="D266" t="s">
        <v>1190</v>
      </c>
      <c r="E266" t="s">
        <v>1191</v>
      </c>
      <c r="F266" t="s">
        <v>46</v>
      </c>
      <c r="G266" t="s">
        <v>102</v>
      </c>
      <c r="H266" t="s">
        <v>48</v>
      </c>
      <c r="I266" t="s">
        <v>363</v>
      </c>
      <c r="J266" t="s">
        <v>50</v>
      </c>
      <c r="K266" t="s">
        <v>51</v>
      </c>
      <c r="L266" t="s">
        <v>51</v>
      </c>
      <c r="M266" t="s">
        <v>52</v>
      </c>
      <c r="N266" t="s">
        <v>1192</v>
      </c>
      <c r="O266" s="11" t="str">
        <f t="shared" si="40"/>
        <v>OK</v>
      </c>
      <c r="P266" t="s">
        <v>54</v>
      </c>
      <c r="Q266" t="s">
        <v>54</v>
      </c>
      <c r="R266" t="s">
        <v>51</v>
      </c>
      <c r="S266" t="s">
        <v>1193</v>
      </c>
      <c r="T266" s="1">
        <v>26417165</v>
      </c>
      <c r="U266" s="1">
        <v>490056603.76999998</v>
      </c>
      <c r="V266" s="13" t="str">
        <f t="shared" si="41"/>
        <v>OK</v>
      </c>
      <c r="W266" s="1">
        <v>540390768.53999996</v>
      </c>
      <c r="X266" s="1">
        <v>20240225</v>
      </c>
      <c r="Y266" t="s">
        <v>51</v>
      </c>
      <c r="Z266">
        <v>456991.71</v>
      </c>
      <c r="AA266">
        <v>0</v>
      </c>
      <c r="AB266">
        <v>24139.81</v>
      </c>
      <c r="AC266">
        <v>-12199694.869999999</v>
      </c>
      <c r="AD266" s="13" t="str">
        <f t="shared" si="42"/>
        <v>OK</v>
      </c>
      <c r="AE266">
        <v>-37869823</v>
      </c>
      <c r="AG266">
        <v>0</v>
      </c>
      <c r="AH266">
        <v>433219082</v>
      </c>
      <c r="AI266">
        <v>457591779</v>
      </c>
      <c r="AJ266" s="13" t="str">
        <f t="shared" si="43"/>
        <v>OK</v>
      </c>
      <c r="AK266">
        <v>0</v>
      </c>
      <c r="AL266" s="14">
        <v>0</v>
      </c>
      <c r="AM266">
        <v>0</v>
      </c>
      <c r="AN266">
        <v>0</v>
      </c>
      <c r="AO266">
        <v>169781641.53</v>
      </c>
      <c r="AP266">
        <v>169781642</v>
      </c>
      <c r="AQ266" s="15">
        <f t="shared" si="44"/>
        <v>0.4699999988079071</v>
      </c>
      <c r="AR266">
        <v>169781641.53</v>
      </c>
      <c r="AS266">
        <v>169781642</v>
      </c>
      <c r="AT266">
        <v>0</v>
      </c>
      <c r="AU266">
        <v>0</v>
      </c>
      <c r="AV266" s="16">
        <f t="shared" si="45"/>
        <v>0.4699999988079071</v>
      </c>
      <c r="AW266" s="13" t="str">
        <f t="shared" si="46"/>
        <v>SIM</v>
      </c>
      <c r="AX266" s="13" t="str">
        <f t="shared" si="47"/>
        <v>OK</v>
      </c>
      <c r="AY266" s="13" t="str">
        <f t="shared" si="48"/>
        <v>OK</v>
      </c>
      <c r="AZ266">
        <f t="shared" si="49"/>
        <v>32.214818828173556</v>
      </c>
    </row>
    <row r="267" spans="2:52" x14ac:dyDescent="0.3">
      <c r="B267" t="s">
        <v>1180</v>
      </c>
      <c r="C267" t="s">
        <v>1223</v>
      </c>
      <c r="D267" t="s">
        <v>1224</v>
      </c>
      <c r="E267" t="s">
        <v>1225</v>
      </c>
      <c r="F267" t="s">
        <v>46</v>
      </c>
      <c r="G267" t="s">
        <v>162</v>
      </c>
      <c r="H267" t="s">
        <v>60</v>
      </c>
      <c r="I267" t="s">
        <v>49</v>
      </c>
      <c r="J267" t="s">
        <v>50</v>
      </c>
      <c r="K267" t="s">
        <v>51</v>
      </c>
      <c r="L267" t="s">
        <v>51</v>
      </c>
      <c r="M267" t="s">
        <v>134</v>
      </c>
      <c r="N267" t="s">
        <v>405</v>
      </c>
      <c r="O267" s="11" t="str">
        <f t="shared" si="40"/>
        <v>OK</v>
      </c>
      <c r="P267" t="s">
        <v>54</v>
      </c>
      <c r="Q267" t="s">
        <v>54</v>
      </c>
      <c r="R267" t="s">
        <v>51</v>
      </c>
      <c r="S267" t="s">
        <v>55</v>
      </c>
      <c r="T267" s="1">
        <v>5612971.7199999997</v>
      </c>
      <c r="U267" s="1">
        <v>2130600.34</v>
      </c>
      <c r="V267" s="13" t="str">
        <f t="shared" si="41"/>
        <v>OK</v>
      </c>
      <c r="W267" s="1">
        <v>6247865.0300000003</v>
      </c>
      <c r="X267" s="1">
        <v>0</v>
      </c>
      <c r="Y267" t="s">
        <v>51</v>
      </c>
      <c r="Z267">
        <v>216776.28</v>
      </c>
      <c r="AA267">
        <v>0</v>
      </c>
      <c r="AB267">
        <v>0</v>
      </c>
      <c r="AC267">
        <v>-1612417.77</v>
      </c>
      <c r="AD267" s="13" t="str">
        <f t="shared" si="42"/>
        <v>OK</v>
      </c>
      <c r="AE267">
        <v>2438926.6800000002</v>
      </c>
      <c r="AG267">
        <v>0</v>
      </c>
      <c r="AH267">
        <v>0</v>
      </c>
      <c r="AI267">
        <v>0</v>
      </c>
      <c r="AJ267" s="13" t="str">
        <f t="shared" si="43"/>
        <v>OK</v>
      </c>
      <c r="AK267">
        <v>3651537</v>
      </c>
      <c r="AL267">
        <v>3003619.55</v>
      </c>
      <c r="AM267">
        <v>0</v>
      </c>
      <c r="AN267">
        <v>0</v>
      </c>
      <c r="AO267">
        <v>2000000</v>
      </c>
      <c r="AP267">
        <v>2000000</v>
      </c>
      <c r="AQ267" s="15">
        <f t="shared" si="44"/>
        <v>0</v>
      </c>
      <c r="AR267">
        <v>1616016.74</v>
      </c>
      <c r="AS267">
        <v>1616016.74</v>
      </c>
      <c r="AT267">
        <v>10429792.140000001</v>
      </c>
      <c r="AU267">
        <v>12651041.42</v>
      </c>
      <c r="AV267" s="16">
        <f t="shared" si="45"/>
        <v>12651041.42</v>
      </c>
      <c r="AW267" s="13" t="str">
        <f t="shared" si="46"/>
        <v>SIM</v>
      </c>
      <c r="AX267" s="13" t="str">
        <f t="shared" si="47"/>
        <v>OK</v>
      </c>
      <c r="AY267" s="13" t="str">
        <f t="shared" si="48"/>
        <v>OK</v>
      </c>
      <c r="AZ267">
        <f t="shared" si="49"/>
        <v>-66.111777087124239</v>
      </c>
    </row>
    <row r="268" spans="2:52" x14ac:dyDescent="0.3">
      <c r="B268" t="s">
        <v>1180</v>
      </c>
      <c r="C268" t="s">
        <v>1226</v>
      </c>
      <c r="D268" t="s">
        <v>1227</v>
      </c>
      <c r="E268" t="s">
        <v>1228</v>
      </c>
      <c r="F268" t="s">
        <v>46</v>
      </c>
      <c r="G268" t="s">
        <v>65</v>
      </c>
      <c r="H268" t="s">
        <v>60</v>
      </c>
      <c r="I268" t="s">
        <v>49</v>
      </c>
      <c r="J268" t="s">
        <v>50</v>
      </c>
      <c r="K268" t="s">
        <v>51</v>
      </c>
      <c r="L268" t="s">
        <v>51</v>
      </c>
      <c r="M268" t="s">
        <v>134</v>
      </c>
      <c r="N268" t="s">
        <v>208</v>
      </c>
      <c r="O268" s="11" t="str">
        <f t="shared" si="40"/>
        <v>OK</v>
      </c>
      <c r="P268" t="s">
        <v>54</v>
      </c>
      <c r="Q268" t="s">
        <v>54</v>
      </c>
      <c r="R268" t="s">
        <v>51</v>
      </c>
      <c r="S268" t="s">
        <v>55</v>
      </c>
      <c r="T268" s="1">
        <v>94254.8</v>
      </c>
      <c r="U268" s="1">
        <v>82846.39</v>
      </c>
      <c r="V268" s="13" t="str">
        <f t="shared" si="41"/>
        <v>OK</v>
      </c>
      <c r="W268" s="1">
        <v>139153.54</v>
      </c>
      <c r="X268" s="1">
        <v>0</v>
      </c>
      <c r="Y268" t="s">
        <v>51</v>
      </c>
      <c r="Z268">
        <v>0</v>
      </c>
      <c r="AA268">
        <v>0</v>
      </c>
      <c r="AB268">
        <v>0</v>
      </c>
      <c r="AC268">
        <v>-44898.74</v>
      </c>
      <c r="AD268" s="13" t="str">
        <f t="shared" si="42"/>
        <v>OK</v>
      </c>
      <c r="AE268">
        <v>2227275.89</v>
      </c>
      <c r="AG268">
        <v>0</v>
      </c>
      <c r="AH268">
        <v>0</v>
      </c>
      <c r="AI268">
        <v>0</v>
      </c>
      <c r="AJ268" s="13" t="str">
        <f t="shared" si="43"/>
        <v>OK</v>
      </c>
      <c r="AK268">
        <v>0</v>
      </c>
      <c r="AL268">
        <v>0</v>
      </c>
      <c r="AM268">
        <v>0</v>
      </c>
      <c r="AN268">
        <v>0</v>
      </c>
      <c r="AO268">
        <v>23272243</v>
      </c>
      <c r="AP268">
        <v>23272243</v>
      </c>
      <c r="AQ268" s="15">
        <f t="shared" si="44"/>
        <v>0</v>
      </c>
      <c r="AR268">
        <v>23370426.239999998</v>
      </c>
      <c r="AS268">
        <v>23272243</v>
      </c>
      <c r="AT268">
        <v>0</v>
      </c>
      <c r="AU268">
        <v>0</v>
      </c>
      <c r="AV268" s="16">
        <f t="shared" si="45"/>
        <v>-98183.239999998361</v>
      </c>
      <c r="AW268" s="13" t="str">
        <f t="shared" si="46"/>
        <v>NÃO</v>
      </c>
      <c r="AX268" s="13" t="str">
        <f t="shared" si="47"/>
        <v>OK</v>
      </c>
      <c r="AY268" s="13" t="str">
        <f t="shared" si="48"/>
        <v>OK</v>
      </c>
      <c r="AZ268">
        <f t="shared" si="49"/>
        <v>-2.0158589333986816</v>
      </c>
    </row>
    <row r="269" spans="2:52" x14ac:dyDescent="0.3">
      <c r="B269" t="s">
        <v>1180</v>
      </c>
      <c r="C269" t="s">
        <v>1229</v>
      </c>
      <c r="D269" t="s">
        <v>1230</v>
      </c>
      <c r="E269" t="s">
        <v>1231</v>
      </c>
      <c r="F269" t="s">
        <v>46</v>
      </c>
      <c r="G269" t="s">
        <v>71</v>
      </c>
      <c r="H269" t="s">
        <v>60</v>
      </c>
      <c r="I269" t="s">
        <v>49</v>
      </c>
      <c r="J269" t="s">
        <v>50</v>
      </c>
      <c r="K269" t="s">
        <v>51</v>
      </c>
      <c r="L269" t="s">
        <v>51</v>
      </c>
      <c r="M269" t="s">
        <v>134</v>
      </c>
      <c r="N269" t="s">
        <v>66</v>
      </c>
      <c r="O269" s="11" t="str">
        <f t="shared" si="40"/>
        <v>VERIFICAR</v>
      </c>
      <c r="P269" t="s">
        <v>54</v>
      </c>
      <c r="Q269" t="s">
        <v>54</v>
      </c>
      <c r="R269" t="s">
        <v>54</v>
      </c>
      <c r="S269" t="s">
        <v>55</v>
      </c>
      <c r="T269" s="1">
        <v>0</v>
      </c>
      <c r="U269" s="1">
        <v>0</v>
      </c>
      <c r="V269" s="13" t="str">
        <f t="shared" si="41"/>
        <v>OK</v>
      </c>
      <c r="W269" s="1">
        <v>1399235743.8099999</v>
      </c>
      <c r="X269" s="1">
        <v>0</v>
      </c>
      <c r="Y269" t="s">
        <v>51</v>
      </c>
      <c r="Z269">
        <v>0</v>
      </c>
      <c r="AA269">
        <v>0</v>
      </c>
      <c r="AB269">
        <v>0</v>
      </c>
      <c r="AC269">
        <v>-1399235709</v>
      </c>
      <c r="AD269" s="13" t="str">
        <f t="shared" si="42"/>
        <v>OK</v>
      </c>
      <c r="AE269">
        <v>-12619554620.6</v>
      </c>
      <c r="AG269">
        <v>0</v>
      </c>
      <c r="AH269">
        <v>0</v>
      </c>
      <c r="AI269">
        <v>0</v>
      </c>
      <c r="AJ269" s="13" t="str">
        <f t="shared" si="43"/>
        <v>OK</v>
      </c>
      <c r="AK269">
        <v>0</v>
      </c>
      <c r="AL269">
        <v>0</v>
      </c>
      <c r="AM269">
        <v>0</v>
      </c>
      <c r="AN269">
        <v>0</v>
      </c>
      <c r="AO269">
        <v>199000</v>
      </c>
      <c r="AP269">
        <v>200000</v>
      </c>
      <c r="AQ269" s="15">
        <f t="shared" si="44"/>
        <v>1000</v>
      </c>
      <c r="AR269">
        <v>82682702.340000004</v>
      </c>
      <c r="AS269">
        <v>82795760.480000004</v>
      </c>
      <c r="AT269">
        <v>117317297.66</v>
      </c>
      <c r="AU269">
        <v>117204239.52</v>
      </c>
      <c r="AV269" s="16">
        <f t="shared" si="45"/>
        <v>117317297.66</v>
      </c>
      <c r="AW269" s="13" t="str">
        <f t="shared" si="46"/>
        <v>SIM</v>
      </c>
      <c r="AX269" s="13" t="str">
        <f t="shared" si="47"/>
        <v>OK</v>
      </c>
      <c r="AY269" s="13" t="str">
        <f t="shared" si="48"/>
        <v>OK</v>
      </c>
      <c r="AZ269">
        <f t="shared" si="49"/>
        <v>11.087837495595172</v>
      </c>
    </row>
    <row r="270" spans="2:52" x14ac:dyDescent="0.3">
      <c r="B270" t="s">
        <v>1180</v>
      </c>
      <c r="C270" t="s">
        <v>1194</v>
      </c>
      <c r="D270" t="s">
        <v>1195</v>
      </c>
      <c r="E270" t="s">
        <v>1196</v>
      </c>
      <c r="F270" t="s">
        <v>70</v>
      </c>
      <c r="G270" t="s">
        <v>162</v>
      </c>
      <c r="H270" t="s">
        <v>60</v>
      </c>
      <c r="I270" t="s">
        <v>49</v>
      </c>
      <c r="J270" t="s">
        <v>50</v>
      </c>
      <c r="K270" t="s">
        <v>51</v>
      </c>
      <c r="L270" t="s">
        <v>51</v>
      </c>
      <c r="M270" t="s">
        <v>52</v>
      </c>
      <c r="N270" t="s">
        <v>754</v>
      </c>
      <c r="O270" s="11" t="str">
        <f t="shared" si="40"/>
        <v>OK</v>
      </c>
      <c r="P270" t="s">
        <v>51</v>
      </c>
      <c r="Q270" t="s">
        <v>54</v>
      </c>
      <c r="R270" t="s">
        <v>51</v>
      </c>
      <c r="S270" t="s">
        <v>55</v>
      </c>
      <c r="T270" s="1">
        <v>5973035</v>
      </c>
      <c r="U270" s="1">
        <v>6063861</v>
      </c>
      <c r="V270" s="13" t="str">
        <f t="shared" si="41"/>
        <v>OK</v>
      </c>
      <c r="W270" s="1">
        <v>6206595</v>
      </c>
      <c r="X270" s="1">
        <v>0</v>
      </c>
      <c r="Y270" t="s">
        <v>51</v>
      </c>
      <c r="Z270">
        <v>2709.98</v>
      </c>
      <c r="AA270">
        <v>0</v>
      </c>
      <c r="AB270">
        <v>0</v>
      </c>
      <c r="AC270">
        <v>-233560</v>
      </c>
      <c r="AD270" s="13" t="str">
        <f t="shared" si="42"/>
        <v>OK</v>
      </c>
      <c r="AE270">
        <v>-227931</v>
      </c>
      <c r="AG270">
        <v>0</v>
      </c>
      <c r="AH270">
        <v>0</v>
      </c>
      <c r="AI270">
        <v>0</v>
      </c>
      <c r="AJ270" s="13" t="str">
        <f t="shared" si="43"/>
        <v>OK</v>
      </c>
      <c r="AK270">
        <v>0</v>
      </c>
      <c r="AL270">
        <v>0</v>
      </c>
      <c r="AM270">
        <v>0</v>
      </c>
      <c r="AN270">
        <v>0</v>
      </c>
      <c r="AO270">
        <v>3413873</v>
      </c>
      <c r="AP270">
        <v>3413873</v>
      </c>
      <c r="AQ270" s="15">
        <f t="shared" si="44"/>
        <v>0</v>
      </c>
      <c r="AR270">
        <v>3528671</v>
      </c>
      <c r="AS270">
        <v>3528671</v>
      </c>
      <c r="AT270">
        <v>1165848</v>
      </c>
      <c r="AU270">
        <v>1165848</v>
      </c>
      <c r="AV270" s="16">
        <f t="shared" si="45"/>
        <v>1165848</v>
      </c>
      <c r="AW270" s="13" t="str">
        <f t="shared" si="46"/>
        <v>SIM</v>
      </c>
      <c r="AX270" s="13" t="str">
        <f t="shared" si="47"/>
        <v>OK</v>
      </c>
      <c r="AY270" s="13" t="str">
        <f t="shared" si="48"/>
        <v>OK</v>
      </c>
      <c r="AZ270">
        <f t="shared" si="49"/>
        <v>102.46960703019774</v>
      </c>
    </row>
    <row r="271" spans="2:52" x14ac:dyDescent="0.3">
      <c r="B271" t="s">
        <v>1180</v>
      </c>
      <c r="C271" t="s">
        <v>1232</v>
      </c>
      <c r="D271" t="s">
        <v>1233</v>
      </c>
      <c r="E271" t="s">
        <v>1234</v>
      </c>
      <c r="F271" t="s">
        <v>46</v>
      </c>
      <c r="G271" t="s">
        <v>93</v>
      </c>
      <c r="H271" t="s">
        <v>60</v>
      </c>
      <c r="I271" t="s">
        <v>49</v>
      </c>
      <c r="J271" t="s">
        <v>50</v>
      </c>
      <c r="K271" t="s">
        <v>51</v>
      </c>
      <c r="L271" t="s">
        <v>51</v>
      </c>
      <c r="M271" t="s">
        <v>134</v>
      </c>
      <c r="N271" t="s">
        <v>250</v>
      </c>
      <c r="O271" s="11" t="str">
        <f t="shared" si="40"/>
        <v>OK</v>
      </c>
      <c r="P271" t="s">
        <v>54</v>
      </c>
      <c r="Q271" t="s">
        <v>54</v>
      </c>
      <c r="R271" t="s">
        <v>51</v>
      </c>
      <c r="S271" t="s">
        <v>55</v>
      </c>
      <c r="T271" s="1">
        <v>36656036.789999999</v>
      </c>
      <c r="U271" s="1">
        <v>2676733.1800000002</v>
      </c>
      <c r="V271" s="13" t="str">
        <f t="shared" si="41"/>
        <v>OK</v>
      </c>
      <c r="W271" s="1">
        <v>23605589.82</v>
      </c>
      <c r="X271" s="1">
        <v>131978.93</v>
      </c>
      <c r="Y271" t="s">
        <v>51</v>
      </c>
      <c r="Z271">
        <v>208250.14</v>
      </c>
      <c r="AA271">
        <v>0</v>
      </c>
      <c r="AB271">
        <v>0</v>
      </c>
      <c r="AC271">
        <v>55603427.43</v>
      </c>
      <c r="AD271" s="13" t="str">
        <f t="shared" si="42"/>
        <v>OK</v>
      </c>
      <c r="AE271">
        <v>483002777.99000001</v>
      </c>
      <c r="AG271">
        <v>0</v>
      </c>
      <c r="AH271">
        <v>0</v>
      </c>
      <c r="AI271">
        <v>0</v>
      </c>
      <c r="AJ271" s="13" t="str">
        <f t="shared" si="43"/>
        <v>OK</v>
      </c>
      <c r="AK271">
        <v>0</v>
      </c>
      <c r="AL271">
        <v>0</v>
      </c>
      <c r="AM271">
        <v>20251723.949999999</v>
      </c>
      <c r="AN271">
        <v>25879445.800000001</v>
      </c>
      <c r="AO271">
        <v>210708078</v>
      </c>
      <c r="AP271">
        <v>230959802</v>
      </c>
      <c r="AQ271" s="15">
        <f t="shared" si="44"/>
        <v>20251724</v>
      </c>
      <c r="AR271">
        <v>210708078</v>
      </c>
      <c r="AS271">
        <v>230959802</v>
      </c>
      <c r="AT271">
        <v>6209566</v>
      </c>
      <c r="AU271">
        <v>0</v>
      </c>
      <c r="AV271" s="16">
        <f t="shared" si="45"/>
        <v>20251724</v>
      </c>
      <c r="AW271" s="13" t="str">
        <f t="shared" si="46"/>
        <v>SIM</v>
      </c>
      <c r="AX271" s="13" t="str">
        <f t="shared" si="47"/>
        <v>VER CAPITAL</v>
      </c>
      <c r="AY271" s="13" t="str">
        <f t="shared" si="48"/>
        <v>OK</v>
      </c>
      <c r="AZ271">
        <f t="shared" si="49"/>
        <v>11.51203056458429</v>
      </c>
    </row>
    <row r="272" spans="2:52" x14ac:dyDescent="0.3">
      <c r="B272" t="s">
        <v>1180</v>
      </c>
      <c r="C272" t="s">
        <v>1235</v>
      </c>
      <c r="D272" t="s">
        <v>1236</v>
      </c>
      <c r="E272" t="s">
        <v>1237</v>
      </c>
      <c r="F272" t="s">
        <v>46</v>
      </c>
      <c r="G272" t="s">
        <v>133</v>
      </c>
      <c r="H272" t="s">
        <v>60</v>
      </c>
      <c r="I272" t="s">
        <v>49</v>
      </c>
      <c r="J272" t="s">
        <v>50</v>
      </c>
      <c r="K272" t="s">
        <v>51</v>
      </c>
      <c r="L272" t="s">
        <v>51</v>
      </c>
      <c r="M272" t="s">
        <v>134</v>
      </c>
      <c r="N272" t="s">
        <v>1238</v>
      </c>
      <c r="O272" s="11" t="str">
        <f t="shared" si="40"/>
        <v>OK</v>
      </c>
      <c r="P272" t="s">
        <v>54</v>
      </c>
      <c r="Q272" t="s">
        <v>54</v>
      </c>
      <c r="R272" t="s">
        <v>54</v>
      </c>
      <c r="S272" t="s">
        <v>1239</v>
      </c>
      <c r="T272" s="1">
        <v>1676105.32</v>
      </c>
      <c r="U272" s="1">
        <v>12268967.539999999</v>
      </c>
      <c r="V272" s="13" t="str">
        <f t="shared" si="41"/>
        <v>OK</v>
      </c>
      <c r="W272" s="1">
        <v>13620504.939999999</v>
      </c>
      <c r="X272" s="1">
        <v>225966.04</v>
      </c>
      <c r="Y272" t="s">
        <v>51</v>
      </c>
      <c r="Z272">
        <v>366323.38</v>
      </c>
      <c r="AA272">
        <v>0</v>
      </c>
      <c r="AB272">
        <v>0</v>
      </c>
      <c r="AC272">
        <v>23025716.170000002</v>
      </c>
      <c r="AD272" s="13" t="str">
        <f t="shared" si="42"/>
        <v>OK</v>
      </c>
      <c r="AE272">
        <v>265645884.53999999</v>
      </c>
      <c r="AG272">
        <v>0</v>
      </c>
      <c r="AH272">
        <v>0</v>
      </c>
      <c r="AI272">
        <v>0</v>
      </c>
      <c r="AJ272" s="13" t="str">
        <f t="shared" si="43"/>
        <v>OK</v>
      </c>
      <c r="AK272">
        <v>0</v>
      </c>
      <c r="AL272">
        <v>0</v>
      </c>
      <c r="AM272">
        <v>4558700.29</v>
      </c>
      <c r="AN272">
        <v>19372673</v>
      </c>
      <c r="AO272">
        <v>231767692</v>
      </c>
      <c r="AP272">
        <v>251140365</v>
      </c>
      <c r="AQ272" s="15">
        <f t="shared" si="44"/>
        <v>19372673</v>
      </c>
      <c r="AR272">
        <v>4558700.29</v>
      </c>
      <c r="AS272">
        <v>19372673</v>
      </c>
      <c r="AT272">
        <v>0</v>
      </c>
      <c r="AU272">
        <v>0</v>
      </c>
      <c r="AV272" s="16">
        <f t="shared" si="45"/>
        <v>14813972.710000001</v>
      </c>
      <c r="AW272" s="13" t="str">
        <f t="shared" si="46"/>
        <v>SIM</v>
      </c>
      <c r="AX272" s="13" t="str">
        <f t="shared" si="47"/>
        <v>VER CAPITAL</v>
      </c>
      <c r="AY272" s="13" t="str">
        <f t="shared" si="48"/>
        <v>OK</v>
      </c>
      <c r="AZ272">
        <f t="shared" si="49"/>
        <v>8.6678234108057008</v>
      </c>
    </row>
    <row r="273" spans="2:52" x14ac:dyDescent="0.3">
      <c r="B273" t="s">
        <v>1240</v>
      </c>
      <c r="C273" t="s">
        <v>1271</v>
      </c>
      <c r="D273" t="s">
        <v>1272</v>
      </c>
      <c r="E273" t="s">
        <v>1273</v>
      </c>
      <c r="F273" t="s">
        <v>46</v>
      </c>
      <c r="G273" t="s">
        <v>71</v>
      </c>
      <c r="H273" t="s">
        <v>60</v>
      </c>
      <c r="I273" t="s">
        <v>49</v>
      </c>
      <c r="J273" t="s">
        <v>373</v>
      </c>
      <c r="K273" t="s">
        <v>54</v>
      </c>
      <c r="L273" t="s">
        <v>51</v>
      </c>
      <c r="M273" t="s">
        <v>134</v>
      </c>
      <c r="N273" t="s">
        <v>1274</v>
      </c>
      <c r="O273" s="11" t="str">
        <f t="shared" si="40"/>
        <v>OK</v>
      </c>
      <c r="P273" t="s">
        <v>54</v>
      </c>
      <c r="Q273" t="s">
        <v>54</v>
      </c>
      <c r="R273" t="s">
        <v>54</v>
      </c>
      <c r="S273" t="s">
        <v>1275</v>
      </c>
      <c r="T273" s="1">
        <v>213434642.56999999</v>
      </c>
      <c r="U273" s="1">
        <v>262454580.78999999</v>
      </c>
      <c r="V273" s="13" t="str">
        <f t="shared" si="41"/>
        <v>OK</v>
      </c>
      <c r="W273" s="1">
        <v>1495156353.78</v>
      </c>
      <c r="X273" s="1">
        <v>35584140</v>
      </c>
      <c r="Y273" t="s">
        <v>54</v>
      </c>
      <c r="Z273">
        <v>807001.08</v>
      </c>
      <c r="AA273">
        <v>19899.45</v>
      </c>
      <c r="AB273">
        <v>29363.08</v>
      </c>
      <c r="AC273">
        <v>146703661.71000001</v>
      </c>
      <c r="AD273" s="13" t="str">
        <f t="shared" si="42"/>
        <v>OK</v>
      </c>
      <c r="AE273">
        <v>810041826.39999998</v>
      </c>
      <c r="AF273">
        <v>477037369.98000002</v>
      </c>
      <c r="AG273">
        <v>40701578.619999997</v>
      </c>
      <c r="AH273">
        <v>0</v>
      </c>
      <c r="AI273">
        <v>0</v>
      </c>
      <c r="AJ273" s="13" t="str">
        <f t="shared" si="43"/>
        <v>OK</v>
      </c>
      <c r="AK273">
        <v>0</v>
      </c>
      <c r="AL273">
        <v>0</v>
      </c>
      <c r="AM273">
        <v>56242461.5</v>
      </c>
      <c r="AN273">
        <v>42131126.359999999</v>
      </c>
      <c r="AO273">
        <v>16205471</v>
      </c>
      <c r="AP273">
        <v>17896581</v>
      </c>
      <c r="AQ273" s="15">
        <f t="shared" si="44"/>
        <v>1691110</v>
      </c>
      <c r="AR273">
        <v>519098927.52999997</v>
      </c>
      <c r="AS273">
        <v>561936975.23000002</v>
      </c>
      <c r="AT273">
        <v>0</v>
      </c>
      <c r="AU273">
        <v>0</v>
      </c>
      <c r="AV273" s="16">
        <f t="shared" si="45"/>
        <v>42838047.700000048</v>
      </c>
      <c r="AW273" s="13" t="str">
        <f t="shared" si="46"/>
        <v>SIM</v>
      </c>
      <c r="AX273" s="13" t="str">
        <f t="shared" si="47"/>
        <v>VER CAPITAL</v>
      </c>
      <c r="AY273" s="13" t="str">
        <f t="shared" si="48"/>
        <v>OK</v>
      </c>
      <c r="AZ273">
        <f t="shared" si="49"/>
        <v>18.110627985962481</v>
      </c>
    </row>
    <row r="274" spans="2:52" x14ac:dyDescent="0.3">
      <c r="B274" t="s">
        <v>1240</v>
      </c>
      <c r="C274" t="s">
        <v>1241</v>
      </c>
      <c r="D274" t="s">
        <v>1242</v>
      </c>
      <c r="E274" t="s">
        <v>1243</v>
      </c>
      <c r="F274" t="s">
        <v>46</v>
      </c>
      <c r="G274" t="s">
        <v>93</v>
      </c>
      <c r="H274" t="s">
        <v>60</v>
      </c>
      <c r="I274" t="s">
        <v>49</v>
      </c>
      <c r="J274" t="s">
        <v>373</v>
      </c>
      <c r="K274" t="s">
        <v>51</v>
      </c>
      <c r="L274" t="s">
        <v>51</v>
      </c>
      <c r="M274" t="s">
        <v>52</v>
      </c>
      <c r="N274" t="s">
        <v>108</v>
      </c>
      <c r="O274" s="11" t="str">
        <f t="shared" si="40"/>
        <v>OK</v>
      </c>
      <c r="P274" t="s">
        <v>54</v>
      </c>
      <c r="Q274" t="s">
        <v>54</v>
      </c>
      <c r="R274" t="s">
        <v>51</v>
      </c>
      <c r="S274" t="s">
        <v>55</v>
      </c>
      <c r="T274" s="1">
        <v>41854042.109999999</v>
      </c>
      <c r="U274" s="1">
        <v>37089430.82</v>
      </c>
      <c r="V274" s="13" t="str">
        <f t="shared" si="41"/>
        <v>OK</v>
      </c>
      <c r="W274" s="1">
        <v>46818113.979999997</v>
      </c>
      <c r="X274" s="1">
        <v>81443.98</v>
      </c>
      <c r="Y274" t="s">
        <v>51</v>
      </c>
      <c r="Z274">
        <v>424915.03</v>
      </c>
      <c r="AA274">
        <v>0</v>
      </c>
      <c r="AB274">
        <v>0</v>
      </c>
      <c r="AC274">
        <v>-4964071.87</v>
      </c>
      <c r="AD274" s="13" t="str">
        <f t="shared" si="42"/>
        <v>OK</v>
      </c>
      <c r="AE274">
        <v>97712357.120000005</v>
      </c>
      <c r="AF274">
        <v>0</v>
      </c>
      <c r="AG274">
        <v>0</v>
      </c>
      <c r="AH274">
        <v>28966706.260000002</v>
      </c>
      <c r="AI274">
        <v>39425545.789999999</v>
      </c>
      <c r="AJ274" s="13" t="str">
        <f t="shared" si="43"/>
        <v>OK</v>
      </c>
      <c r="AK274">
        <v>80795161.310000002</v>
      </c>
      <c r="AL274" s="14">
        <v>90809383.590000004</v>
      </c>
      <c r="AM274">
        <v>0</v>
      </c>
      <c r="AN274">
        <v>0</v>
      </c>
      <c r="AO274">
        <v>515885165</v>
      </c>
      <c r="AP274">
        <v>515885165</v>
      </c>
      <c r="AQ274" s="15">
        <f t="shared" si="44"/>
        <v>0</v>
      </c>
      <c r="AR274">
        <v>515936758.60000002</v>
      </c>
      <c r="AS274">
        <v>515936758.60000002</v>
      </c>
      <c r="AT274">
        <v>0</v>
      </c>
      <c r="AU274">
        <v>0</v>
      </c>
      <c r="AV274" s="16">
        <f t="shared" si="45"/>
        <v>0</v>
      </c>
      <c r="AW274" s="13" t="str">
        <f t="shared" si="46"/>
        <v>NÃO</v>
      </c>
      <c r="AX274" s="13" t="str">
        <f t="shared" si="47"/>
        <v>OK</v>
      </c>
      <c r="AY274" s="13" t="str">
        <f t="shared" si="48"/>
        <v>OK</v>
      </c>
      <c r="AZ274">
        <f t="shared" si="49"/>
        <v>-5.0802907803192703</v>
      </c>
    </row>
    <row r="275" spans="2:52" x14ac:dyDescent="0.3">
      <c r="B275" t="s">
        <v>1240</v>
      </c>
      <c r="C275" t="s">
        <v>1244</v>
      </c>
      <c r="D275" t="s">
        <v>1245</v>
      </c>
      <c r="E275" t="s">
        <v>1246</v>
      </c>
      <c r="F275" t="s">
        <v>46</v>
      </c>
      <c r="G275" t="s">
        <v>75</v>
      </c>
      <c r="H275" t="s">
        <v>60</v>
      </c>
      <c r="I275" t="s">
        <v>49</v>
      </c>
      <c r="J275" t="s">
        <v>373</v>
      </c>
      <c r="K275" t="s">
        <v>51</v>
      </c>
      <c r="L275" t="s">
        <v>51</v>
      </c>
      <c r="M275" t="s">
        <v>52</v>
      </c>
      <c r="N275" t="s">
        <v>1247</v>
      </c>
      <c r="O275" s="11" t="str">
        <f t="shared" si="40"/>
        <v>OK</v>
      </c>
      <c r="P275" t="s">
        <v>54</v>
      </c>
      <c r="Q275" t="s">
        <v>54</v>
      </c>
      <c r="R275" t="s">
        <v>51</v>
      </c>
      <c r="S275" t="s">
        <v>55</v>
      </c>
      <c r="T275" s="1">
        <v>4909780.6900000004</v>
      </c>
      <c r="U275" s="1">
        <v>55063965.590000004</v>
      </c>
      <c r="V275" s="13" t="str">
        <f t="shared" si="41"/>
        <v>OK</v>
      </c>
      <c r="W275" s="1">
        <v>75767208.530000001</v>
      </c>
      <c r="X275" s="1">
        <v>0</v>
      </c>
      <c r="Y275" t="s">
        <v>51</v>
      </c>
      <c r="Z275">
        <v>265301.78999999998</v>
      </c>
      <c r="AA275">
        <v>0</v>
      </c>
      <c r="AB275">
        <v>960020.08</v>
      </c>
      <c r="AC275">
        <v>-452596.22</v>
      </c>
      <c r="AD275" s="13" t="str">
        <f t="shared" si="42"/>
        <v>OK</v>
      </c>
      <c r="AE275">
        <v>2746485.98</v>
      </c>
      <c r="AF275">
        <v>0</v>
      </c>
      <c r="AG275">
        <v>0</v>
      </c>
      <c r="AH275">
        <v>66915177.979999997</v>
      </c>
      <c r="AI275">
        <v>70023781.950000003</v>
      </c>
      <c r="AJ275" s="13" t="str">
        <f t="shared" si="43"/>
        <v>OK</v>
      </c>
      <c r="AK275">
        <v>0</v>
      </c>
      <c r="AL275" s="14">
        <v>0</v>
      </c>
      <c r="AM275">
        <v>0</v>
      </c>
      <c r="AN275">
        <v>0</v>
      </c>
      <c r="AO275">
        <v>55879586.670000002</v>
      </c>
      <c r="AP275">
        <v>55879586.670000002</v>
      </c>
      <c r="AQ275" s="15">
        <f t="shared" si="44"/>
        <v>0</v>
      </c>
      <c r="AR275">
        <v>96690083.200000003</v>
      </c>
      <c r="AS275">
        <v>96690083.200000003</v>
      </c>
      <c r="AT275">
        <v>0</v>
      </c>
      <c r="AU275">
        <v>0</v>
      </c>
      <c r="AV275" s="16">
        <f t="shared" si="45"/>
        <v>0</v>
      </c>
      <c r="AW275" s="13" t="str">
        <f t="shared" si="46"/>
        <v>NÃO</v>
      </c>
      <c r="AX275" s="13" t="str">
        <f t="shared" si="47"/>
        <v>OK</v>
      </c>
      <c r="AY275" s="13" t="str">
        <f t="shared" si="48"/>
        <v>OK</v>
      </c>
      <c r="AZ275">
        <f t="shared" si="49"/>
        <v>-16.479101779358071</v>
      </c>
    </row>
    <row r="276" spans="2:52" x14ac:dyDescent="0.3">
      <c r="B276" t="s">
        <v>1240</v>
      </c>
      <c r="C276" t="s">
        <v>1248</v>
      </c>
      <c r="D276" t="s">
        <v>1249</v>
      </c>
      <c r="E276" t="s">
        <v>1250</v>
      </c>
      <c r="F276" t="s">
        <v>46</v>
      </c>
      <c r="G276" t="s">
        <v>65</v>
      </c>
      <c r="H276" t="s">
        <v>60</v>
      </c>
      <c r="I276" t="s">
        <v>49</v>
      </c>
      <c r="J276" t="s">
        <v>373</v>
      </c>
      <c r="K276" t="s">
        <v>51</v>
      </c>
      <c r="L276" t="s">
        <v>51</v>
      </c>
      <c r="M276" t="s">
        <v>52</v>
      </c>
      <c r="N276" t="s">
        <v>1251</v>
      </c>
      <c r="O276" s="11" t="str">
        <f t="shared" si="40"/>
        <v>OK</v>
      </c>
      <c r="P276" t="s">
        <v>54</v>
      </c>
      <c r="Q276" t="s">
        <v>54</v>
      </c>
      <c r="R276" t="s">
        <v>51</v>
      </c>
      <c r="S276" t="s">
        <v>55</v>
      </c>
      <c r="T276" s="1">
        <v>49660174.259999998</v>
      </c>
      <c r="U276" s="1">
        <v>31259982.789999999</v>
      </c>
      <c r="V276" s="13" t="str">
        <f t="shared" si="41"/>
        <v>OK</v>
      </c>
      <c r="W276" s="1">
        <v>53727116.049999997</v>
      </c>
      <c r="X276" s="1">
        <v>2425591.09</v>
      </c>
      <c r="Y276" t="s">
        <v>51</v>
      </c>
      <c r="Z276">
        <v>461481.86</v>
      </c>
      <c r="AA276">
        <v>0</v>
      </c>
      <c r="AB276">
        <v>661550.78</v>
      </c>
      <c r="AC276">
        <v>-4066941.79</v>
      </c>
      <c r="AD276" s="13" t="str">
        <f t="shared" si="42"/>
        <v>OK</v>
      </c>
      <c r="AE276">
        <v>212311284.84999999</v>
      </c>
      <c r="AF276">
        <v>0</v>
      </c>
      <c r="AG276">
        <v>0</v>
      </c>
      <c r="AH276">
        <v>0</v>
      </c>
      <c r="AI276">
        <v>0</v>
      </c>
      <c r="AJ276" s="13" t="str">
        <f t="shared" si="43"/>
        <v>OK</v>
      </c>
      <c r="AK276">
        <v>0</v>
      </c>
      <c r="AL276">
        <v>0</v>
      </c>
      <c r="AM276">
        <v>0</v>
      </c>
      <c r="AN276">
        <v>0</v>
      </c>
      <c r="AO276">
        <v>117422262</v>
      </c>
      <c r="AP276">
        <v>117422262</v>
      </c>
      <c r="AQ276" s="15">
        <f t="shared" si="44"/>
        <v>0</v>
      </c>
      <c r="AR276">
        <v>118019938</v>
      </c>
      <c r="AS276">
        <v>118019938</v>
      </c>
      <c r="AT276">
        <v>0</v>
      </c>
      <c r="AU276">
        <v>0</v>
      </c>
      <c r="AV276" s="16">
        <f t="shared" si="45"/>
        <v>0</v>
      </c>
      <c r="AW276" s="13" t="str">
        <f t="shared" si="46"/>
        <v>NÃO</v>
      </c>
      <c r="AX276" s="13" t="str">
        <f t="shared" si="47"/>
        <v>OK</v>
      </c>
      <c r="AY276" s="13" t="str">
        <f t="shared" si="48"/>
        <v>OK</v>
      </c>
      <c r="AZ276">
        <f t="shared" si="49"/>
        <v>-1.9155561103939125</v>
      </c>
    </row>
    <row r="277" spans="2:52" x14ac:dyDescent="0.3">
      <c r="B277" t="s">
        <v>1240</v>
      </c>
      <c r="C277" t="s">
        <v>1276</v>
      </c>
      <c r="D277" t="s">
        <v>1277</v>
      </c>
      <c r="E277" t="s">
        <v>1278</v>
      </c>
      <c r="F277" t="s">
        <v>46</v>
      </c>
      <c r="G277" t="s">
        <v>65</v>
      </c>
      <c r="H277" t="s">
        <v>60</v>
      </c>
      <c r="I277" t="s">
        <v>49</v>
      </c>
      <c r="J277" t="s">
        <v>50</v>
      </c>
      <c r="K277" t="s">
        <v>51</v>
      </c>
      <c r="L277" t="s">
        <v>51</v>
      </c>
      <c r="M277" t="s">
        <v>134</v>
      </c>
      <c r="N277" t="s">
        <v>1267</v>
      </c>
      <c r="O277" s="11" t="str">
        <f t="shared" si="40"/>
        <v>OK</v>
      </c>
      <c r="P277" t="s">
        <v>54</v>
      </c>
      <c r="Q277" t="s">
        <v>54</v>
      </c>
      <c r="R277" t="s">
        <v>51</v>
      </c>
      <c r="S277" t="s">
        <v>55</v>
      </c>
      <c r="T277" s="1">
        <v>24751088.140000001</v>
      </c>
      <c r="U277" s="1">
        <v>6197720.4699999997</v>
      </c>
      <c r="V277" s="13" t="str">
        <f t="shared" si="41"/>
        <v>OK</v>
      </c>
      <c r="W277" s="1">
        <v>15695618.42</v>
      </c>
      <c r="X277" s="1">
        <v>0</v>
      </c>
      <c r="Y277" t="s">
        <v>51</v>
      </c>
      <c r="Z277">
        <v>240000</v>
      </c>
      <c r="AA277">
        <v>0</v>
      </c>
      <c r="AB277">
        <v>0</v>
      </c>
      <c r="AC277">
        <v>6106334.3600000003</v>
      </c>
      <c r="AD277" s="13" t="str">
        <f t="shared" si="42"/>
        <v>OK</v>
      </c>
      <c r="AE277">
        <v>18972574.899999999</v>
      </c>
      <c r="AF277">
        <v>0</v>
      </c>
      <c r="AG277">
        <v>0</v>
      </c>
      <c r="AH277">
        <v>0</v>
      </c>
      <c r="AI277">
        <v>0</v>
      </c>
      <c r="AJ277" s="13" t="str">
        <f t="shared" si="43"/>
        <v>OK</v>
      </c>
      <c r="AK277">
        <v>0</v>
      </c>
      <c r="AL277">
        <v>0</v>
      </c>
      <c r="AM277">
        <v>0</v>
      </c>
      <c r="AN277">
        <v>0</v>
      </c>
      <c r="AO277">
        <v>7920000</v>
      </c>
      <c r="AP277">
        <v>18000000</v>
      </c>
      <c r="AQ277" s="15">
        <f t="shared" si="44"/>
        <v>10080000</v>
      </c>
      <c r="AR277">
        <v>3200000</v>
      </c>
      <c r="AS277">
        <v>12400000</v>
      </c>
      <c r="AT277">
        <v>4720000</v>
      </c>
      <c r="AU277">
        <v>7600000</v>
      </c>
      <c r="AV277" s="16">
        <f t="shared" si="45"/>
        <v>16800000</v>
      </c>
      <c r="AW277" s="13" t="str">
        <f t="shared" si="46"/>
        <v>SIM</v>
      </c>
      <c r="AX277" s="13" t="str">
        <f t="shared" si="47"/>
        <v>OK</v>
      </c>
      <c r="AY277" s="13" t="str">
        <f t="shared" si="48"/>
        <v>OK</v>
      </c>
      <c r="AZ277">
        <f t="shared" si="49"/>
        <v>32.185058655375244</v>
      </c>
    </row>
    <row r="278" spans="2:52" x14ac:dyDescent="0.3">
      <c r="B278" t="s">
        <v>1240</v>
      </c>
      <c r="C278" t="s">
        <v>1279</v>
      </c>
      <c r="D278" t="s">
        <v>1280</v>
      </c>
      <c r="E278" t="s">
        <v>1281</v>
      </c>
      <c r="F278" t="s">
        <v>46</v>
      </c>
      <c r="G278" t="s">
        <v>107</v>
      </c>
      <c r="H278" t="s">
        <v>60</v>
      </c>
      <c r="I278" t="s">
        <v>49</v>
      </c>
      <c r="J278" t="s">
        <v>50</v>
      </c>
      <c r="K278" t="s">
        <v>51</v>
      </c>
      <c r="L278" t="s">
        <v>51</v>
      </c>
      <c r="M278" t="s">
        <v>134</v>
      </c>
      <c r="N278" t="s">
        <v>1282</v>
      </c>
      <c r="O278" s="11" t="str">
        <f t="shared" si="40"/>
        <v>OK</v>
      </c>
      <c r="P278" t="s">
        <v>54</v>
      </c>
      <c r="Q278" t="s">
        <v>54</v>
      </c>
      <c r="R278" t="s">
        <v>51</v>
      </c>
      <c r="S278" t="s">
        <v>1283</v>
      </c>
      <c r="T278" s="1">
        <v>862581520</v>
      </c>
      <c r="U278" s="1">
        <v>353715471</v>
      </c>
      <c r="V278" s="13" t="str">
        <f t="shared" si="41"/>
        <v>OK</v>
      </c>
      <c r="W278" s="1">
        <v>836097071</v>
      </c>
      <c r="X278" s="1">
        <v>172035498</v>
      </c>
      <c r="Y278" t="s">
        <v>51</v>
      </c>
      <c r="Z278">
        <v>821666.14</v>
      </c>
      <c r="AA278">
        <v>0</v>
      </c>
      <c r="AB278">
        <v>26229.29</v>
      </c>
      <c r="AC278">
        <v>10018432</v>
      </c>
      <c r="AD278" s="13" t="str">
        <f t="shared" si="42"/>
        <v>OK</v>
      </c>
      <c r="AE278">
        <v>1999011680</v>
      </c>
      <c r="AF278">
        <v>1302000000</v>
      </c>
      <c r="AG278">
        <v>0</v>
      </c>
      <c r="AH278">
        <v>0</v>
      </c>
      <c r="AI278">
        <v>0</v>
      </c>
      <c r="AJ278" s="13" t="str">
        <f t="shared" si="43"/>
        <v>OK</v>
      </c>
      <c r="AK278">
        <v>0</v>
      </c>
      <c r="AL278">
        <v>0</v>
      </c>
      <c r="AM278">
        <v>18884886</v>
      </c>
      <c r="AN278">
        <v>58727078</v>
      </c>
      <c r="AO278">
        <v>14974890260</v>
      </c>
      <c r="AP278">
        <v>14974890260</v>
      </c>
      <c r="AQ278" s="15">
        <f t="shared" si="44"/>
        <v>0</v>
      </c>
      <c r="AR278">
        <v>1302000000</v>
      </c>
      <c r="AS278">
        <v>1302000000</v>
      </c>
      <c r="AT278">
        <v>680963750</v>
      </c>
      <c r="AU278">
        <v>739690828</v>
      </c>
      <c r="AV278" s="16">
        <f t="shared" si="45"/>
        <v>739690828</v>
      </c>
      <c r="AW278" s="13" t="str">
        <f t="shared" si="46"/>
        <v>SIM</v>
      </c>
      <c r="AX278" s="13" t="str">
        <f t="shared" si="47"/>
        <v>VER CAPITAL</v>
      </c>
      <c r="AY278" s="13" t="str">
        <f t="shared" si="48"/>
        <v>OK</v>
      </c>
      <c r="AZ278">
        <f t="shared" si="49"/>
        <v>0.50116925780043464</v>
      </c>
    </row>
    <row r="279" spans="2:52" x14ac:dyDescent="0.3">
      <c r="B279" t="s">
        <v>1240</v>
      </c>
      <c r="C279" t="s">
        <v>1252</v>
      </c>
      <c r="D279" t="s">
        <v>1253</v>
      </c>
      <c r="E279" t="s">
        <v>1254</v>
      </c>
      <c r="F279" t="s">
        <v>46</v>
      </c>
      <c r="G279" t="s">
        <v>102</v>
      </c>
      <c r="H279" t="s">
        <v>48</v>
      </c>
      <c r="I279" t="s">
        <v>76</v>
      </c>
      <c r="J279" t="s">
        <v>50</v>
      </c>
      <c r="K279" t="s">
        <v>51</v>
      </c>
      <c r="L279" t="s">
        <v>51</v>
      </c>
      <c r="M279" t="s">
        <v>52</v>
      </c>
      <c r="N279" t="s">
        <v>1255</v>
      </c>
      <c r="O279" s="11" t="str">
        <f t="shared" si="40"/>
        <v>OK</v>
      </c>
      <c r="P279" t="s">
        <v>54</v>
      </c>
      <c r="Q279" t="s">
        <v>54</v>
      </c>
      <c r="R279" t="s">
        <v>51</v>
      </c>
      <c r="S279" t="s">
        <v>1256</v>
      </c>
      <c r="T279" s="1">
        <v>6959001.8200000003</v>
      </c>
      <c r="U279" s="1">
        <v>65033000.490000002</v>
      </c>
      <c r="V279" s="13" t="str">
        <f t="shared" si="41"/>
        <v>OK</v>
      </c>
      <c r="W279" s="1">
        <v>83665436.25</v>
      </c>
      <c r="X279" s="1">
        <v>1713659.95</v>
      </c>
      <c r="Y279" t="s">
        <v>51</v>
      </c>
      <c r="Z279">
        <v>291069.59999999998</v>
      </c>
      <c r="AA279">
        <v>0</v>
      </c>
      <c r="AB279">
        <v>2266.67</v>
      </c>
      <c r="AC279">
        <v>4571448.83</v>
      </c>
      <c r="AD279" s="13" t="str">
        <f t="shared" si="42"/>
        <v>OK</v>
      </c>
      <c r="AE279">
        <v>-43142226.869999997</v>
      </c>
      <c r="AF279">
        <v>0</v>
      </c>
      <c r="AG279">
        <v>0</v>
      </c>
      <c r="AH279">
        <v>53250877.299999997</v>
      </c>
      <c r="AI279">
        <v>64093517.700000003</v>
      </c>
      <c r="AJ279" s="13" t="str">
        <f t="shared" si="43"/>
        <v>OK</v>
      </c>
      <c r="AK279">
        <v>0</v>
      </c>
      <c r="AL279" s="14">
        <v>0</v>
      </c>
      <c r="AM279">
        <v>0</v>
      </c>
      <c r="AN279">
        <v>0</v>
      </c>
      <c r="AO279">
        <v>0</v>
      </c>
      <c r="AP279">
        <v>0</v>
      </c>
      <c r="AQ279" s="15">
        <f t="shared" si="44"/>
        <v>0</v>
      </c>
      <c r="AR279">
        <v>37572872.109999999</v>
      </c>
      <c r="AS279">
        <v>37572872.109999999</v>
      </c>
      <c r="AT279">
        <v>0</v>
      </c>
      <c r="AU279">
        <v>0</v>
      </c>
      <c r="AV279" s="16">
        <f t="shared" si="45"/>
        <v>0</v>
      </c>
      <c r="AW279" s="13" t="str">
        <f t="shared" si="46"/>
        <v>NÃO</v>
      </c>
      <c r="AX279" s="13" t="str">
        <f t="shared" si="47"/>
        <v>OK</v>
      </c>
      <c r="AY279" s="13" t="str">
        <f t="shared" si="48"/>
        <v>OK</v>
      </c>
      <c r="AZ279">
        <f t="shared" si="49"/>
        <v>-10.596228247037635</v>
      </c>
    </row>
    <row r="280" spans="2:52" x14ac:dyDescent="0.3">
      <c r="B280" t="s">
        <v>1240</v>
      </c>
      <c r="C280" t="s">
        <v>1257</v>
      </c>
      <c r="D280" t="s">
        <v>1258</v>
      </c>
      <c r="E280" t="s">
        <v>1259</v>
      </c>
      <c r="F280" t="s">
        <v>46</v>
      </c>
      <c r="G280" t="s">
        <v>47</v>
      </c>
      <c r="H280" t="s">
        <v>48</v>
      </c>
      <c r="I280" t="s">
        <v>76</v>
      </c>
      <c r="J280" t="s">
        <v>50</v>
      </c>
      <c r="K280" t="s">
        <v>51</v>
      </c>
      <c r="L280" t="s">
        <v>51</v>
      </c>
      <c r="M280" t="s">
        <v>52</v>
      </c>
      <c r="N280" t="s">
        <v>767</v>
      </c>
      <c r="O280" s="11" t="str">
        <f t="shared" si="40"/>
        <v>OK</v>
      </c>
      <c r="P280" t="s">
        <v>54</v>
      </c>
      <c r="Q280" t="s">
        <v>54</v>
      </c>
      <c r="R280" t="s">
        <v>51</v>
      </c>
      <c r="S280" t="s">
        <v>55</v>
      </c>
      <c r="T280" s="1">
        <v>16685433.67</v>
      </c>
      <c r="U280" s="1">
        <v>10411786.41</v>
      </c>
      <c r="V280" s="13" t="str">
        <f t="shared" si="41"/>
        <v>OK</v>
      </c>
      <c r="W280" s="1">
        <v>16628194.779999999</v>
      </c>
      <c r="X280" s="1">
        <v>0</v>
      </c>
      <c r="Y280" t="s">
        <v>51</v>
      </c>
      <c r="Z280">
        <v>344347.47</v>
      </c>
      <c r="AA280">
        <v>0</v>
      </c>
      <c r="AB280">
        <v>2016</v>
      </c>
      <c r="AC280">
        <v>57238.89</v>
      </c>
      <c r="AD280" s="13" t="str">
        <f t="shared" si="42"/>
        <v>OK</v>
      </c>
      <c r="AE280">
        <v>8775120.9600000009</v>
      </c>
      <c r="AF280">
        <v>0</v>
      </c>
      <c r="AG280">
        <v>0</v>
      </c>
      <c r="AH280">
        <v>0</v>
      </c>
      <c r="AI280">
        <v>0</v>
      </c>
      <c r="AJ280" s="13" t="str">
        <f t="shared" si="43"/>
        <v>OK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s="15">
        <f t="shared" si="44"/>
        <v>0</v>
      </c>
      <c r="AR280">
        <v>8775120.9600000009</v>
      </c>
      <c r="AS280">
        <v>8775120.9600000009</v>
      </c>
      <c r="AT280">
        <v>0</v>
      </c>
      <c r="AU280">
        <v>0</v>
      </c>
      <c r="AV280" s="16">
        <f t="shared" si="45"/>
        <v>0</v>
      </c>
      <c r="AW280" s="13" t="str">
        <f t="shared" si="46"/>
        <v>NÃO</v>
      </c>
      <c r="AX280" s="13" t="str">
        <f t="shared" si="47"/>
        <v>OK</v>
      </c>
      <c r="AY280" s="13" t="str">
        <f t="shared" si="48"/>
        <v>OK</v>
      </c>
      <c r="AZ280">
        <f t="shared" si="49"/>
        <v>0.65228605122270578</v>
      </c>
    </row>
    <row r="281" spans="2:52" x14ac:dyDescent="0.3">
      <c r="B281" t="s">
        <v>1240</v>
      </c>
      <c r="C281" t="s">
        <v>1260</v>
      </c>
      <c r="D281" t="s">
        <v>1261</v>
      </c>
      <c r="E281" t="s">
        <v>1262</v>
      </c>
      <c r="F281" t="s">
        <v>46</v>
      </c>
      <c r="G281" t="s">
        <v>162</v>
      </c>
      <c r="H281" t="s">
        <v>60</v>
      </c>
      <c r="I281" t="s">
        <v>49</v>
      </c>
      <c r="J281" t="s">
        <v>50</v>
      </c>
      <c r="K281" t="s">
        <v>51</v>
      </c>
      <c r="L281" t="s">
        <v>51</v>
      </c>
      <c r="M281" t="s">
        <v>52</v>
      </c>
      <c r="N281" t="s">
        <v>754</v>
      </c>
      <c r="O281" s="11" t="str">
        <f t="shared" si="40"/>
        <v>OK</v>
      </c>
      <c r="P281" t="s">
        <v>54</v>
      </c>
      <c r="Q281" t="s">
        <v>54</v>
      </c>
      <c r="R281" t="s">
        <v>51</v>
      </c>
      <c r="S281" t="s">
        <v>1263</v>
      </c>
      <c r="T281" s="1">
        <v>33670.410000000003</v>
      </c>
      <c r="U281" s="1">
        <v>777408.22</v>
      </c>
      <c r="V281" s="13" t="str">
        <f t="shared" si="41"/>
        <v>OK</v>
      </c>
      <c r="W281" s="1">
        <v>3502351.34</v>
      </c>
      <c r="X281" s="1">
        <v>0</v>
      </c>
      <c r="Y281" t="s">
        <v>51</v>
      </c>
      <c r="Z281">
        <v>624933.67000000004</v>
      </c>
      <c r="AA281">
        <v>0</v>
      </c>
      <c r="AB281">
        <v>0</v>
      </c>
      <c r="AC281">
        <v>-104097.36</v>
      </c>
      <c r="AD281" s="13" t="str">
        <f t="shared" si="42"/>
        <v>OK</v>
      </c>
      <c r="AE281">
        <v>6609903.0999999996</v>
      </c>
      <c r="AF281">
        <v>0</v>
      </c>
      <c r="AG281">
        <v>0</v>
      </c>
      <c r="AH281">
        <v>0</v>
      </c>
      <c r="AI281">
        <v>0</v>
      </c>
      <c r="AJ281" s="13" t="str">
        <f t="shared" si="43"/>
        <v>OK</v>
      </c>
      <c r="AK281">
        <v>0</v>
      </c>
      <c r="AL281">
        <v>0</v>
      </c>
      <c r="AM281">
        <v>0</v>
      </c>
      <c r="AN281">
        <v>0</v>
      </c>
      <c r="AO281">
        <v>3025545.3</v>
      </c>
      <c r="AP281">
        <v>3025545.3</v>
      </c>
      <c r="AQ281" s="15">
        <f t="shared" si="44"/>
        <v>0</v>
      </c>
      <c r="AR281">
        <v>34550951</v>
      </c>
      <c r="AS281">
        <v>34550951</v>
      </c>
      <c r="AT281">
        <v>0</v>
      </c>
      <c r="AU281">
        <v>0</v>
      </c>
      <c r="AV281" s="16">
        <f t="shared" si="45"/>
        <v>0</v>
      </c>
      <c r="AW281" s="13" t="str">
        <f t="shared" si="46"/>
        <v>NÃO</v>
      </c>
      <c r="AX281" s="13" t="str">
        <f t="shared" si="47"/>
        <v>OK</v>
      </c>
      <c r="AY281" s="13" t="str">
        <f t="shared" si="48"/>
        <v>OK</v>
      </c>
      <c r="AZ281">
        <f t="shared" si="49"/>
        <v>-1.5748696830366546</v>
      </c>
    </row>
    <row r="282" spans="2:52" x14ac:dyDescent="0.3">
      <c r="B282" t="s">
        <v>1240</v>
      </c>
      <c r="C282" t="s">
        <v>1284</v>
      </c>
      <c r="D282" t="s">
        <v>1285</v>
      </c>
      <c r="E282" t="s">
        <v>1286</v>
      </c>
      <c r="F282" t="s">
        <v>46</v>
      </c>
      <c r="G282" t="s">
        <v>150</v>
      </c>
      <c r="H282" t="s">
        <v>48</v>
      </c>
      <c r="I282" t="s">
        <v>76</v>
      </c>
      <c r="J282" t="s">
        <v>50</v>
      </c>
      <c r="K282" t="s">
        <v>51</v>
      </c>
      <c r="L282" t="s">
        <v>51</v>
      </c>
      <c r="M282" t="s">
        <v>134</v>
      </c>
      <c r="N282" t="s">
        <v>767</v>
      </c>
      <c r="O282" s="11" t="str">
        <f t="shared" si="40"/>
        <v>OK</v>
      </c>
      <c r="P282" t="s">
        <v>54</v>
      </c>
      <c r="Q282" t="s">
        <v>54</v>
      </c>
      <c r="R282" t="s">
        <v>51</v>
      </c>
      <c r="S282" t="s">
        <v>55</v>
      </c>
      <c r="T282" s="1">
        <v>7966727.2800000003</v>
      </c>
      <c r="U282" s="1">
        <v>5613146.4299999997</v>
      </c>
      <c r="V282" s="13" t="str">
        <f t="shared" si="41"/>
        <v>OK</v>
      </c>
      <c r="W282" s="1">
        <v>9234864.2100000009</v>
      </c>
      <c r="X282" s="1">
        <v>0</v>
      </c>
      <c r="Y282" t="s">
        <v>51</v>
      </c>
      <c r="Z282">
        <v>204999.99</v>
      </c>
      <c r="AA282">
        <v>0</v>
      </c>
      <c r="AB282">
        <v>0</v>
      </c>
      <c r="AC282">
        <v>-1268136.93</v>
      </c>
      <c r="AD282" s="13" t="str">
        <f t="shared" si="42"/>
        <v>OK</v>
      </c>
      <c r="AE282">
        <v>480484.25</v>
      </c>
      <c r="AF282">
        <v>0</v>
      </c>
      <c r="AG282">
        <v>0</v>
      </c>
      <c r="AH282">
        <v>0</v>
      </c>
      <c r="AI282">
        <v>0</v>
      </c>
      <c r="AJ282" s="13" t="str">
        <f t="shared" si="43"/>
        <v>OK</v>
      </c>
      <c r="AK282">
        <v>1270575.79</v>
      </c>
      <c r="AL282">
        <v>307559.57</v>
      </c>
      <c r="AM282">
        <v>0</v>
      </c>
      <c r="AN282">
        <v>0</v>
      </c>
      <c r="AO282">
        <v>0</v>
      </c>
      <c r="AP282">
        <v>0</v>
      </c>
      <c r="AQ282" s="15">
        <f t="shared" si="44"/>
        <v>0</v>
      </c>
      <c r="AR282">
        <v>9000000</v>
      </c>
      <c r="AS282">
        <v>9000000</v>
      </c>
      <c r="AT282">
        <v>0</v>
      </c>
      <c r="AU282">
        <v>0</v>
      </c>
      <c r="AV282" s="16">
        <f t="shared" si="45"/>
        <v>0</v>
      </c>
      <c r="AW282" s="13" t="str">
        <f t="shared" si="46"/>
        <v>NÃO</v>
      </c>
      <c r="AX282" s="13" t="str">
        <f t="shared" si="47"/>
        <v>OK</v>
      </c>
      <c r="AY282" s="13" t="str">
        <f t="shared" si="48"/>
        <v>OK</v>
      </c>
      <c r="AZ282">
        <f t="shared" si="49"/>
        <v>-263.92892795133241</v>
      </c>
    </row>
    <row r="283" spans="2:52" x14ac:dyDescent="0.3">
      <c r="B283" t="s">
        <v>1240</v>
      </c>
      <c r="C283" t="s">
        <v>1264</v>
      </c>
      <c r="D283" t="s">
        <v>1265</v>
      </c>
      <c r="E283" t="s">
        <v>1266</v>
      </c>
      <c r="F283" t="s">
        <v>46</v>
      </c>
      <c r="G283" t="s">
        <v>65</v>
      </c>
      <c r="H283" t="s">
        <v>48</v>
      </c>
      <c r="I283" t="s">
        <v>76</v>
      </c>
      <c r="J283" t="s">
        <v>50</v>
      </c>
      <c r="K283" t="s">
        <v>51</v>
      </c>
      <c r="L283" t="s">
        <v>51</v>
      </c>
      <c r="M283" t="s">
        <v>52</v>
      </c>
      <c r="N283" t="s">
        <v>1267</v>
      </c>
      <c r="O283" s="11" t="str">
        <f t="shared" si="40"/>
        <v>OK</v>
      </c>
      <c r="P283" t="s">
        <v>54</v>
      </c>
      <c r="Q283" t="s">
        <v>54</v>
      </c>
      <c r="R283" t="s">
        <v>51</v>
      </c>
      <c r="S283" t="s">
        <v>1268</v>
      </c>
      <c r="T283" s="1">
        <v>8803791.7400000002</v>
      </c>
      <c r="U283" s="1">
        <v>9425871.8100000005</v>
      </c>
      <c r="V283" s="13" t="str">
        <f t="shared" si="41"/>
        <v>OK</v>
      </c>
      <c r="W283" s="1">
        <v>9425871.8100000005</v>
      </c>
      <c r="X283" s="1">
        <v>0</v>
      </c>
      <c r="Y283" t="s">
        <v>51</v>
      </c>
      <c r="Z283">
        <v>428159.33</v>
      </c>
      <c r="AA283">
        <v>0</v>
      </c>
      <c r="AB283">
        <v>0</v>
      </c>
      <c r="AC283">
        <v>-622130.69999999995</v>
      </c>
      <c r="AD283" s="13" t="str">
        <f t="shared" si="42"/>
        <v>OK</v>
      </c>
      <c r="AE283">
        <v>-809316.46</v>
      </c>
      <c r="AF283">
        <v>0</v>
      </c>
      <c r="AG283">
        <v>0</v>
      </c>
      <c r="AH283">
        <v>8586982.6999999993</v>
      </c>
      <c r="AI283">
        <v>8803741.7400000002</v>
      </c>
      <c r="AJ283" s="13" t="str">
        <f t="shared" si="43"/>
        <v>OK</v>
      </c>
      <c r="AK283">
        <v>0</v>
      </c>
      <c r="AL283" s="14">
        <v>0</v>
      </c>
      <c r="AM283">
        <v>0</v>
      </c>
      <c r="AN283">
        <v>0</v>
      </c>
      <c r="AO283">
        <v>0</v>
      </c>
      <c r="AP283">
        <v>0</v>
      </c>
      <c r="AQ283" s="15">
        <f t="shared" si="44"/>
        <v>0</v>
      </c>
      <c r="AR283">
        <v>2395568.41</v>
      </c>
      <c r="AS283">
        <v>2395568.41</v>
      </c>
      <c r="AT283">
        <v>0</v>
      </c>
      <c r="AU283">
        <v>0</v>
      </c>
      <c r="AV283" s="16">
        <f t="shared" si="45"/>
        <v>0</v>
      </c>
      <c r="AW283" s="13" t="str">
        <f t="shared" si="46"/>
        <v>NÃO</v>
      </c>
      <c r="AX283" s="13" t="str">
        <f t="shared" si="47"/>
        <v>OK</v>
      </c>
      <c r="AY283" s="13" t="str">
        <f t="shared" si="48"/>
        <v>OK</v>
      </c>
      <c r="AZ283">
        <f t="shared" si="49"/>
        <v>76.871129001873996</v>
      </c>
    </row>
    <row r="284" spans="2:52" x14ac:dyDescent="0.3">
      <c r="B284" t="s">
        <v>1240</v>
      </c>
      <c r="C284" t="s">
        <v>1287</v>
      </c>
      <c r="D284" t="s">
        <v>1288</v>
      </c>
      <c r="E284" t="s">
        <v>1289</v>
      </c>
      <c r="F284" t="s">
        <v>46</v>
      </c>
      <c r="G284" t="s">
        <v>139</v>
      </c>
      <c r="H284" t="s">
        <v>60</v>
      </c>
      <c r="I284" t="s">
        <v>49</v>
      </c>
      <c r="J284" t="s">
        <v>50</v>
      </c>
      <c r="K284" t="s">
        <v>51</v>
      </c>
      <c r="L284" t="s">
        <v>51</v>
      </c>
      <c r="M284" t="s">
        <v>134</v>
      </c>
      <c r="N284" t="s">
        <v>1290</v>
      </c>
      <c r="O284" s="11" t="str">
        <f t="shared" si="40"/>
        <v>OK</v>
      </c>
      <c r="P284" t="s">
        <v>54</v>
      </c>
      <c r="Q284" t="s">
        <v>54</v>
      </c>
      <c r="R284" t="s">
        <v>51</v>
      </c>
      <c r="S284" t="s">
        <v>1291</v>
      </c>
      <c r="T284" s="1">
        <v>320752760.69</v>
      </c>
      <c r="U284" s="1">
        <v>21014998.030000001</v>
      </c>
      <c r="V284" s="13" t="str">
        <f t="shared" si="41"/>
        <v>OK</v>
      </c>
      <c r="W284" s="1">
        <v>303508241.69999999</v>
      </c>
      <c r="X284" s="1">
        <v>13266913.619999999</v>
      </c>
      <c r="Y284" t="s">
        <v>54</v>
      </c>
      <c r="Z284">
        <v>392853.22</v>
      </c>
      <c r="AA284">
        <v>30225.24</v>
      </c>
      <c r="AB284">
        <v>0</v>
      </c>
      <c r="AC284">
        <v>28391870.510000002</v>
      </c>
      <c r="AD284" s="13" t="str">
        <f t="shared" si="42"/>
        <v>OK</v>
      </c>
      <c r="AE284">
        <v>193011236.87</v>
      </c>
      <c r="AF284">
        <v>0</v>
      </c>
      <c r="AG284">
        <v>2325260.16</v>
      </c>
      <c r="AH284">
        <v>0</v>
      </c>
      <c r="AI284">
        <v>0</v>
      </c>
      <c r="AJ284" s="13" t="str">
        <f t="shared" si="43"/>
        <v>OK</v>
      </c>
      <c r="AK284">
        <v>0</v>
      </c>
      <c r="AL284">
        <v>0</v>
      </c>
      <c r="AM284">
        <v>0</v>
      </c>
      <c r="AN284">
        <v>0</v>
      </c>
      <c r="AO284">
        <v>325956.90000000002</v>
      </c>
      <c r="AP284">
        <v>1231139</v>
      </c>
      <c r="AQ284" s="15">
        <f t="shared" si="44"/>
        <v>905182.1</v>
      </c>
      <c r="AR284">
        <v>45936802.109999999</v>
      </c>
      <c r="AS284">
        <v>50420941.859999999</v>
      </c>
      <c r="AT284">
        <v>0</v>
      </c>
      <c r="AU284">
        <v>0</v>
      </c>
      <c r="AV284" s="16">
        <f t="shared" si="45"/>
        <v>4484139.75</v>
      </c>
      <c r="AW284" s="13" t="str">
        <f t="shared" si="46"/>
        <v>SIM</v>
      </c>
      <c r="AX284" s="13" t="str">
        <f t="shared" si="47"/>
        <v>OK</v>
      </c>
      <c r="AY284" s="13" t="str">
        <f t="shared" si="48"/>
        <v>OK</v>
      </c>
      <c r="AZ284">
        <f t="shared" si="49"/>
        <v>14.709957290788694</v>
      </c>
    </row>
    <row r="285" spans="2:52" x14ac:dyDescent="0.3">
      <c r="B285" t="s">
        <v>1240</v>
      </c>
      <c r="C285" t="s">
        <v>1269</v>
      </c>
      <c r="D285" t="s">
        <v>327</v>
      </c>
      <c r="E285" t="s">
        <v>1270</v>
      </c>
      <c r="F285" t="s">
        <v>46</v>
      </c>
      <c r="G285" t="s">
        <v>65</v>
      </c>
      <c r="H285" t="s">
        <v>60</v>
      </c>
      <c r="I285" t="s">
        <v>49</v>
      </c>
      <c r="J285" t="s">
        <v>50</v>
      </c>
      <c r="K285" t="s">
        <v>51</v>
      </c>
      <c r="L285" t="s">
        <v>51</v>
      </c>
      <c r="M285" t="s">
        <v>52</v>
      </c>
      <c r="N285" t="s">
        <v>66</v>
      </c>
      <c r="O285" s="11" t="str">
        <f t="shared" si="40"/>
        <v>VERIFICAR</v>
      </c>
      <c r="P285" t="s">
        <v>54</v>
      </c>
      <c r="Q285" t="s">
        <v>54</v>
      </c>
      <c r="R285" t="s">
        <v>51</v>
      </c>
      <c r="S285" t="s">
        <v>55</v>
      </c>
      <c r="T285" s="1">
        <v>930.9</v>
      </c>
      <c r="U285" s="1">
        <v>0</v>
      </c>
      <c r="V285" s="13" t="str">
        <f t="shared" si="41"/>
        <v>OK</v>
      </c>
      <c r="W285" s="1">
        <v>124.47</v>
      </c>
      <c r="X285" s="1">
        <v>0</v>
      </c>
      <c r="Y285" t="s">
        <v>51</v>
      </c>
      <c r="Z285">
        <v>0</v>
      </c>
      <c r="AA285">
        <v>0</v>
      </c>
      <c r="AB285">
        <v>0</v>
      </c>
      <c r="AC285">
        <v>806.43</v>
      </c>
      <c r="AD285" s="13" t="str">
        <f t="shared" si="42"/>
        <v>OK</v>
      </c>
      <c r="AE285">
        <v>12608.55</v>
      </c>
      <c r="AF285">
        <v>0</v>
      </c>
      <c r="AG285">
        <v>0</v>
      </c>
      <c r="AH285">
        <v>0</v>
      </c>
      <c r="AI285">
        <v>0</v>
      </c>
      <c r="AJ285" s="13" t="str">
        <f t="shared" si="43"/>
        <v>OK</v>
      </c>
      <c r="AK285">
        <v>0</v>
      </c>
      <c r="AL285">
        <v>0</v>
      </c>
      <c r="AM285">
        <v>0</v>
      </c>
      <c r="AN285">
        <v>0</v>
      </c>
      <c r="AO285">
        <v>500000</v>
      </c>
      <c r="AP285">
        <v>500000</v>
      </c>
      <c r="AQ285" s="15">
        <f t="shared" si="44"/>
        <v>0</v>
      </c>
      <c r="AR285">
        <v>83808.72</v>
      </c>
      <c r="AS285">
        <v>84201.71</v>
      </c>
      <c r="AT285">
        <v>416191.28</v>
      </c>
      <c r="AU285">
        <v>415798.29</v>
      </c>
      <c r="AV285" s="16">
        <f t="shared" si="45"/>
        <v>416191.27999999997</v>
      </c>
      <c r="AW285" s="13" t="str">
        <f t="shared" si="46"/>
        <v>SIM</v>
      </c>
      <c r="AX285" s="13" t="str">
        <f t="shared" si="47"/>
        <v>OK</v>
      </c>
      <c r="AY285" s="13" t="str">
        <f t="shared" si="48"/>
        <v>OK</v>
      </c>
      <c r="AZ285">
        <f t="shared" si="49"/>
        <v>6.3958980215805941</v>
      </c>
    </row>
    <row r="286" spans="2:52" x14ac:dyDescent="0.3">
      <c r="B286" t="s">
        <v>1292</v>
      </c>
      <c r="C286" t="s">
        <v>1318</v>
      </c>
      <c r="D286" t="s">
        <v>1319</v>
      </c>
      <c r="E286" t="s">
        <v>1320</v>
      </c>
      <c r="F286" t="s">
        <v>46</v>
      </c>
      <c r="G286" t="s">
        <v>93</v>
      </c>
      <c r="H286" t="s">
        <v>48</v>
      </c>
      <c r="I286" t="s">
        <v>49</v>
      </c>
      <c r="J286" t="s">
        <v>50</v>
      </c>
      <c r="K286" t="s">
        <v>51</v>
      </c>
      <c r="L286" t="s">
        <v>51</v>
      </c>
      <c r="M286" t="s">
        <v>134</v>
      </c>
      <c r="N286" t="s">
        <v>1321</v>
      </c>
      <c r="O286" s="11" t="str">
        <f t="shared" si="40"/>
        <v>OK</v>
      </c>
      <c r="P286" t="s">
        <v>54</v>
      </c>
      <c r="Q286" t="s">
        <v>54</v>
      </c>
      <c r="R286" t="s">
        <v>54</v>
      </c>
      <c r="S286" t="s">
        <v>55</v>
      </c>
      <c r="T286" s="1">
        <v>2465769000</v>
      </c>
      <c r="U286" s="1">
        <v>131075302.94</v>
      </c>
      <c r="V286" s="13" t="str">
        <f t="shared" si="41"/>
        <v>OK</v>
      </c>
      <c r="W286" s="1">
        <v>2445126991.0700002</v>
      </c>
      <c r="X286" s="1">
        <v>2110353478.0599999</v>
      </c>
      <c r="Y286" t="s">
        <v>54</v>
      </c>
      <c r="Z286">
        <v>437269.43</v>
      </c>
      <c r="AA286">
        <v>24632.32</v>
      </c>
      <c r="AB286">
        <v>0</v>
      </c>
      <c r="AC286">
        <v>-1046612000</v>
      </c>
      <c r="AD286" s="13" t="str">
        <f t="shared" si="42"/>
        <v>VERIFICAR</v>
      </c>
      <c r="AE286">
        <v>11985440000</v>
      </c>
      <c r="AF286">
        <v>0</v>
      </c>
      <c r="AG286">
        <v>0</v>
      </c>
      <c r="AH286">
        <v>0</v>
      </c>
      <c r="AI286">
        <v>0</v>
      </c>
      <c r="AJ286" s="13" t="str">
        <f t="shared" si="43"/>
        <v>OK</v>
      </c>
      <c r="AK286">
        <v>0</v>
      </c>
      <c r="AL286">
        <v>0</v>
      </c>
      <c r="AM286">
        <v>540000000</v>
      </c>
      <c r="AN286">
        <v>1646836915</v>
      </c>
      <c r="AO286">
        <v>25428041905</v>
      </c>
      <c r="AP286">
        <v>27507202487</v>
      </c>
      <c r="AQ286" s="15">
        <f t="shared" si="44"/>
        <v>2079160582</v>
      </c>
      <c r="AR286">
        <v>18030419599.810001</v>
      </c>
      <c r="AS286">
        <v>18570419599.91</v>
      </c>
      <c r="AT286">
        <v>540000000</v>
      </c>
      <c r="AU286">
        <v>1646836915</v>
      </c>
      <c r="AV286" s="16">
        <f t="shared" si="45"/>
        <v>2186836915.0999985</v>
      </c>
      <c r="AW286" s="13" t="str">
        <f t="shared" si="46"/>
        <v>SIM</v>
      </c>
      <c r="AX286" s="13" t="str">
        <f t="shared" si="47"/>
        <v>VER CAPITAL</v>
      </c>
      <c r="AY286" s="13" t="str">
        <f t="shared" si="48"/>
        <v>OK</v>
      </c>
      <c r="AZ286">
        <f t="shared" si="49"/>
        <v>-8.7323619324780726</v>
      </c>
    </row>
    <row r="287" spans="2:52" x14ac:dyDescent="0.3">
      <c r="B287" t="s">
        <v>1292</v>
      </c>
      <c r="C287" t="s">
        <v>1293</v>
      </c>
      <c r="D287" t="s">
        <v>1294</v>
      </c>
      <c r="E287" t="s">
        <v>1295</v>
      </c>
      <c r="F287" t="s">
        <v>46</v>
      </c>
      <c r="G287" t="s">
        <v>314</v>
      </c>
      <c r="H287" t="s">
        <v>48</v>
      </c>
      <c r="I287" t="s">
        <v>49</v>
      </c>
      <c r="J287" t="s">
        <v>50</v>
      </c>
      <c r="K287" t="s">
        <v>51</v>
      </c>
      <c r="L287" t="s">
        <v>51</v>
      </c>
      <c r="M287" t="s">
        <v>52</v>
      </c>
      <c r="N287" t="s">
        <v>1296</v>
      </c>
      <c r="O287" s="11" t="str">
        <f t="shared" si="40"/>
        <v>OK</v>
      </c>
      <c r="P287" t="s">
        <v>54</v>
      </c>
      <c r="Q287" t="s">
        <v>54</v>
      </c>
      <c r="R287" t="s">
        <v>51</v>
      </c>
      <c r="S287" t="s">
        <v>1297</v>
      </c>
      <c r="T287" s="1">
        <v>48216016</v>
      </c>
      <c r="U287" s="1">
        <v>22163978.370000001</v>
      </c>
      <c r="V287" s="13" t="str">
        <f t="shared" si="41"/>
        <v>OK</v>
      </c>
      <c r="W287" s="1">
        <v>62798817.689999998</v>
      </c>
      <c r="X287" s="1">
        <v>12560202.73</v>
      </c>
      <c r="Y287" t="s">
        <v>51</v>
      </c>
      <c r="Z287">
        <v>567131.24</v>
      </c>
      <c r="AA287">
        <v>0</v>
      </c>
      <c r="AB287">
        <v>0</v>
      </c>
      <c r="AC287">
        <v>-2544481</v>
      </c>
      <c r="AD287" s="13" t="str">
        <f t="shared" si="42"/>
        <v>OK</v>
      </c>
      <c r="AE287">
        <v>204621432</v>
      </c>
      <c r="AF287">
        <v>0</v>
      </c>
      <c r="AG287">
        <v>0</v>
      </c>
      <c r="AH287">
        <v>8930729</v>
      </c>
      <c r="AI287">
        <v>9360110</v>
      </c>
      <c r="AJ287" s="13" t="str">
        <f t="shared" si="43"/>
        <v>OK</v>
      </c>
      <c r="AK287">
        <v>0</v>
      </c>
      <c r="AL287" s="14">
        <v>0</v>
      </c>
      <c r="AM287">
        <v>5434212</v>
      </c>
      <c r="AN287">
        <v>13062155</v>
      </c>
      <c r="AO287">
        <v>990000</v>
      </c>
      <c r="AP287">
        <v>1000000</v>
      </c>
      <c r="AQ287" s="15">
        <f t="shared" si="44"/>
        <v>10000</v>
      </c>
      <c r="AR287">
        <v>17738161</v>
      </c>
      <c r="AS287">
        <v>309900292.33999997</v>
      </c>
      <c r="AT287">
        <v>292152130.88999999</v>
      </c>
      <c r="AU287">
        <v>13062155</v>
      </c>
      <c r="AV287" s="16">
        <f t="shared" si="45"/>
        <v>305224286.33999997</v>
      </c>
      <c r="AW287" s="13" t="str">
        <f t="shared" si="46"/>
        <v>SIM</v>
      </c>
      <c r="AX287" s="13" t="str">
        <f t="shared" si="47"/>
        <v>OK</v>
      </c>
      <c r="AY287" s="13" t="str">
        <f t="shared" si="48"/>
        <v>OK</v>
      </c>
      <c r="AZ287">
        <f t="shared" si="49"/>
        <v>-1.2435065941675161</v>
      </c>
    </row>
    <row r="288" spans="2:52" x14ac:dyDescent="0.3">
      <c r="B288" t="s">
        <v>1292</v>
      </c>
      <c r="C288" t="s">
        <v>1298</v>
      </c>
      <c r="D288" t="s">
        <v>1299</v>
      </c>
      <c r="E288" t="s">
        <v>1300</v>
      </c>
      <c r="F288" t="s">
        <v>46</v>
      </c>
      <c r="G288" t="s">
        <v>59</v>
      </c>
      <c r="H288" t="s">
        <v>48</v>
      </c>
      <c r="I288" t="s">
        <v>49</v>
      </c>
      <c r="J288" t="s">
        <v>50</v>
      </c>
      <c r="K288" t="s">
        <v>51</v>
      </c>
      <c r="L288" t="s">
        <v>51</v>
      </c>
      <c r="M288" t="s">
        <v>52</v>
      </c>
      <c r="N288" t="s">
        <v>1301</v>
      </c>
      <c r="O288" s="11" t="str">
        <f t="shared" si="40"/>
        <v>OK</v>
      </c>
      <c r="P288" t="s">
        <v>54</v>
      </c>
      <c r="Q288" t="s">
        <v>54</v>
      </c>
      <c r="R288" t="s">
        <v>54</v>
      </c>
      <c r="S288" t="s">
        <v>1302</v>
      </c>
      <c r="T288" s="1">
        <v>653642847.29999995</v>
      </c>
      <c r="U288" s="1">
        <v>604478647.66999996</v>
      </c>
      <c r="V288" s="13" t="str">
        <f t="shared" si="41"/>
        <v>OK</v>
      </c>
      <c r="W288" s="1">
        <v>612571124.63</v>
      </c>
      <c r="X288" s="1">
        <v>0</v>
      </c>
      <c r="Y288" t="s">
        <v>54</v>
      </c>
      <c r="Z288">
        <v>479441.1</v>
      </c>
      <c r="AA288">
        <v>13488.35</v>
      </c>
      <c r="AB288">
        <v>16972.62</v>
      </c>
      <c r="AC288">
        <v>40283654.439999998</v>
      </c>
      <c r="AD288" s="13" t="str">
        <f t="shared" si="42"/>
        <v>OK</v>
      </c>
      <c r="AE288">
        <v>97668068.890000001</v>
      </c>
      <c r="AF288">
        <v>0</v>
      </c>
      <c r="AG288">
        <v>0</v>
      </c>
      <c r="AH288">
        <v>123893945</v>
      </c>
      <c r="AI288">
        <v>129056000</v>
      </c>
      <c r="AJ288" s="13" t="str">
        <f t="shared" si="43"/>
        <v>OK</v>
      </c>
      <c r="AK288">
        <v>0</v>
      </c>
      <c r="AL288" s="14">
        <v>0</v>
      </c>
      <c r="AM288">
        <v>800000</v>
      </c>
      <c r="AN288">
        <v>0</v>
      </c>
      <c r="AO288">
        <v>5679213019</v>
      </c>
      <c r="AP288">
        <v>5679213019</v>
      </c>
      <c r="AQ288" s="15">
        <f t="shared" si="44"/>
        <v>0</v>
      </c>
      <c r="AR288">
        <v>170376390.56</v>
      </c>
      <c r="AS288">
        <v>170376390.56</v>
      </c>
      <c r="AT288">
        <v>0</v>
      </c>
      <c r="AU288">
        <v>0</v>
      </c>
      <c r="AV288" s="16">
        <f t="shared" si="45"/>
        <v>0</v>
      </c>
      <c r="AW288" s="13" t="str">
        <f t="shared" si="46"/>
        <v>NÃO</v>
      </c>
      <c r="AX288" s="13" t="str">
        <f t="shared" si="47"/>
        <v>OK</v>
      </c>
      <c r="AY288" s="13" t="str">
        <f t="shared" si="48"/>
        <v>OK</v>
      </c>
      <c r="AZ288">
        <f t="shared" si="49"/>
        <v>41.245470395621332</v>
      </c>
    </row>
    <row r="289" spans="2:52" x14ac:dyDescent="0.3">
      <c r="B289" t="s">
        <v>1292</v>
      </c>
      <c r="C289" t="s">
        <v>1322</v>
      </c>
      <c r="D289" t="s">
        <v>1323</v>
      </c>
      <c r="E289" t="s">
        <v>1324</v>
      </c>
      <c r="F289" t="s">
        <v>46</v>
      </c>
      <c r="G289" t="s">
        <v>133</v>
      </c>
      <c r="H289" t="s">
        <v>48</v>
      </c>
      <c r="I289" t="s">
        <v>49</v>
      </c>
      <c r="J289" t="s">
        <v>50</v>
      </c>
      <c r="K289" t="s">
        <v>51</v>
      </c>
      <c r="L289" t="s">
        <v>51</v>
      </c>
      <c r="M289" t="s">
        <v>134</v>
      </c>
      <c r="N289" t="s">
        <v>466</v>
      </c>
      <c r="O289" s="11" t="str">
        <f t="shared" si="40"/>
        <v>OK</v>
      </c>
      <c r="P289" t="s">
        <v>54</v>
      </c>
      <c r="Q289" t="s">
        <v>54</v>
      </c>
      <c r="R289" t="s">
        <v>51</v>
      </c>
      <c r="S289" t="s">
        <v>55</v>
      </c>
      <c r="T289" s="1">
        <v>21610201</v>
      </c>
      <c r="U289" s="1">
        <v>3570902.31</v>
      </c>
      <c r="V289" s="13" t="str">
        <f t="shared" si="41"/>
        <v>OK</v>
      </c>
      <c r="W289" s="1">
        <v>4342813.1100000003</v>
      </c>
      <c r="X289" s="1">
        <v>0</v>
      </c>
      <c r="Y289" t="s">
        <v>54</v>
      </c>
      <c r="Z289">
        <v>385400.6</v>
      </c>
      <c r="AA289">
        <v>197453.82</v>
      </c>
      <c r="AB289">
        <v>0</v>
      </c>
      <c r="AC289">
        <v>178742070.13999999</v>
      </c>
      <c r="AD289" s="13" t="str">
        <f t="shared" si="42"/>
        <v>OK</v>
      </c>
      <c r="AE289">
        <v>1993027973</v>
      </c>
      <c r="AF289">
        <v>0</v>
      </c>
      <c r="AG289">
        <v>188967896</v>
      </c>
      <c r="AH289">
        <v>0</v>
      </c>
      <c r="AI289">
        <v>0</v>
      </c>
      <c r="AJ289" s="13" t="str">
        <f t="shared" si="43"/>
        <v>OK</v>
      </c>
      <c r="AK289">
        <v>0</v>
      </c>
      <c r="AL289">
        <v>0</v>
      </c>
      <c r="AM289">
        <v>30000000</v>
      </c>
      <c r="AN289">
        <v>0</v>
      </c>
      <c r="AO289">
        <v>1539619815</v>
      </c>
      <c r="AP289">
        <v>1539619815</v>
      </c>
      <c r="AQ289" s="15">
        <f t="shared" si="44"/>
        <v>0</v>
      </c>
      <c r="AR289">
        <v>1539619815.1900001</v>
      </c>
      <c r="AS289">
        <v>1539619815.1900001</v>
      </c>
      <c r="AT289">
        <v>0</v>
      </c>
      <c r="AU289">
        <v>0</v>
      </c>
      <c r="AV289" s="16">
        <f t="shared" si="45"/>
        <v>0</v>
      </c>
      <c r="AW289" s="13" t="str">
        <f t="shared" si="46"/>
        <v>NÃO</v>
      </c>
      <c r="AX289" s="13" t="str">
        <f t="shared" si="47"/>
        <v>OK</v>
      </c>
      <c r="AY289" s="13" t="str">
        <f t="shared" si="48"/>
        <v>OK</v>
      </c>
      <c r="AZ289">
        <f t="shared" si="49"/>
        <v>8.9683673566783408</v>
      </c>
    </row>
    <row r="290" spans="2:52" x14ac:dyDescent="0.3">
      <c r="B290" t="s">
        <v>1292</v>
      </c>
      <c r="C290" t="s">
        <v>1325</v>
      </c>
      <c r="D290" t="s">
        <v>1326</v>
      </c>
      <c r="E290" t="s">
        <v>1327</v>
      </c>
      <c r="F290" t="s">
        <v>46</v>
      </c>
      <c r="G290" t="s">
        <v>71</v>
      </c>
      <c r="H290" t="s">
        <v>48</v>
      </c>
      <c r="I290" t="s">
        <v>49</v>
      </c>
      <c r="J290" t="s">
        <v>373</v>
      </c>
      <c r="K290" t="s">
        <v>51</v>
      </c>
      <c r="L290" t="s">
        <v>51</v>
      </c>
      <c r="M290" t="s">
        <v>134</v>
      </c>
      <c r="N290" t="s">
        <v>125</v>
      </c>
      <c r="O290" s="11" t="str">
        <f t="shared" si="40"/>
        <v>OK</v>
      </c>
      <c r="P290" t="s">
        <v>54</v>
      </c>
      <c r="Q290" t="s">
        <v>54</v>
      </c>
      <c r="R290" t="s">
        <v>51</v>
      </c>
      <c r="S290" t="s">
        <v>1328</v>
      </c>
      <c r="T290" s="1">
        <v>11073474.119999999</v>
      </c>
      <c r="U290" s="1">
        <v>641663.06000000006</v>
      </c>
      <c r="V290" s="13" t="str">
        <f t="shared" si="41"/>
        <v>OK</v>
      </c>
      <c r="W290" s="1">
        <v>10525338.32</v>
      </c>
      <c r="X290" s="1">
        <v>0</v>
      </c>
      <c r="Y290" t="s">
        <v>54</v>
      </c>
      <c r="Z290">
        <v>270127.84999999998</v>
      </c>
      <c r="AA290">
        <v>0</v>
      </c>
      <c r="AB290">
        <v>6185.93</v>
      </c>
      <c r="AC290">
        <v>24495157.789999999</v>
      </c>
      <c r="AD290" s="13" t="str">
        <f t="shared" si="42"/>
        <v>OK</v>
      </c>
      <c r="AE290">
        <v>216544888.27000001</v>
      </c>
      <c r="AF290">
        <v>0</v>
      </c>
      <c r="AG290">
        <v>11761704.73</v>
      </c>
      <c r="AH290">
        <v>0</v>
      </c>
      <c r="AI290">
        <v>0</v>
      </c>
      <c r="AJ290" s="13" t="str">
        <f t="shared" si="43"/>
        <v>OK</v>
      </c>
      <c r="AK290">
        <v>0</v>
      </c>
      <c r="AL290">
        <v>0</v>
      </c>
      <c r="AM290">
        <v>0</v>
      </c>
      <c r="AN290">
        <v>0</v>
      </c>
      <c r="AO290">
        <v>2830121</v>
      </c>
      <c r="AP290">
        <v>1999410</v>
      </c>
      <c r="AQ290" s="15">
        <f t="shared" si="44"/>
        <v>-830711</v>
      </c>
      <c r="AR290">
        <v>283012100</v>
      </c>
      <c r="AS290">
        <v>199941000</v>
      </c>
      <c r="AT290">
        <v>0</v>
      </c>
      <c r="AU290">
        <v>0</v>
      </c>
      <c r="AV290" s="16">
        <f t="shared" si="45"/>
        <v>-83071100</v>
      </c>
      <c r="AW290" s="13" t="str">
        <f t="shared" si="46"/>
        <v>NÃO</v>
      </c>
      <c r="AX290" s="13" t="str">
        <f t="shared" si="47"/>
        <v>OK</v>
      </c>
      <c r="AY290" s="13" t="str">
        <f t="shared" si="48"/>
        <v>OK</v>
      </c>
      <c r="AZ290">
        <f t="shared" si="49"/>
        <v>11.311815294138043</v>
      </c>
    </row>
    <row r="291" spans="2:52" x14ac:dyDescent="0.3">
      <c r="B291" t="s">
        <v>1292</v>
      </c>
      <c r="C291" t="s">
        <v>1303</v>
      </c>
      <c r="D291" t="s">
        <v>1304</v>
      </c>
      <c r="E291" t="s">
        <v>1305</v>
      </c>
      <c r="F291" t="s">
        <v>46</v>
      </c>
      <c r="G291" t="s">
        <v>240</v>
      </c>
      <c r="H291" t="s">
        <v>48</v>
      </c>
      <c r="I291" t="s">
        <v>49</v>
      </c>
      <c r="J291" t="s">
        <v>50</v>
      </c>
      <c r="K291" t="s">
        <v>51</v>
      </c>
      <c r="L291" t="s">
        <v>51</v>
      </c>
      <c r="M291" t="s">
        <v>52</v>
      </c>
      <c r="N291" t="s">
        <v>1306</v>
      </c>
      <c r="O291" s="11" t="str">
        <f t="shared" si="40"/>
        <v>OK</v>
      </c>
      <c r="P291" t="s">
        <v>54</v>
      </c>
      <c r="Q291" t="s">
        <v>54</v>
      </c>
      <c r="R291" t="s">
        <v>54</v>
      </c>
      <c r="S291" t="s">
        <v>1307</v>
      </c>
      <c r="T291" s="1">
        <v>2574207735.6199999</v>
      </c>
      <c r="U291" s="1">
        <v>1133074992.8099999</v>
      </c>
      <c r="V291" s="13" t="str">
        <f t="shared" si="41"/>
        <v>OK</v>
      </c>
      <c r="W291" s="1">
        <v>3147814273.3499999</v>
      </c>
      <c r="X291" s="1">
        <v>372877390.24000001</v>
      </c>
      <c r="Y291" t="s">
        <v>54</v>
      </c>
      <c r="Z291">
        <v>459552.33</v>
      </c>
      <c r="AA291">
        <v>21152.880000000001</v>
      </c>
      <c r="AB291">
        <v>19711.830000000002</v>
      </c>
      <c r="AC291">
        <v>-548444471.86000001</v>
      </c>
      <c r="AD291" s="13" t="str">
        <f t="shared" si="42"/>
        <v>VERIFICAR</v>
      </c>
      <c r="AE291">
        <v>10592909948.690001</v>
      </c>
      <c r="AF291">
        <v>0</v>
      </c>
      <c r="AG291">
        <v>0</v>
      </c>
      <c r="AH291">
        <v>805279349.66999996</v>
      </c>
      <c r="AI291">
        <v>876529143.13999999</v>
      </c>
      <c r="AJ291" s="13" t="str">
        <f t="shared" si="43"/>
        <v>OK</v>
      </c>
      <c r="AK291">
        <v>0</v>
      </c>
      <c r="AL291" s="14">
        <v>0</v>
      </c>
      <c r="AM291">
        <v>851079110.13999999</v>
      </c>
      <c r="AN291">
        <v>627785617.35000002</v>
      </c>
      <c r="AO291">
        <v>684688052065</v>
      </c>
      <c r="AP291">
        <v>747299728207</v>
      </c>
      <c r="AQ291" s="15">
        <f t="shared" si="44"/>
        <v>62611676142</v>
      </c>
      <c r="AR291">
        <v>19395132517.889999</v>
      </c>
      <c r="AS291">
        <v>20246211628.029999</v>
      </c>
      <c r="AT291">
        <v>0</v>
      </c>
      <c r="AU291">
        <v>0</v>
      </c>
      <c r="AV291" s="16">
        <f t="shared" si="45"/>
        <v>851079110.13999939</v>
      </c>
      <c r="AW291" s="13" t="str">
        <f t="shared" si="46"/>
        <v>SIM</v>
      </c>
      <c r="AX291" s="13" t="str">
        <f t="shared" si="47"/>
        <v>OK</v>
      </c>
      <c r="AY291" s="13" t="str">
        <f t="shared" si="48"/>
        <v>OK</v>
      </c>
      <c r="AZ291">
        <f t="shared" si="49"/>
        <v>-5.1774675185247352</v>
      </c>
    </row>
    <row r="292" spans="2:52" x14ac:dyDescent="0.3">
      <c r="B292" t="s">
        <v>1292</v>
      </c>
      <c r="C292" t="s">
        <v>1329</v>
      </c>
      <c r="D292" t="s">
        <v>1330</v>
      </c>
      <c r="E292" t="s">
        <v>1331</v>
      </c>
      <c r="F292" t="s">
        <v>46</v>
      </c>
      <c r="G292" t="s">
        <v>71</v>
      </c>
      <c r="H292" t="s">
        <v>48</v>
      </c>
      <c r="I292" t="s">
        <v>49</v>
      </c>
      <c r="J292" t="s">
        <v>50</v>
      </c>
      <c r="K292" t="s">
        <v>51</v>
      </c>
      <c r="L292" t="s">
        <v>51</v>
      </c>
      <c r="M292" t="s">
        <v>134</v>
      </c>
      <c r="N292" t="s">
        <v>103</v>
      </c>
      <c r="O292" s="11" t="str">
        <f t="shared" si="40"/>
        <v>OK</v>
      </c>
      <c r="P292" t="s">
        <v>54</v>
      </c>
      <c r="Q292" t="s">
        <v>54</v>
      </c>
      <c r="R292" t="s">
        <v>54</v>
      </c>
      <c r="S292" t="s">
        <v>1332</v>
      </c>
      <c r="T292" s="1">
        <v>581666515.64999998</v>
      </c>
      <c r="U292" s="1">
        <v>64705125.450000003</v>
      </c>
      <c r="V292" s="13" t="str">
        <f t="shared" si="41"/>
        <v>OK</v>
      </c>
      <c r="W292" s="1">
        <v>497429447.92000002</v>
      </c>
      <c r="X292" s="1">
        <v>0</v>
      </c>
      <c r="Y292" t="s">
        <v>54</v>
      </c>
      <c r="Z292">
        <v>738792.37</v>
      </c>
      <c r="AA292">
        <v>53639.88</v>
      </c>
      <c r="AB292">
        <v>111110.37</v>
      </c>
      <c r="AC292">
        <v>186778991.84</v>
      </c>
      <c r="AD292" s="13" t="str">
        <f t="shared" si="42"/>
        <v>OK</v>
      </c>
      <c r="AE292">
        <v>3394687945.1799998</v>
      </c>
      <c r="AF292">
        <v>0</v>
      </c>
      <c r="AG292">
        <v>196376911.72999999</v>
      </c>
      <c r="AH292">
        <v>0</v>
      </c>
      <c r="AI292">
        <v>0</v>
      </c>
      <c r="AJ292" s="13" t="str">
        <f t="shared" si="43"/>
        <v>OK</v>
      </c>
      <c r="AK292">
        <v>0</v>
      </c>
      <c r="AL292">
        <v>0</v>
      </c>
      <c r="AM292">
        <v>0</v>
      </c>
      <c r="AN292">
        <v>0</v>
      </c>
      <c r="AO292">
        <v>2728157414</v>
      </c>
      <c r="AP292">
        <v>2728157414</v>
      </c>
      <c r="AQ292" s="15">
        <f t="shared" si="44"/>
        <v>0</v>
      </c>
      <c r="AR292">
        <v>3156469427.02</v>
      </c>
      <c r="AS292">
        <v>3156469427.02</v>
      </c>
      <c r="AT292">
        <v>0</v>
      </c>
      <c r="AU292">
        <v>0</v>
      </c>
      <c r="AV292" s="16">
        <f t="shared" si="45"/>
        <v>0</v>
      </c>
      <c r="AW292" s="13" t="str">
        <f t="shared" si="46"/>
        <v>NÃO</v>
      </c>
      <c r="AX292" s="13" t="str">
        <f t="shared" si="47"/>
        <v>OK</v>
      </c>
      <c r="AY292" s="13" t="str">
        <f t="shared" si="48"/>
        <v>OK</v>
      </c>
      <c r="AZ292">
        <f t="shared" si="49"/>
        <v>5.5020960646825001</v>
      </c>
    </row>
    <row r="293" spans="2:52" x14ac:dyDescent="0.3">
      <c r="B293" t="s">
        <v>1292</v>
      </c>
      <c r="C293" t="s">
        <v>1333</v>
      </c>
      <c r="D293" t="s">
        <v>1334</v>
      </c>
      <c r="E293" t="s">
        <v>1335</v>
      </c>
      <c r="F293" t="s">
        <v>46</v>
      </c>
      <c r="G293" t="s">
        <v>240</v>
      </c>
      <c r="H293" t="s">
        <v>48</v>
      </c>
      <c r="I293" t="s">
        <v>49</v>
      </c>
      <c r="J293" t="s">
        <v>50</v>
      </c>
      <c r="K293" t="s">
        <v>51</v>
      </c>
      <c r="L293" t="s">
        <v>51</v>
      </c>
      <c r="M293" t="s">
        <v>134</v>
      </c>
      <c r="N293" t="s">
        <v>1336</v>
      </c>
      <c r="O293" s="11" t="str">
        <f t="shared" si="40"/>
        <v>OK</v>
      </c>
      <c r="P293" t="s">
        <v>54</v>
      </c>
      <c r="Q293" t="s">
        <v>54</v>
      </c>
      <c r="R293" t="s">
        <v>54</v>
      </c>
      <c r="S293" t="s">
        <v>1337</v>
      </c>
      <c r="T293" s="1">
        <v>154264536.59999999</v>
      </c>
      <c r="U293" s="1">
        <v>750734485.47000003</v>
      </c>
      <c r="V293" s="13" t="str">
        <f t="shared" si="41"/>
        <v>OK</v>
      </c>
      <c r="W293" s="1">
        <v>1391229735.25</v>
      </c>
      <c r="X293" s="1">
        <v>313998069.75</v>
      </c>
      <c r="Y293" t="s">
        <v>54</v>
      </c>
      <c r="Z293">
        <v>446329.79</v>
      </c>
      <c r="AA293">
        <v>8266.75</v>
      </c>
      <c r="AB293">
        <v>16828.36</v>
      </c>
      <c r="AC293">
        <v>-24968868.98</v>
      </c>
      <c r="AD293" s="13" t="str">
        <f t="shared" si="42"/>
        <v>VERIFICAR</v>
      </c>
      <c r="AE293">
        <v>2585075816.6399999</v>
      </c>
      <c r="AF293">
        <v>0</v>
      </c>
      <c r="AG293">
        <v>0</v>
      </c>
      <c r="AH293">
        <v>0</v>
      </c>
      <c r="AI293">
        <v>0</v>
      </c>
      <c r="AJ293" s="13" t="str">
        <f t="shared" si="43"/>
        <v>OK</v>
      </c>
      <c r="AK293">
        <v>0</v>
      </c>
      <c r="AL293">
        <v>0</v>
      </c>
      <c r="AM293">
        <v>63542096.18</v>
      </c>
      <c r="AN293">
        <v>250455905.99000001</v>
      </c>
      <c r="AO293">
        <v>256655104581</v>
      </c>
      <c r="AP293">
        <v>284502249518</v>
      </c>
      <c r="AQ293" s="15">
        <f t="shared" si="44"/>
        <v>27847144937</v>
      </c>
      <c r="AR293">
        <v>2566551045.8099999</v>
      </c>
      <c r="AS293">
        <v>2845022494.3800001</v>
      </c>
      <c r="AT293">
        <v>331322181.05000001</v>
      </c>
      <c r="AU293">
        <v>366848802.23000002</v>
      </c>
      <c r="AV293" s="16">
        <f t="shared" si="45"/>
        <v>645320250.80000019</v>
      </c>
      <c r="AW293" s="13" t="str">
        <f t="shared" si="46"/>
        <v>SIM</v>
      </c>
      <c r="AX293" s="13" t="str">
        <f t="shared" si="47"/>
        <v>VER CAPITAL</v>
      </c>
      <c r="AY293" s="13" t="str">
        <f t="shared" si="48"/>
        <v>OK</v>
      </c>
      <c r="AZ293">
        <f t="shared" si="49"/>
        <v>-0.96588536472612052</v>
      </c>
    </row>
    <row r="294" spans="2:52" x14ac:dyDescent="0.3">
      <c r="B294" t="s">
        <v>1292</v>
      </c>
      <c r="C294" t="s">
        <v>1308</v>
      </c>
      <c r="D294" t="s">
        <v>1309</v>
      </c>
      <c r="E294" t="s">
        <v>1310</v>
      </c>
      <c r="F294" t="s">
        <v>46</v>
      </c>
      <c r="G294" t="s">
        <v>47</v>
      </c>
      <c r="H294" t="s">
        <v>48</v>
      </c>
      <c r="I294" t="s">
        <v>49</v>
      </c>
      <c r="J294" t="s">
        <v>50</v>
      </c>
      <c r="K294" t="s">
        <v>51</v>
      </c>
      <c r="L294" t="s">
        <v>51</v>
      </c>
      <c r="M294" t="s">
        <v>52</v>
      </c>
      <c r="N294" t="s">
        <v>1311</v>
      </c>
      <c r="O294" s="11" t="str">
        <f t="shared" si="40"/>
        <v>OK</v>
      </c>
      <c r="P294" t="s">
        <v>54</v>
      </c>
      <c r="Q294" t="s">
        <v>54</v>
      </c>
      <c r="R294" t="s">
        <v>54</v>
      </c>
      <c r="S294" t="s">
        <v>1312</v>
      </c>
      <c r="T294" s="1">
        <v>187183804.68000001</v>
      </c>
      <c r="U294" s="1">
        <v>142332687.44</v>
      </c>
      <c r="V294" s="13" t="str">
        <f t="shared" si="41"/>
        <v>OK</v>
      </c>
      <c r="W294" s="1">
        <v>203401523.36000001</v>
      </c>
      <c r="X294" s="1">
        <v>16965470.02</v>
      </c>
      <c r="Y294" t="s">
        <v>51</v>
      </c>
      <c r="Z294">
        <v>631506.31999999995</v>
      </c>
      <c r="AA294">
        <v>0</v>
      </c>
      <c r="AB294">
        <v>0</v>
      </c>
      <c r="AC294">
        <v>-6232622.54</v>
      </c>
      <c r="AD294" s="13" t="str">
        <f t="shared" si="42"/>
        <v>OK</v>
      </c>
      <c r="AE294">
        <v>98484869.010000005</v>
      </c>
      <c r="AF294">
        <v>0</v>
      </c>
      <c r="AG294">
        <v>0</v>
      </c>
      <c r="AH294">
        <v>106095097.88</v>
      </c>
      <c r="AI294">
        <v>117606542.15000001</v>
      </c>
      <c r="AJ294" s="13" t="str">
        <f t="shared" si="43"/>
        <v>OK</v>
      </c>
      <c r="AK294">
        <v>0</v>
      </c>
      <c r="AL294" s="14">
        <v>0</v>
      </c>
      <c r="AM294">
        <v>13539378.48</v>
      </c>
      <c r="AN294">
        <v>16965470.02</v>
      </c>
      <c r="AO294">
        <v>28953375559</v>
      </c>
      <c r="AP294">
        <v>30307326683</v>
      </c>
      <c r="AQ294" s="15">
        <f t="shared" si="44"/>
        <v>1353951124</v>
      </c>
      <c r="AR294">
        <v>289553755.58999997</v>
      </c>
      <c r="AS294">
        <v>303073266.82999998</v>
      </c>
      <c r="AT294">
        <v>0</v>
      </c>
      <c r="AU294">
        <v>0</v>
      </c>
      <c r="AV294" s="16">
        <f t="shared" si="45"/>
        <v>13519511.24000001</v>
      </c>
      <c r="AW294" s="13" t="str">
        <f t="shared" si="46"/>
        <v>SIM</v>
      </c>
      <c r="AX294" s="13" t="str">
        <f t="shared" si="47"/>
        <v>OK</v>
      </c>
      <c r="AY294" s="13" t="str">
        <f t="shared" si="48"/>
        <v>OK</v>
      </c>
      <c r="AZ294">
        <f t="shared" si="49"/>
        <v>-6.3285077216959582</v>
      </c>
    </row>
    <row r="295" spans="2:52" x14ac:dyDescent="0.3">
      <c r="B295" t="s">
        <v>1292</v>
      </c>
      <c r="C295" t="s">
        <v>1313</v>
      </c>
      <c r="D295" t="s">
        <v>1314</v>
      </c>
      <c r="E295" t="s">
        <v>1315</v>
      </c>
      <c r="F295" t="s">
        <v>46</v>
      </c>
      <c r="G295" t="s">
        <v>240</v>
      </c>
      <c r="H295" t="s">
        <v>48</v>
      </c>
      <c r="I295" t="s">
        <v>49</v>
      </c>
      <c r="J295" t="s">
        <v>373</v>
      </c>
      <c r="K295" t="s">
        <v>51</v>
      </c>
      <c r="L295" t="s">
        <v>51</v>
      </c>
      <c r="M295" t="s">
        <v>52</v>
      </c>
      <c r="N295" t="s">
        <v>1316</v>
      </c>
      <c r="O295" s="11" t="str">
        <f t="shared" si="40"/>
        <v>OK</v>
      </c>
      <c r="P295" t="s">
        <v>54</v>
      </c>
      <c r="Q295" t="s">
        <v>54</v>
      </c>
      <c r="R295" t="s">
        <v>54</v>
      </c>
      <c r="S295" t="s">
        <v>1317</v>
      </c>
      <c r="T295" s="1">
        <v>3019972709.1999998</v>
      </c>
      <c r="U295" s="1">
        <v>1872264068.79</v>
      </c>
      <c r="V295" s="13" t="str">
        <f t="shared" si="41"/>
        <v>OK</v>
      </c>
      <c r="W295" s="1">
        <v>7522397992.3599997</v>
      </c>
      <c r="X295" s="1">
        <v>4076179000</v>
      </c>
      <c r="Y295" t="s">
        <v>54</v>
      </c>
      <c r="Z295">
        <v>553664.75</v>
      </c>
      <c r="AA295">
        <v>8266.75</v>
      </c>
      <c r="AB295">
        <v>21710.240000000002</v>
      </c>
      <c r="AC295">
        <v>-347519070.47000003</v>
      </c>
      <c r="AD295" s="13" t="str">
        <f t="shared" si="42"/>
        <v>VERIFICAR</v>
      </c>
      <c r="AE295">
        <v>40829323832.699997</v>
      </c>
      <c r="AF295">
        <v>0</v>
      </c>
      <c r="AG295">
        <v>0</v>
      </c>
      <c r="AH295">
        <v>317976248.06999999</v>
      </c>
      <c r="AI295">
        <v>0</v>
      </c>
      <c r="AJ295" s="13" t="str">
        <f t="shared" si="43"/>
        <v>OK</v>
      </c>
      <c r="AK295">
        <v>0</v>
      </c>
      <c r="AL295">
        <v>0</v>
      </c>
      <c r="AM295">
        <v>2713990757.3499999</v>
      </c>
      <c r="AN295">
        <v>4087644406.6500001</v>
      </c>
      <c r="AO295">
        <v>8906665</v>
      </c>
      <c r="AP295">
        <v>9905781</v>
      </c>
      <c r="AQ295" s="15">
        <f t="shared" si="44"/>
        <v>999116</v>
      </c>
      <c r="AR295">
        <v>47325113492.68</v>
      </c>
      <c r="AS295">
        <v>51412757899.330002</v>
      </c>
      <c r="AT295">
        <v>0</v>
      </c>
      <c r="AU295">
        <v>0</v>
      </c>
      <c r="AV295" s="16">
        <f t="shared" si="45"/>
        <v>4087644406.6500015</v>
      </c>
      <c r="AW295" s="13" t="str">
        <f t="shared" si="46"/>
        <v>SIM</v>
      </c>
      <c r="AX295" s="13" t="str">
        <f t="shared" si="47"/>
        <v>OK</v>
      </c>
      <c r="AY295" s="13" t="str">
        <f t="shared" si="48"/>
        <v>OK</v>
      </c>
      <c r="AZ295">
        <f t="shared" si="49"/>
        <v>-0.85115068741763911</v>
      </c>
    </row>
    <row r="296" spans="2:52" x14ac:dyDescent="0.3">
      <c r="B296" t="s">
        <v>1292</v>
      </c>
      <c r="C296" t="s">
        <v>1338</v>
      </c>
      <c r="D296" t="s">
        <v>1339</v>
      </c>
      <c r="E296" t="s">
        <v>1340</v>
      </c>
      <c r="F296" t="s">
        <v>46</v>
      </c>
      <c r="G296" t="s">
        <v>47</v>
      </c>
      <c r="H296" t="s">
        <v>48</v>
      </c>
      <c r="I296" t="s">
        <v>49</v>
      </c>
      <c r="J296" t="s">
        <v>50</v>
      </c>
      <c r="K296" t="s">
        <v>51</v>
      </c>
      <c r="L296" t="s">
        <v>51</v>
      </c>
      <c r="M296" t="s">
        <v>134</v>
      </c>
      <c r="N296" t="s">
        <v>1341</v>
      </c>
      <c r="O296" s="11" t="str">
        <f t="shared" si="40"/>
        <v>OK</v>
      </c>
      <c r="P296" t="s">
        <v>54</v>
      </c>
      <c r="Q296" t="s">
        <v>54</v>
      </c>
      <c r="R296" t="s">
        <v>54</v>
      </c>
      <c r="S296" t="s">
        <v>1342</v>
      </c>
      <c r="T296" s="1">
        <v>2231633654.8400002</v>
      </c>
      <c r="U296" s="1">
        <v>564268062.80999994</v>
      </c>
      <c r="V296" s="13" t="str">
        <f t="shared" si="41"/>
        <v>OK</v>
      </c>
      <c r="W296" s="1">
        <v>2130376083.25</v>
      </c>
      <c r="X296" s="1">
        <v>386699568.70999998</v>
      </c>
      <c r="Y296" t="s">
        <v>54</v>
      </c>
      <c r="Z296">
        <v>837082.09</v>
      </c>
      <c r="AA296">
        <v>44901.96</v>
      </c>
      <c r="AB296">
        <v>0</v>
      </c>
      <c r="AC296">
        <v>101257571.59</v>
      </c>
      <c r="AD296" s="13" t="str">
        <f t="shared" si="42"/>
        <v>OK</v>
      </c>
      <c r="AE296">
        <v>868887186.07000005</v>
      </c>
      <c r="AF296">
        <v>0</v>
      </c>
      <c r="AG296">
        <v>46430210.479999997</v>
      </c>
      <c r="AH296">
        <v>0</v>
      </c>
      <c r="AI296">
        <v>0</v>
      </c>
      <c r="AJ296" s="13" t="str">
        <f t="shared" si="43"/>
        <v>OK</v>
      </c>
      <c r="AK296">
        <v>0</v>
      </c>
      <c r="AL296">
        <v>0</v>
      </c>
      <c r="AM296">
        <v>0</v>
      </c>
      <c r="AN296">
        <v>0</v>
      </c>
      <c r="AO296">
        <v>12410805</v>
      </c>
      <c r="AP296">
        <v>12410805</v>
      </c>
      <c r="AQ296" s="15">
        <f t="shared" si="44"/>
        <v>0</v>
      </c>
      <c r="AR296">
        <v>666490179.50999999</v>
      </c>
      <c r="AS296">
        <v>742900565.27999997</v>
      </c>
      <c r="AT296">
        <v>0</v>
      </c>
      <c r="AU296">
        <v>0</v>
      </c>
      <c r="AV296" s="16">
        <f t="shared" si="45"/>
        <v>76410385.769999981</v>
      </c>
      <c r="AW296" s="13" t="str">
        <f t="shared" si="46"/>
        <v>SIM</v>
      </c>
      <c r="AX296" s="13" t="str">
        <f t="shared" si="47"/>
        <v>OK</v>
      </c>
      <c r="AY296" s="13" t="str">
        <f t="shared" si="48"/>
        <v>OK</v>
      </c>
      <c r="AZ296">
        <f t="shared" si="49"/>
        <v>11.653707548386196</v>
      </c>
    </row>
    <row r="297" spans="2:52" x14ac:dyDescent="0.3">
      <c r="B297" t="s">
        <v>1343</v>
      </c>
      <c r="C297" t="s">
        <v>1344</v>
      </c>
      <c r="D297" t="s">
        <v>941</v>
      </c>
      <c r="E297" t="s">
        <v>1345</v>
      </c>
      <c r="F297" t="s">
        <v>46</v>
      </c>
      <c r="G297" t="s">
        <v>71</v>
      </c>
      <c r="H297" t="s">
        <v>60</v>
      </c>
      <c r="I297" t="s">
        <v>49</v>
      </c>
      <c r="J297" t="s">
        <v>50</v>
      </c>
      <c r="K297" t="s">
        <v>51</v>
      </c>
      <c r="L297" t="s">
        <v>51</v>
      </c>
      <c r="M297" t="s">
        <v>134</v>
      </c>
      <c r="N297" t="s">
        <v>1346</v>
      </c>
      <c r="O297" s="11" t="str">
        <f t="shared" si="40"/>
        <v>OK</v>
      </c>
      <c r="P297" t="s">
        <v>54</v>
      </c>
      <c r="Q297" t="s">
        <v>54</v>
      </c>
      <c r="R297" t="s">
        <v>54</v>
      </c>
      <c r="S297" t="s">
        <v>55</v>
      </c>
      <c r="T297" s="1">
        <v>10831819.5</v>
      </c>
      <c r="U297" s="1">
        <v>4018686.84</v>
      </c>
      <c r="V297" s="13" t="str">
        <f t="shared" si="41"/>
        <v>OK</v>
      </c>
      <c r="W297" s="1">
        <v>10243241.32</v>
      </c>
      <c r="X297" s="1">
        <v>101000</v>
      </c>
      <c r="Y297" t="s">
        <v>51</v>
      </c>
      <c r="Z297">
        <v>196989.94</v>
      </c>
      <c r="AA297">
        <v>0</v>
      </c>
      <c r="AB297">
        <v>82053.899999999994</v>
      </c>
      <c r="AC297">
        <v>588578.63</v>
      </c>
      <c r="AD297" s="13" t="str">
        <f t="shared" si="42"/>
        <v>OK</v>
      </c>
      <c r="AE297">
        <v>35296986.700000003</v>
      </c>
      <c r="AF297">
        <v>0</v>
      </c>
      <c r="AG297">
        <v>0</v>
      </c>
      <c r="AH297">
        <v>0</v>
      </c>
      <c r="AI297">
        <v>0</v>
      </c>
      <c r="AJ297" s="13" t="str">
        <f t="shared" si="43"/>
        <v>OK</v>
      </c>
      <c r="AK297">
        <v>0</v>
      </c>
      <c r="AL297">
        <v>0</v>
      </c>
      <c r="AM297">
        <v>1509054.3</v>
      </c>
      <c r="AN297">
        <v>1582604.6</v>
      </c>
      <c r="AO297">
        <v>5964000</v>
      </c>
      <c r="AP297">
        <v>5964000</v>
      </c>
      <c r="AQ297" s="15">
        <f t="shared" si="44"/>
        <v>0</v>
      </c>
      <c r="AR297">
        <v>52823857.210000001</v>
      </c>
      <c r="AS297">
        <v>54396966.210000001</v>
      </c>
      <c r="AT297">
        <v>156212.06</v>
      </c>
      <c r="AU297">
        <v>165707.66</v>
      </c>
      <c r="AV297" s="16">
        <f t="shared" si="45"/>
        <v>1738816.66</v>
      </c>
      <c r="AW297" s="13" t="str">
        <f t="shared" si="46"/>
        <v>SIM</v>
      </c>
      <c r="AX297" s="13" t="str">
        <f t="shared" si="47"/>
        <v>VER CAPITAL</v>
      </c>
      <c r="AZ297">
        <f t="shared" si="49"/>
        <v>1.6675039005525079</v>
      </c>
    </row>
    <row r="298" spans="2:52" x14ac:dyDescent="0.3">
      <c r="B298" t="s">
        <v>1343</v>
      </c>
      <c r="C298" t="s">
        <v>1347</v>
      </c>
      <c r="D298" t="s">
        <v>1348</v>
      </c>
      <c r="E298" t="s">
        <v>1349</v>
      </c>
      <c r="F298" t="s">
        <v>46</v>
      </c>
      <c r="G298" t="s">
        <v>224</v>
      </c>
      <c r="H298" t="s">
        <v>60</v>
      </c>
      <c r="I298" t="s">
        <v>49</v>
      </c>
      <c r="J298" t="s">
        <v>50</v>
      </c>
      <c r="K298" t="s">
        <v>51</v>
      </c>
      <c r="L298" t="s">
        <v>51</v>
      </c>
      <c r="M298" t="s">
        <v>134</v>
      </c>
      <c r="N298" t="s">
        <v>300</v>
      </c>
      <c r="O298" s="11" t="str">
        <f t="shared" si="40"/>
        <v>OK</v>
      </c>
      <c r="P298" t="s">
        <v>54</v>
      </c>
      <c r="Q298" t="s">
        <v>54</v>
      </c>
      <c r="R298" t="s">
        <v>54</v>
      </c>
      <c r="S298" t="s">
        <v>55</v>
      </c>
      <c r="T298" s="1">
        <v>4976803.3600000003</v>
      </c>
      <c r="U298" s="1">
        <v>2136852.11</v>
      </c>
      <c r="V298" s="13" t="str">
        <f t="shared" si="41"/>
        <v>OK</v>
      </c>
      <c r="W298" s="1">
        <v>3918136.07</v>
      </c>
      <c r="X298" s="1">
        <v>1156576.95</v>
      </c>
      <c r="Y298" t="s">
        <v>51</v>
      </c>
      <c r="Z298">
        <v>327600</v>
      </c>
      <c r="AA298">
        <v>0</v>
      </c>
      <c r="AB298">
        <v>0</v>
      </c>
      <c r="AC298">
        <v>465147.98</v>
      </c>
      <c r="AD298" s="13" t="str">
        <f t="shared" si="42"/>
        <v>OK</v>
      </c>
      <c r="AE298">
        <v>2925872.64</v>
      </c>
      <c r="AF298">
        <v>0</v>
      </c>
      <c r="AG298">
        <v>0</v>
      </c>
      <c r="AH298">
        <v>0</v>
      </c>
      <c r="AI298">
        <v>0</v>
      </c>
      <c r="AJ298" s="13" t="str">
        <f t="shared" si="43"/>
        <v>OK</v>
      </c>
      <c r="AK298">
        <v>0</v>
      </c>
      <c r="AL298">
        <v>0</v>
      </c>
      <c r="AM298">
        <v>0</v>
      </c>
      <c r="AN298">
        <v>800000</v>
      </c>
      <c r="AO298">
        <v>0</v>
      </c>
      <c r="AP298">
        <v>0</v>
      </c>
      <c r="AQ298" s="15">
        <f t="shared" si="44"/>
        <v>0</v>
      </c>
      <c r="AR298">
        <v>8406415.0199999996</v>
      </c>
      <c r="AS298">
        <v>9206415.0199999996</v>
      </c>
      <c r="AT298">
        <v>31593584.98</v>
      </c>
      <c r="AU298">
        <v>30793584.98</v>
      </c>
      <c r="AV298" s="16">
        <f t="shared" si="45"/>
        <v>31593584.98</v>
      </c>
      <c r="AW298" s="13" t="str">
        <f t="shared" si="46"/>
        <v>SIM</v>
      </c>
      <c r="AX298" s="13" t="str">
        <f t="shared" si="47"/>
        <v>VER CAPITAL</v>
      </c>
      <c r="AZ298">
        <f t="shared" si="49"/>
        <v>15.897752131822115</v>
      </c>
    </row>
    <row r="299" spans="2:52" x14ac:dyDescent="0.3">
      <c r="B299" t="s">
        <v>1343</v>
      </c>
      <c r="C299" t="s">
        <v>1350</v>
      </c>
      <c r="D299" t="s">
        <v>1351</v>
      </c>
      <c r="E299" t="s">
        <v>1352</v>
      </c>
      <c r="F299" t="s">
        <v>46</v>
      </c>
      <c r="G299" t="s">
        <v>93</v>
      </c>
      <c r="H299" t="s">
        <v>60</v>
      </c>
      <c r="I299" t="s">
        <v>49</v>
      </c>
      <c r="J299" t="s">
        <v>50</v>
      </c>
      <c r="K299" t="s">
        <v>51</v>
      </c>
      <c r="L299" t="s">
        <v>51</v>
      </c>
      <c r="M299" t="s">
        <v>134</v>
      </c>
      <c r="N299" t="s">
        <v>1296</v>
      </c>
      <c r="O299" s="11" t="str">
        <f t="shared" si="40"/>
        <v>OK</v>
      </c>
      <c r="P299" t="s">
        <v>54</v>
      </c>
      <c r="Q299" t="s">
        <v>54</v>
      </c>
      <c r="R299" t="s">
        <v>54</v>
      </c>
      <c r="S299" t="s">
        <v>55</v>
      </c>
      <c r="T299" s="1">
        <v>66262844.329999998</v>
      </c>
      <c r="U299" s="1">
        <v>12141581.460000001</v>
      </c>
      <c r="V299" s="13" t="str">
        <f t="shared" si="41"/>
        <v>OK</v>
      </c>
      <c r="W299" s="1">
        <v>16183606.23</v>
      </c>
      <c r="X299" s="1">
        <v>853053.33</v>
      </c>
      <c r="Y299" t="s">
        <v>54</v>
      </c>
      <c r="Z299">
        <v>337459.5</v>
      </c>
      <c r="AA299">
        <v>2747064.8</v>
      </c>
      <c r="AB299">
        <v>0</v>
      </c>
      <c r="AC299">
        <v>-6307597.96</v>
      </c>
      <c r="AD299" s="13" t="str">
        <f t="shared" si="42"/>
        <v>VERIFICAR</v>
      </c>
      <c r="AE299">
        <v>65633651.399999999</v>
      </c>
      <c r="AF299">
        <v>0</v>
      </c>
      <c r="AG299">
        <v>0</v>
      </c>
      <c r="AH299">
        <v>0</v>
      </c>
      <c r="AI299">
        <v>0</v>
      </c>
      <c r="AJ299" s="13" t="str">
        <f t="shared" si="43"/>
        <v>OK</v>
      </c>
      <c r="AK299">
        <v>0</v>
      </c>
      <c r="AL299">
        <v>0</v>
      </c>
      <c r="AM299">
        <v>0</v>
      </c>
      <c r="AN299">
        <v>0</v>
      </c>
      <c r="AO299">
        <v>33792629.460000001</v>
      </c>
      <c r="AP299">
        <v>33037603.859999999</v>
      </c>
      <c r="AQ299" s="15">
        <f t="shared" si="44"/>
        <v>-755025.60000000149</v>
      </c>
      <c r="AR299">
        <v>33888437.149999999</v>
      </c>
      <c r="AS299">
        <v>33133411.550000001</v>
      </c>
      <c r="AT299">
        <v>35000000</v>
      </c>
      <c r="AU299">
        <v>35000000</v>
      </c>
      <c r="AV299" s="16">
        <f t="shared" si="45"/>
        <v>34244974.400000006</v>
      </c>
      <c r="AW299" s="13" t="str">
        <f t="shared" si="46"/>
        <v>SIM</v>
      </c>
      <c r="AX299" s="13" t="str">
        <f t="shared" si="47"/>
        <v>OK</v>
      </c>
      <c r="AZ299">
        <f t="shared" si="49"/>
        <v>-9.6103109082850757</v>
      </c>
    </row>
    <row r="300" spans="2:52" x14ac:dyDescent="0.3">
      <c r="AL300" s="14"/>
    </row>
    <row r="301" spans="2:52" x14ac:dyDescent="0.3">
      <c r="AL301" s="14"/>
    </row>
    <row r="302" spans="2:52" x14ac:dyDescent="0.3">
      <c r="AL302" s="14"/>
    </row>
    <row r="303" spans="2:52" x14ac:dyDescent="0.3">
      <c r="AL303" s="14"/>
    </row>
    <row r="304" spans="2:52" x14ac:dyDescent="0.3">
      <c r="AL304" s="14"/>
    </row>
    <row r="305" spans="38:38" x14ac:dyDescent="0.3">
      <c r="AL305" s="14"/>
    </row>
    <row r="306" spans="38:38" x14ac:dyDescent="0.3">
      <c r="AL306" s="14"/>
    </row>
    <row r="307" spans="38:38" x14ac:dyDescent="0.3">
      <c r="AL307" s="14"/>
    </row>
    <row r="308" spans="38:38" x14ac:dyDescent="0.3">
      <c r="AL308" s="14"/>
    </row>
    <row r="309" spans="38:38" x14ac:dyDescent="0.3">
      <c r="AL309" s="14"/>
    </row>
    <row r="310" spans="38:38" x14ac:dyDescent="0.3">
      <c r="AL310" s="14"/>
    </row>
    <row r="311" spans="38:38" x14ac:dyDescent="0.3">
      <c r="AL311" s="14"/>
    </row>
    <row r="312" spans="38:38" x14ac:dyDescent="0.3">
      <c r="AL312" s="14"/>
    </row>
    <row r="313" spans="38:38" x14ac:dyDescent="0.3">
      <c r="AL313" s="14"/>
    </row>
    <row r="314" spans="38:38" x14ac:dyDescent="0.3">
      <c r="AL314" s="14"/>
    </row>
    <row r="315" spans="38:38" x14ac:dyDescent="0.3">
      <c r="AL315" s="14"/>
    </row>
    <row r="316" spans="38:38" x14ac:dyDescent="0.3">
      <c r="AL316" s="14"/>
    </row>
    <row r="317" spans="38:38" x14ac:dyDescent="0.3">
      <c r="AL317" s="14"/>
    </row>
    <row r="318" spans="38:38" x14ac:dyDescent="0.3">
      <c r="AL318" s="14"/>
    </row>
    <row r="319" spans="38:38" x14ac:dyDescent="0.3">
      <c r="AL319" s="14"/>
    </row>
    <row r="320" spans="38:38" x14ac:dyDescent="0.3">
      <c r="AL320" s="14"/>
    </row>
    <row r="321" spans="38:38" x14ac:dyDescent="0.3">
      <c r="AL321" s="14"/>
    </row>
  </sheetData>
  <autoFilter ref="B1:AZ299" xr:uid="{C356B828-FCFB-4DE0-8BF0-1FCEDBB8015D}"/>
  <conditionalFormatting sqref="B1:AY1">
    <cfRule type="cellIs" dxfId="6" priority="1" operator="equal">
      <formula>"nan"</formula>
    </cfRule>
  </conditionalFormatting>
  <conditionalFormatting sqref="AC1:AD1">
    <cfRule type="cellIs" dxfId="5" priority="2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E059-A6D9-4B7A-BE93-16AC422FEEDC}">
  <dimension ref="A1:AX296"/>
  <sheetViews>
    <sheetView topLeftCell="U1" workbookViewId="0">
      <selection activeCell="B315" activeCellId="2" sqref="L1 A300:XFD300 B315"/>
    </sheetView>
  </sheetViews>
  <sheetFormatPr defaultRowHeight="14.4" x14ac:dyDescent="0.3"/>
  <cols>
    <col min="1" max="1" width="11.109375" customWidth="1"/>
    <col min="2" max="2" width="65.6640625" customWidth="1"/>
    <col min="3" max="3" width="16.109375" customWidth="1"/>
    <col min="4" max="4" width="13.5546875" customWidth="1"/>
    <col min="6" max="6" width="17.44140625" customWidth="1"/>
    <col min="9" max="9" width="9.109375" bestFit="1" customWidth="1"/>
    <col min="12" max="12" width="23.6640625" customWidth="1"/>
    <col min="14" max="14" width="10" customWidth="1"/>
    <col min="18" max="18" width="17.44140625" customWidth="1"/>
    <col min="19" max="19" width="19.88671875" bestFit="1" customWidth="1"/>
    <col min="20" max="20" width="18.88671875" bestFit="1" customWidth="1"/>
    <col min="21" max="21" width="14.109375" bestFit="1" customWidth="1"/>
    <col min="22" max="22" width="19.88671875" bestFit="1" customWidth="1"/>
    <col min="23" max="23" width="18.88671875" style="14" bestFit="1" customWidth="1"/>
    <col min="25" max="26" width="15.33203125" bestFit="1" customWidth="1"/>
    <col min="27" max="27" width="16.33203125" style="14" bestFit="1" customWidth="1"/>
    <col min="28" max="28" width="20.33203125" style="14" bestFit="1" customWidth="1"/>
    <col min="29" max="29" width="9.33203125" customWidth="1"/>
    <col min="30" max="31" width="19.88671875" bestFit="1" customWidth="1"/>
    <col min="32" max="32" width="17.44140625" bestFit="1" customWidth="1"/>
    <col min="33" max="34" width="18.88671875" bestFit="1" customWidth="1"/>
    <col min="35" max="35" width="18.88671875" customWidth="1"/>
    <col min="36" max="36" width="18.88671875" bestFit="1" customWidth="1"/>
    <col min="37" max="37" width="17.44140625" bestFit="1" customWidth="1"/>
    <col min="38" max="39" width="18.88671875" bestFit="1" customWidth="1"/>
    <col min="40" max="41" width="22.5546875" bestFit="1" customWidth="1"/>
    <col min="42" max="42" width="22.5546875" customWidth="1"/>
    <col min="43" max="44" width="19.88671875" bestFit="1" customWidth="1"/>
    <col min="45" max="45" width="17.44140625" bestFit="1" customWidth="1"/>
    <col min="46" max="47" width="18.88671875" bestFit="1" customWidth="1"/>
    <col min="50" max="50" width="10.88671875" customWidth="1"/>
  </cols>
  <sheetData>
    <row r="1" spans="1:50" s="6" customFormat="1" ht="14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1362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8" t="s">
        <v>1353</v>
      </c>
      <c r="O1" s="7" t="s">
        <v>13</v>
      </c>
      <c r="P1" s="7" t="s">
        <v>14</v>
      </c>
      <c r="Q1" s="7" t="s">
        <v>15</v>
      </c>
      <c r="R1" s="7" t="s">
        <v>1363</v>
      </c>
      <c r="S1" s="7" t="s">
        <v>17</v>
      </c>
      <c r="T1" s="7" t="s">
        <v>18</v>
      </c>
      <c r="U1" s="8" t="s">
        <v>1354</v>
      </c>
      <c r="V1" s="7" t="s">
        <v>19</v>
      </c>
      <c r="W1" s="9" t="s">
        <v>20</v>
      </c>
      <c r="X1" s="7" t="s">
        <v>21</v>
      </c>
      <c r="Y1" s="7" t="s">
        <v>1364</v>
      </c>
      <c r="Z1" s="7" t="s">
        <v>1365</v>
      </c>
      <c r="AA1" s="9" t="s">
        <v>1366</v>
      </c>
      <c r="AB1" s="9" t="s">
        <v>25</v>
      </c>
      <c r="AC1" s="8" t="s">
        <v>1355</v>
      </c>
      <c r="AD1" s="7" t="s">
        <v>26</v>
      </c>
      <c r="AE1" s="7" t="s">
        <v>27</v>
      </c>
      <c r="AF1" s="7" t="s">
        <v>28</v>
      </c>
      <c r="AG1" s="7" t="s">
        <v>1367</v>
      </c>
      <c r="AH1" s="7" t="s">
        <v>1368</v>
      </c>
      <c r="AI1" s="8" t="s">
        <v>1356</v>
      </c>
      <c r="AJ1" s="7" t="s">
        <v>1369</v>
      </c>
      <c r="AK1" s="7" t="s">
        <v>1370</v>
      </c>
      <c r="AL1" s="8" t="s">
        <v>1371</v>
      </c>
      <c r="AM1" s="8" t="s">
        <v>1372</v>
      </c>
      <c r="AN1" s="7" t="s">
        <v>1373</v>
      </c>
      <c r="AO1" s="7" t="s">
        <v>1374</v>
      </c>
      <c r="AP1" s="8" t="s">
        <v>1357</v>
      </c>
      <c r="AQ1" s="7" t="s">
        <v>1375</v>
      </c>
      <c r="AR1" s="7" t="s">
        <v>1376</v>
      </c>
      <c r="AS1" s="7" t="s">
        <v>39</v>
      </c>
      <c r="AT1" s="7" t="s">
        <v>1377</v>
      </c>
      <c r="AU1" s="8" t="s">
        <v>1358</v>
      </c>
      <c r="AV1" s="8" t="s">
        <v>1359</v>
      </c>
      <c r="AW1" s="8" t="s">
        <v>1360</v>
      </c>
      <c r="AX1" s="8" t="s">
        <v>1361</v>
      </c>
    </row>
    <row r="2" spans="1:50" x14ac:dyDescent="0.3">
      <c r="A2" s="10" t="s">
        <v>42</v>
      </c>
      <c r="B2" t="s">
        <v>1378</v>
      </c>
      <c r="C2" t="s">
        <v>44</v>
      </c>
      <c r="D2" t="s">
        <v>45</v>
      </c>
      <c r="E2" t="s">
        <v>46</v>
      </c>
      <c r="F2" t="s">
        <v>47</v>
      </c>
      <c r="G2" t="s">
        <v>60</v>
      </c>
      <c r="H2" t="s">
        <v>49</v>
      </c>
      <c r="I2" t="s">
        <v>50</v>
      </c>
      <c r="J2" t="s">
        <v>51</v>
      </c>
      <c r="K2" t="s">
        <v>51</v>
      </c>
      <c r="L2" t="s">
        <v>52</v>
      </c>
      <c r="M2">
        <v>84</v>
      </c>
      <c r="N2" s="11" t="str">
        <f t="shared" ref="N2:N65" si="0">IF(AND(E2="ATIVA",M2=0),"VERIFICAR","OK")</f>
        <v>OK</v>
      </c>
      <c r="O2" t="s">
        <v>54</v>
      </c>
      <c r="P2" t="s">
        <v>54</v>
      </c>
      <c r="Q2" t="s">
        <v>51</v>
      </c>
      <c r="R2" t="str">
        <f>VLOOKUP($D2,[1]Rascunho!$E$2:$S$296,15,FALSE)</f>
        <v>Site não disponível</v>
      </c>
      <c r="S2" s="12">
        <v>0</v>
      </c>
      <c r="T2" s="12">
        <v>9821151.8699999992</v>
      </c>
      <c r="U2" s="13" t="str">
        <f t="shared" ref="U2:U65" si="1">IF(AND(M2=0,T2&gt;0),"VERIFICAR","OK")</f>
        <v>OK</v>
      </c>
      <c r="V2" s="14">
        <v>11684206.5</v>
      </c>
      <c r="W2" s="14">
        <v>0</v>
      </c>
      <c r="X2" t="s">
        <v>51</v>
      </c>
      <c r="Y2" s="14">
        <v>135825.4</v>
      </c>
      <c r="Z2" s="14">
        <v>0</v>
      </c>
      <c r="AA2" s="14">
        <v>3850</v>
      </c>
      <c r="AB2" s="14">
        <v>10173506.720000001</v>
      </c>
      <c r="AC2" s="13" t="str">
        <f t="shared" ref="AC2:AC65" si="2">IF(AND(X2="SIM",AB2&lt;0),"VERIFICAR","OK")</f>
        <v>OK</v>
      </c>
      <c r="AD2" s="14">
        <v>91943019.760000005</v>
      </c>
      <c r="AE2" s="14">
        <v>0</v>
      </c>
      <c r="AF2" s="14">
        <v>0</v>
      </c>
      <c r="AG2" s="14">
        <v>10032591.15</v>
      </c>
      <c r="AH2" s="14">
        <v>11668906.5</v>
      </c>
      <c r="AI2" s="13" t="str">
        <f t="shared" ref="AI2:AI65" si="3">IF(AND(L2="NÃO DEPENDENTE",AH2&gt;0),"INDÍCIO DE DEPENDÊNCIA POR SUBVENÇÃO","OK")</f>
        <v>OK</v>
      </c>
      <c r="AJ2" s="14">
        <v>1757691.07</v>
      </c>
      <c r="AK2" s="14">
        <v>1863054.63</v>
      </c>
      <c r="AL2" s="14">
        <v>0</v>
      </c>
      <c r="AM2" s="14">
        <v>0</v>
      </c>
      <c r="AN2" s="14">
        <v>4396687.58</v>
      </c>
      <c r="AO2" s="14">
        <v>4396687.58</v>
      </c>
      <c r="AP2" s="15">
        <f t="shared" ref="AP2:AP65" si="4">AO2-AN2</f>
        <v>0</v>
      </c>
      <c r="AQ2" s="14">
        <v>4396687.58</v>
      </c>
      <c r="AR2" s="14">
        <v>4396687.58</v>
      </c>
      <c r="AS2" s="14">
        <v>0</v>
      </c>
      <c r="AT2" s="14">
        <v>0</v>
      </c>
      <c r="AU2" s="16">
        <f t="shared" ref="AU2:AU65" si="5">(AR2-AQ2)+(AT2)</f>
        <v>0</v>
      </c>
      <c r="AV2" s="13" t="str">
        <f t="shared" ref="AV2:AV65" si="6">IF(OR(AP2&gt;0,AU2&gt;0),"SIM","NÃO")</f>
        <v>NÃO</v>
      </c>
      <c r="AW2" s="13" t="str">
        <f t="shared" ref="AW2:AW65" si="7">IF(AND(L2="NÃO DEPENDENTE",AM2&gt;0),"VER CAPITAL","OK")</f>
        <v>OK</v>
      </c>
      <c r="AX2" s="13" t="str">
        <f t="shared" ref="AX2:AX65" si="8">IF(AND(AW2="VER CAPITAL",AV2="NÃO"),"INDÍCIO DE DEPENDÊNCIA POR CAPITAL","OK")</f>
        <v>OK</v>
      </c>
    </row>
    <row r="3" spans="1:50" x14ac:dyDescent="0.3">
      <c r="A3" s="10" t="s">
        <v>42</v>
      </c>
      <c r="B3" t="str">
        <f>VLOOKUP($D3,[1]Rascunho!$BF$2:$BH$296,2,FALSE)</f>
        <v>Agência de Negócios do Estado do Acre</v>
      </c>
      <c r="C3" t="str">
        <f>VLOOKUP($D3,[1]Rascunho!$BF$2:$BH$296,3,FALSE)</f>
        <v>ANAC</v>
      </c>
      <c r="D3" t="s">
        <v>58</v>
      </c>
      <c r="E3" t="s">
        <v>46</v>
      </c>
      <c r="F3" t="s">
        <v>59</v>
      </c>
      <c r="G3" t="s">
        <v>60</v>
      </c>
      <c r="H3" t="s">
        <v>49</v>
      </c>
      <c r="I3" t="s">
        <v>50</v>
      </c>
      <c r="J3" t="s">
        <v>51</v>
      </c>
      <c r="K3" t="s">
        <v>51</v>
      </c>
      <c r="L3" t="s">
        <v>52</v>
      </c>
      <c r="M3">
        <v>47</v>
      </c>
      <c r="N3" s="11" t="str">
        <f t="shared" si="0"/>
        <v>OK</v>
      </c>
      <c r="O3" t="s">
        <v>54</v>
      </c>
      <c r="P3" t="s">
        <v>54</v>
      </c>
      <c r="Q3" t="s">
        <v>51</v>
      </c>
      <c r="R3" t="str">
        <f>VLOOKUP($D3,[1]Rascunho!$E$2:$S$296,15,FALSE)</f>
        <v>Site não disponível</v>
      </c>
      <c r="S3" s="12">
        <v>0</v>
      </c>
      <c r="T3" s="12">
        <v>5601459.71</v>
      </c>
      <c r="U3" s="13" t="str">
        <f t="shared" si="1"/>
        <v>OK</v>
      </c>
      <c r="V3" s="14">
        <v>9529995.0600000005</v>
      </c>
      <c r="W3" s="14">
        <v>0</v>
      </c>
      <c r="X3" t="s">
        <v>51</v>
      </c>
      <c r="Y3" s="14">
        <v>329849</v>
      </c>
      <c r="Z3" s="14">
        <v>0</v>
      </c>
      <c r="AA3" s="14">
        <v>128600.53</v>
      </c>
      <c r="AB3" s="14">
        <v>-9049391.3800000008</v>
      </c>
      <c r="AC3" s="13" t="str">
        <f t="shared" si="2"/>
        <v>OK</v>
      </c>
      <c r="AD3" s="14">
        <v>41232323.960000001</v>
      </c>
      <c r="AE3" s="14">
        <v>0</v>
      </c>
      <c r="AF3" s="14">
        <v>0</v>
      </c>
      <c r="AG3" s="14">
        <v>0</v>
      </c>
      <c r="AH3" s="14">
        <v>0</v>
      </c>
      <c r="AI3" s="13" t="str">
        <f t="shared" si="3"/>
        <v>OK</v>
      </c>
      <c r="AJ3" s="14">
        <v>0</v>
      </c>
      <c r="AK3" s="14">
        <v>0</v>
      </c>
      <c r="AL3" s="14">
        <v>2247519.62</v>
      </c>
      <c r="AM3" s="14">
        <v>5563422.3899999997</v>
      </c>
      <c r="AN3" s="14">
        <v>0</v>
      </c>
      <c r="AO3" s="14">
        <v>0</v>
      </c>
      <c r="AP3" s="15">
        <f t="shared" si="4"/>
        <v>0</v>
      </c>
      <c r="AQ3" s="14">
        <v>150642058.77000001</v>
      </c>
      <c r="AR3" s="14">
        <v>156205481.16</v>
      </c>
      <c r="AS3" s="14">
        <v>1357941.23</v>
      </c>
      <c r="AT3" s="14">
        <v>3794518.84</v>
      </c>
      <c r="AU3" s="16">
        <f t="shared" si="5"/>
        <v>9357941.2299999855</v>
      </c>
      <c r="AV3" s="13" t="str">
        <f t="shared" si="6"/>
        <v>SIM</v>
      </c>
      <c r="AW3" s="13" t="str">
        <f t="shared" si="7"/>
        <v>OK</v>
      </c>
      <c r="AX3" s="13" t="str">
        <f t="shared" si="8"/>
        <v>OK</v>
      </c>
    </row>
    <row r="4" spans="1:50" x14ac:dyDescent="0.3">
      <c r="A4" s="10" t="s">
        <v>42</v>
      </c>
      <c r="B4" t="s">
        <v>1379</v>
      </c>
      <c r="C4" t="s">
        <v>63</v>
      </c>
      <c r="D4" t="s">
        <v>64</v>
      </c>
      <c r="E4" t="s">
        <v>46</v>
      </c>
      <c r="F4" t="s">
        <v>65</v>
      </c>
      <c r="G4" t="s">
        <v>60</v>
      </c>
      <c r="H4" t="s">
        <v>49</v>
      </c>
      <c r="I4" t="s">
        <v>50</v>
      </c>
      <c r="J4" t="s">
        <v>51</v>
      </c>
      <c r="K4" t="s">
        <v>51</v>
      </c>
      <c r="L4" t="s">
        <v>52</v>
      </c>
      <c r="M4">
        <v>0</v>
      </c>
      <c r="N4" s="11" t="str">
        <f t="shared" si="0"/>
        <v>VERIFICAR</v>
      </c>
      <c r="O4" t="s">
        <v>54</v>
      </c>
      <c r="P4" t="s">
        <v>54</v>
      </c>
      <c r="Q4" t="s">
        <v>51</v>
      </c>
      <c r="R4" t="str">
        <f>VLOOKUP($D4,[1]Rascunho!$E$2:$S$296,15,FALSE)</f>
        <v>Site não disponível</v>
      </c>
      <c r="S4" s="12">
        <v>0</v>
      </c>
      <c r="T4" s="12">
        <v>0</v>
      </c>
      <c r="U4" s="13" t="str">
        <f t="shared" si="1"/>
        <v>OK</v>
      </c>
      <c r="V4" s="14">
        <v>0</v>
      </c>
      <c r="W4" s="14">
        <v>0</v>
      </c>
      <c r="X4" t="s">
        <v>51</v>
      </c>
      <c r="Y4" s="14">
        <v>0</v>
      </c>
      <c r="Z4" s="14">
        <v>0</v>
      </c>
      <c r="AA4" s="14">
        <v>0</v>
      </c>
      <c r="AB4" s="14">
        <v>0</v>
      </c>
      <c r="AC4" s="13" t="str">
        <f t="shared" si="2"/>
        <v>OK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3" t="str">
        <f t="shared" si="3"/>
        <v>OK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5">
        <f t="shared" si="4"/>
        <v>0</v>
      </c>
      <c r="AQ4" s="14">
        <v>0</v>
      </c>
      <c r="AR4" s="14">
        <v>0</v>
      </c>
      <c r="AS4" s="14">
        <v>0</v>
      </c>
      <c r="AT4" s="14">
        <v>0</v>
      </c>
      <c r="AU4" s="16">
        <f t="shared" si="5"/>
        <v>0</v>
      </c>
      <c r="AV4" s="13" t="str">
        <f t="shared" si="6"/>
        <v>NÃO</v>
      </c>
      <c r="AW4" s="13" t="str">
        <f t="shared" si="7"/>
        <v>OK</v>
      </c>
      <c r="AX4" s="13" t="str">
        <f t="shared" si="8"/>
        <v>OK</v>
      </c>
    </row>
    <row r="5" spans="1:50" x14ac:dyDescent="0.3">
      <c r="A5" s="10" t="s">
        <v>42</v>
      </c>
      <c r="B5" t="s">
        <v>1380</v>
      </c>
      <c r="C5" t="s">
        <v>68</v>
      </c>
      <c r="D5" t="s">
        <v>69</v>
      </c>
      <c r="E5" t="s">
        <v>70</v>
      </c>
      <c r="F5" t="s">
        <v>71</v>
      </c>
      <c r="G5" t="s">
        <v>60</v>
      </c>
      <c r="H5" t="s">
        <v>49</v>
      </c>
      <c r="I5" t="s">
        <v>50</v>
      </c>
      <c r="J5" t="s">
        <v>51</v>
      </c>
      <c r="K5" t="s">
        <v>51</v>
      </c>
      <c r="L5" t="s">
        <v>52</v>
      </c>
      <c r="M5">
        <v>12</v>
      </c>
      <c r="N5" s="11" t="str">
        <f t="shared" si="0"/>
        <v>OK</v>
      </c>
      <c r="O5" t="s">
        <v>54</v>
      </c>
      <c r="P5" t="s">
        <v>54</v>
      </c>
      <c r="Q5" t="s">
        <v>51</v>
      </c>
      <c r="R5" t="str">
        <f>VLOOKUP($D5,[1]Rascunho!$E$2:$S$296,15,FALSE)</f>
        <v>Site não disponível</v>
      </c>
      <c r="S5" s="12">
        <v>1780362.81</v>
      </c>
      <c r="T5" s="12">
        <v>1700206.74</v>
      </c>
      <c r="U5" s="13" t="str">
        <f t="shared" si="1"/>
        <v>OK</v>
      </c>
      <c r="V5" s="14">
        <v>4160216.34</v>
      </c>
      <c r="W5" s="14">
        <v>0</v>
      </c>
      <c r="X5" t="s">
        <v>51</v>
      </c>
      <c r="Y5" s="14">
        <v>109410.01</v>
      </c>
      <c r="Z5" s="14">
        <v>0</v>
      </c>
      <c r="AA5" s="14">
        <v>3522.44</v>
      </c>
      <c r="AB5" s="14">
        <v>-2582761.7799999998</v>
      </c>
      <c r="AC5" s="13" t="str">
        <f t="shared" si="2"/>
        <v>OK</v>
      </c>
      <c r="AD5" s="14">
        <v>-196827352.06</v>
      </c>
      <c r="AE5" s="14">
        <v>0</v>
      </c>
      <c r="AF5" s="14">
        <v>0</v>
      </c>
      <c r="AG5" s="14">
        <v>1813690.95</v>
      </c>
      <c r="AH5" s="14">
        <v>1780362.81</v>
      </c>
      <c r="AI5" s="13" t="str">
        <f t="shared" si="3"/>
        <v>OK</v>
      </c>
      <c r="AJ5" s="14">
        <v>0</v>
      </c>
      <c r="AK5" s="14">
        <v>0</v>
      </c>
      <c r="AL5" s="14">
        <v>0</v>
      </c>
      <c r="AM5" s="14">
        <v>0</v>
      </c>
      <c r="AN5" s="14">
        <v>205677187</v>
      </c>
      <c r="AO5" s="14">
        <v>205677187</v>
      </c>
      <c r="AP5" s="15">
        <f t="shared" si="4"/>
        <v>0</v>
      </c>
      <c r="AQ5" s="14">
        <v>24365820.859999999</v>
      </c>
      <c r="AR5" s="14">
        <v>24365820.859999999</v>
      </c>
      <c r="AS5" s="14">
        <v>0</v>
      </c>
      <c r="AT5" s="14">
        <v>0</v>
      </c>
      <c r="AU5" s="16">
        <f t="shared" si="5"/>
        <v>0</v>
      </c>
      <c r="AV5" s="13" t="str">
        <f t="shared" si="6"/>
        <v>NÃO</v>
      </c>
      <c r="AW5" s="13" t="str">
        <f t="shared" si="7"/>
        <v>OK</v>
      </c>
      <c r="AX5" s="13" t="str">
        <f t="shared" si="8"/>
        <v>OK</v>
      </c>
    </row>
    <row r="6" spans="1:50" x14ac:dyDescent="0.3">
      <c r="A6" s="10" t="s">
        <v>42</v>
      </c>
      <c r="B6" t="s">
        <v>1381</v>
      </c>
      <c r="C6" t="s">
        <v>73</v>
      </c>
      <c r="D6" t="s">
        <v>74</v>
      </c>
      <c r="E6" t="s">
        <v>46</v>
      </c>
      <c r="F6" t="s">
        <v>75</v>
      </c>
      <c r="G6" t="s">
        <v>48</v>
      </c>
      <c r="H6" t="s">
        <v>76</v>
      </c>
      <c r="I6" t="s">
        <v>50</v>
      </c>
      <c r="J6" t="s">
        <v>51</v>
      </c>
      <c r="K6" t="s">
        <v>51</v>
      </c>
      <c r="L6" t="s">
        <v>52</v>
      </c>
      <c r="M6">
        <v>155</v>
      </c>
      <c r="N6" s="11" t="str">
        <f t="shared" si="0"/>
        <v>OK</v>
      </c>
      <c r="O6" t="s">
        <v>54</v>
      </c>
      <c r="P6" t="s">
        <v>54</v>
      </c>
      <c r="Q6" t="s">
        <v>51</v>
      </c>
      <c r="R6" t="str">
        <f>VLOOKUP($D6,[1]Rascunho!$E$2:$S$296,15,FALSE)</f>
        <v>Site não disponível</v>
      </c>
      <c r="S6" s="12">
        <v>234503.85</v>
      </c>
      <c r="T6" s="12">
        <v>11319407.789999999</v>
      </c>
      <c r="U6" s="13" t="str">
        <f t="shared" si="1"/>
        <v>OK</v>
      </c>
      <c r="V6" s="14">
        <v>11324967.789999999</v>
      </c>
      <c r="W6" s="14">
        <v>5560</v>
      </c>
      <c r="X6" t="s">
        <v>51</v>
      </c>
      <c r="Y6" s="14">
        <v>314098.74</v>
      </c>
      <c r="Z6" s="14">
        <v>0</v>
      </c>
      <c r="AA6" s="14">
        <v>695450.3</v>
      </c>
      <c r="AB6" s="14">
        <v>678045.71</v>
      </c>
      <c r="AC6" s="13" t="str">
        <f t="shared" si="2"/>
        <v>OK</v>
      </c>
      <c r="AD6" s="14">
        <v>8219090.9900000002</v>
      </c>
      <c r="AE6" s="14">
        <v>0</v>
      </c>
      <c r="AF6" s="14">
        <v>0</v>
      </c>
      <c r="AG6" s="14">
        <v>19543507.280000001</v>
      </c>
      <c r="AH6" s="14">
        <v>12683055.27</v>
      </c>
      <c r="AI6" s="13" t="str">
        <f t="shared" si="3"/>
        <v>OK</v>
      </c>
      <c r="AJ6" s="14">
        <v>127199.43</v>
      </c>
      <c r="AK6" s="14">
        <v>165994.44</v>
      </c>
      <c r="AL6" s="14">
        <v>0</v>
      </c>
      <c r="AM6" s="14">
        <v>0</v>
      </c>
      <c r="AN6" s="14">
        <v>727.45</v>
      </c>
      <c r="AO6" s="14">
        <v>727.45</v>
      </c>
      <c r="AP6" s="15">
        <f t="shared" si="4"/>
        <v>0</v>
      </c>
      <c r="AQ6" s="14">
        <v>8219090.9900000002</v>
      </c>
      <c r="AR6" s="14">
        <v>8219090.9900000002</v>
      </c>
      <c r="AS6" s="14">
        <v>0</v>
      </c>
      <c r="AT6" s="14">
        <v>0</v>
      </c>
      <c r="AU6" s="16">
        <f t="shared" si="5"/>
        <v>0</v>
      </c>
      <c r="AV6" s="13" t="str">
        <f t="shared" si="6"/>
        <v>NÃO</v>
      </c>
      <c r="AW6" s="13" t="str">
        <f t="shared" si="7"/>
        <v>OK</v>
      </c>
      <c r="AX6" s="13" t="str">
        <f t="shared" si="8"/>
        <v>OK</v>
      </c>
    </row>
    <row r="7" spans="1:50" x14ac:dyDescent="0.3">
      <c r="A7" s="10" t="s">
        <v>42</v>
      </c>
      <c r="B7" t="s">
        <v>1382</v>
      </c>
      <c r="C7" t="s">
        <v>79</v>
      </c>
      <c r="D7" t="s">
        <v>80</v>
      </c>
      <c r="E7" t="s">
        <v>46</v>
      </c>
      <c r="F7" t="s">
        <v>65</v>
      </c>
      <c r="G7" t="s">
        <v>60</v>
      </c>
      <c r="H7" t="s">
        <v>49</v>
      </c>
      <c r="I7" t="s">
        <v>50</v>
      </c>
      <c r="J7" t="s">
        <v>51</v>
      </c>
      <c r="K7" t="s">
        <v>51</v>
      </c>
      <c r="L7" t="s">
        <v>52</v>
      </c>
      <c r="M7">
        <v>13</v>
      </c>
      <c r="N7" s="11" t="str">
        <f t="shared" si="0"/>
        <v>OK</v>
      </c>
      <c r="O7" t="s">
        <v>54</v>
      </c>
      <c r="P7" t="s">
        <v>54</v>
      </c>
      <c r="Q7" t="s">
        <v>51</v>
      </c>
      <c r="R7" t="str">
        <f>VLOOKUP($D7,[1]Rascunho!$E$2:$S$296,15,FALSE)</f>
        <v>https://cdsabusiness.com.br/</v>
      </c>
      <c r="S7" s="12">
        <v>0</v>
      </c>
      <c r="T7" s="12">
        <v>5040297.7</v>
      </c>
      <c r="U7" s="13" t="str">
        <f t="shared" si="1"/>
        <v>OK</v>
      </c>
      <c r="V7" s="14">
        <v>5635702.0800000001</v>
      </c>
      <c r="W7" s="14">
        <v>0</v>
      </c>
      <c r="X7" t="s">
        <v>51</v>
      </c>
      <c r="Y7" s="14">
        <v>212535.83</v>
      </c>
      <c r="Z7" s="14">
        <v>0</v>
      </c>
      <c r="AA7" s="14">
        <v>0</v>
      </c>
      <c r="AB7" s="14">
        <v>4922.18</v>
      </c>
      <c r="AC7" s="13" t="str">
        <f t="shared" si="2"/>
        <v>OK</v>
      </c>
      <c r="AD7" s="14">
        <v>3003232750.5700002</v>
      </c>
      <c r="AE7" s="14">
        <v>0</v>
      </c>
      <c r="AF7" s="14">
        <v>0</v>
      </c>
      <c r="AG7" s="14">
        <v>575974.35</v>
      </c>
      <c r="AH7" s="14">
        <v>931581.94</v>
      </c>
      <c r="AI7" s="13" t="str">
        <f t="shared" si="3"/>
        <v>OK</v>
      </c>
      <c r="AJ7" s="14">
        <v>0</v>
      </c>
      <c r="AK7" s="14">
        <v>973545.94</v>
      </c>
      <c r="AL7" s="14">
        <v>1650000</v>
      </c>
      <c r="AM7" s="14">
        <v>2847100</v>
      </c>
      <c r="AN7" s="14">
        <v>3002509100</v>
      </c>
      <c r="AO7" s="14">
        <v>3005906200</v>
      </c>
      <c r="AP7" s="15">
        <f t="shared" si="4"/>
        <v>3397100</v>
      </c>
      <c r="AQ7" s="14">
        <v>3002509100</v>
      </c>
      <c r="AR7" s="14">
        <v>3005906200</v>
      </c>
      <c r="AS7" s="14">
        <v>2447100</v>
      </c>
      <c r="AT7" s="14">
        <v>3397100</v>
      </c>
      <c r="AU7" s="16">
        <f t="shared" si="5"/>
        <v>6794200</v>
      </c>
      <c r="AV7" s="13" t="str">
        <f t="shared" si="6"/>
        <v>SIM</v>
      </c>
      <c r="AW7" s="13" t="str">
        <f t="shared" si="7"/>
        <v>OK</v>
      </c>
      <c r="AX7" s="13" t="str">
        <f t="shared" si="8"/>
        <v>OK</v>
      </c>
    </row>
    <row r="8" spans="1:50" x14ac:dyDescent="0.3">
      <c r="A8" s="10" t="s">
        <v>42</v>
      </c>
      <c r="B8" t="s">
        <v>1383</v>
      </c>
      <c r="C8" t="s">
        <v>83</v>
      </c>
      <c r="D8" t="s">
        <v>84</v>
      </c>
      <c r="E8" t="s">
        <v>46</v>
      </c>
      <c r="F8" t="s">
        <v>75</v>
      </c>
      <c r="G8" t="s">
        <v>48</v>
      </c>
      <c r="H8" t="s">
        <v>49</v>
      </c>
      <c r="I8" t="s">
        <v>50</v>
      </c>
      <c r="J8" t="s">
        <v>51</v>
      </c>
      <c r="K8" t="s">
        <v>54</v>
      </c>
      <c r="L8" t="s">
        <v>52</v>
      </c>
      <c r="M8">
        <v>26</v>
      </c>
      <c r="N8" s="11" t="str">
        <f t="shared" si="0"/>
        <v>OK</v>
      </c>
      <c r="O8" t="s">
        <v>54</v>
      </c>
      <c r="P8" t="s">
        <v>54</v>
      </c>
      <c r="Q8" t="s">
        <v>51</v>
      </c>
      <c r="R8" t="str">
        <f>VLOOKUP($D8,[1]Rascunho!$E$2:$S$296,15,FALSE)</f>
        <v>Site não disponível</v>
      </c>
      <c r="S8" s="12">
        <v>2317412.3199999998</v>
      </c>
      <c r="T8" s="12">
        <v>1509614.66</v>
      </c>
      <c r="U8" s="13" t="str">
        <f t="shared" si="1"/>
        <v>OK</v>
      </c>
      <c r="V8" s="14">
        <v>2306816.3199999998</v>
      </c>
      <c r="W8" s="14">
        <v>0</v>
      </c>
      <c r="X8" t="s">
        <v>51</v>
      </c>
      <c r="Y8" s="14">
        <v>177989.82</v>
      </c>
      <c r="Z8" s="14">
        <v>0</v>
      </c>
      <c r="AA8" s="14">
        <v>0</v>
      </c>
      <c r="AB8" s="14">
        <v>0</v>
      </c>
      <c r="AC8" s="13" t="str">
        <f t="shared" si="2"/>
        <v>OK</v>
      </c>
      <c r="AD8" s="14">
        <v>0</v>
      </c>
      <c r="AE8" s="14">
        <v>0</v>
      </c>
      <c r="AF8" s="14">
        <v>0</v>
      </c>
      <c r="AG8" s="14">
        <v>217780543</v>
      </c>
      <c r="AH8" s="14">
        <v>2177805.4300000002</v>
      </c>
      <c r="AI8" s="13" t="str">
        <f t="shared" si="3"/>
        <v>OK</v>
      </c>
      <c r="AJ8" s="14">
        <v>180961.09</v>
      </c>
      <c r="AK8" s="14">
        <v>191808.68</v>
      </c>
      <c r="AL8" s="14">
        <v>0</v>
      </c>
      <c r="AM8" s="14">
        <v>0</v>
      </c>
      <c r="AN8" s="14">
        <v>0</v>
      </c>
      <c r="AO8" s="14">
        <v>0</v>
      </c>
      <c r="AP8" s="15">
        <f t="shared" si="4"/>
        <v>0</v>
      </c>
      <c r="AQ8" s="14">
        <v>416.44</v>
      </c>
      <c r="AR8" s="14">
        <v>416.44</v>
      </c>
      <c r="AS8" s="14">
        <v>0</v>
      </c>
      <c r="AT8" s="14">
        <v>0</v>
      </c>
      <c r="AU8" s="16">
        <f t="shared" si="5"/>
        <v>0</v>
      </c>
      <c r="AV8" s="13" t="str">
        <f t="shared" si="6"/>
        <v>NÃO</v>
      </c>
      <c r="AW8" s="13" t="str">
        <f t="shared" si="7"/>
        <v>OK</v>
      </c>
      <c r="AX8" s="13" t="str">
        <f t="shared" si="8"/>
        <v>OK</v>
      </c>
    </row>
    <row r="9" spans="1:50" x14ac:dyDescent="0.3">
      <c r="A9" s="10" t="s">
        <v>42</v>
      </c>
      <c r="B9" t="s">
        <v>1384</v>
      </c>
      <c r="C9" t="s">
        <v>87</v>
      </c>
      <c r="D9" t="s">
        <v>88</v>
      </c>
      <c r="E9" t="s">
        <v>46</v>
      </c>
      <c r="F9" t="s">
        <v>65</v>
      </c>
      <c r="G9" t="s">
        <v>48</v>
      </c>
      <c r="H9" t="s">
        <v>76</v>
      </c>
      <c r="I9" t="s">
        <v>50</v>
      </c>
      <c r="J9" t="s">
        <v>51</v>
      </c>
      <c r="K9" t="s">
        <v>54</v>
      </c>
      <c r="L9" t="s">
        <v>52</v>
      </c>
      <c r="M9">
        <v>50</v>
      </c>
      <c r="N9" s="11" t="str">
        <f t="shared" si="0"/>
        <v>OK</v>
      </c>
      <c r="O9" t="s">
        <v>54</v>
      </c>
      <c r="P9" t="s">
        <v>54</v>
      </c>
      <c r="Q9" t="s">
        <v>51</v>
      </c>
      <c r="R9" t="str">
        <f>VLOOKUP($D9,[1]Rascunho!$E$2:$S$296,15,FALSE)</f>
        <v>Site não disponível</v>
      </c>
      <c r="S9" s="12">
        <v>4619185.93</v>
      </c>
      <c r="T9" s="12">
        <v>3751670.76</v>
      </c>
      <c r="U9" s="13" t="str">
        <f t="shared" si="1"/>
        <v>OK</v>
      </c>
      <c r="V9" s="14">
        <v>4587139.1500000004</v>
      </c>
      <c r="W9" s="14">
        <v>0</v>
      </c>
      <c r="X9" t="s">
        <v>51</v>
      </c>
      <c r="Y9" s="14">
        <v>192198.26</v>
      </c>
      <c r="Z9" s="14">
        <v>0</v>
      </c>
      <c r="AA9" s="14">
        <v>5058.8599999999997</v>
      </c>
      <c r="AB9" s="14">
        <v>0</v>
      </c>
      <c r="AC9" s="13" t="str">
        <f t="shared" si="2"/>
        <v>OK</v>
      </c>
      <c r="AD9" s="14">
        <v>0</v>
      </c>
      <c r="AE9" s="14">
        <v>0</v>
      </c>
      <c r="AF9" s="14">
        <v>0</v>
      </c>
      <c r="AG9" s="14">
        <v>4473123.83</v>
      </c>
      <c r="AH9" s="14">
        <v>4619185.93</v>
      </c>
      <c r="AI9" s="13" t="str">
        <f t="shared" si="3"/>
        <v>OK</v>
      </c>
      <c r="AJ9" s="14">
        <v>788077.75</v>
      </c>
      <c r="AK9" s="14">
        <v>835468.39</v>
      </c>
      <c r="AL9" s="14">
        <v>0</v>
      </c>
      <c r="AM9" s="14">
        <v>0</v>
      </c>
      <c r="AN9" s="14">
        <v>0</v>
      </c>
      <c r="AO9" s="14">
        <v>0</v>
      </c>
      <c r="AP9" s="15">
        <f t="shared" si="4"/>
        <v>0</v>
      </c>
      <c r="AQ9" s="14">
        <v>3791691</v>
      </c>
      <c r="AR9" s="14">
        <v>3791691</v>
      </c>
      <c r="AS9" s="14">
        <v>0</v>
      </c>
      <c r="AT9" s="14">
        <v>0</v>
      </c>
      <c r="AU9" s="16">
        <f t="shared" si="5"/>
        <v>0</v>
      </c>
      <c r="AV9" s="13" t="str">
        <f t="shared" si="6"/>
        <v>NÃO</v>
      </c>
      <c r="AW9" s="13" t="str">
        <f t="shared" si="7"/>
        <v>OK</v>
      </c>
      <c r="AX9" s="13" t="str">
        <f t="shared" si="8"/>
        <v>OK</v>
      </c>
    </row>
    <row r="10" spans="1:50" x14ac:dyDescent="0.3">
      <c r="A10" s="10" t="s">
        <v>42</v>
      </c>
      <c r="B10" t="s">
        <v>1385</v>
      </c>
      <c r="C10" t="s">
        <v>1386</v>
      </c>
      <c r="D10" t="s">
        <v>92</v>
      </c>
      <c r="E10" t="s">
        <v>46</v>
      </c>
      <c r="F10" t="s">
        <v>93</v>
      </c>
      <c r="G10" t="s">
        <v>60</v>
      </c>
      <c r="H10" t="s">
        <v>76</v>
      </c>
      <c r="I10" t="s">
        <v>50</v>
      </c>
      <c r="J10" t="s">
        <v>51</v>
      </c>
      <c r="K10" t="s">
        <v>51</v>
      </c>
      <c r="L10" t="s">
        <v>52</v>
      </c>
      <c r="M10">
        <v>61</v>
      </c>
      <c r="N10" s="11" t="str">
        <f t="shared" si="0"/>
        <v>OK</v>
      </c>
      <c r="O10" t="s">
        <v>54</v>
      </c>
      <c r="P10" t="s">
        <v>54</v>
      </c>
      <c r="Q10" t="s">
        <v>51</v>
      </c>
      <c r="R10" t="str">
        <f>VLOOKUP($D10,[1]Rascunho!$E$2:$S$296,15,FALSE)</f>
        <v>Site não disponível</v>
      </c>
      <c r="S10" s="12">
        <v>7431327.0999999996</v>
      </c>
      <c r="T10" s="12">
        <v>8151816.8799999999</v>
      </c>
      <c r="U10" s="13" t="str">
        <f t="shared" si="1"/>
        <v>OK</v>
      </c>
      <c r="V10" s="14">
        <v>8445385.8800000008</v>
      </c>
      <c r="W10" s="14">
        <v>293569</v>
      </c>
      <c r="X10" t="s">
        <v>51</v>
      </c>
      <c r="Y10" s="14">
        <v>270124.92</v>
      </c>
      <c r="Z10" s="14">
        <v>0</v>
      </c>
      <c r="AA10" s="14">
        <v>0</v>
      </c>
      <c r="AB10" s="14">
        <v>3953141.14</v>
      </c>
      <c r="AC10" s="13" t="str">
        <f t="shared" si="2"/>
        <v>OK</v>
      </c>
      <c r="AD10" s="14">
        <v>79307669.340000004</v>
      </c>
      <c r="AE10" s="14">
        <v>0</v>
      </c>
      <c r="AF10" s="14">
        <v>0</v>
      </c>
      <c r="AG10" s="14">
        <v>6949505.2199999997</v>
      </c>
      <c r="AH10" s="14">
        <v>6625065.4100000001</v>
      </c>
      <c r="AI10" s="13" t="str">
        <f t="shared" si="3"/>
        <v>OK</v>
      </c>
      <c r="AJ10" s="14">
        <v>904786.18</v>
      </c>
      <c r="AK10" s="14">
        <v>1463565.16</v>
      </c>
      <c r="AL10" s="14">
        <v>0</v>
      </c>
      <c r="AM10" s="14">
        <v>0</v>
      </c>
      <c r="AN10" s="14">
        <v>0.99</v>
      </c>
      <c r="AO10" s="14">
        <v>0.99</v>
      </c>
      <c r="AP10" s="15">
        <f t="shared" si="4"/>
        <v>0</v>
      </c>
      <c r="AQ10" s="14">
        <v>62840607.310000002</v>
      </c>
      <c r="AR10" s="14">
        <v>62840607.310000002</v>
      </c>
      <c r="AS10" s="14">
        <v>0</v>
      </c>
      <c r="AT10" s="14">
        <v>0</v>
      </c>
      <c r="AU10" s="16">
        <f t="shared" si="5"/>
        <v>0</v>
      </c>
      <c r="AV10" s="13" t="str">
        <f t="shared" si="6"/>
        <v>NÃO</v>
      </c>
      <c r="AW10" s="13" t="str">
        <f t="shared" si="7"/>
        <v>OK</v>
      </c>
      <c r="AX10" s="13" t="str">
        <f t="shared" si="8"/>
        <v>OK</v>
      </c>
    </row>
    <row r="11" spans="1:50" x14ac:dyDescent="0.3">
      <c r="A11" s="10" t="s">
        <v>42</v>
      </c>
      <c r="B11" t="s">
        <v>1387</v>
      </c>
      <c r="C11" t="s">
        <v>96</v>
      </c>
      <c r="D11" t="s">
        <v>97</v>
      </c>
      <c r="E11" t="s">
        <v>70</v>
      </c>
      <c r="F11" t="s">
        <v>59</v>
      </c>
      <c r="G11" t="s">
        <v>48</v>
      </c>
      <c r="H11" t="s">
        <v>76</v>
      </c>
      <c r="I11" t="s">
        <v>50</v>
      </c>
      <c r="J11" t="s">
        <v>51</v>
      </c>
      <c r="K11" t="s">
        <v>54</v>
      </c>
      <c r="L11" t="s">
        <v>52</v>
      </c>
      <c r="M11">
        <v>17</v>
      </c>
      <c r="N11" s="11" t="str">
        <f t="shared" si="0"/>
        <v>OK</v>
      </c>
      <c r="O11" t="s">
        <v>54</v>
      </c>
      <c r="P11" t="s">
        <v>54</v>
      </c>
      <c r="Q11" t="s">
        <v>51</v>
      </c>
      <c r="R11" t="str">
        <f>VLOOKUP($D11,[1]Rascunho!$E$2:$S$296,15,FALSE)</f>
        <v>Site não disponível</v>
      </c>
      <c r="S11" s="12">
        <v>1397964.12</v>
      </c>
      <c r="T11" s="12">
        <v>9277.75</v>
      </c>
      <c r="U11" s="13" t="str">
        <f t="shared" si="1"/>
        <v>OK</v>
      </c>
      <c r="V11" s="14">
        <v>9277.75</v>
      </c>
      <c r="W11" s="14">
        <v>0</v>
      </c>
      <c r="X11" t="s">
        <v>51</v>
      </c>
      <c r="Y11" s="14">
        <v>2850</v>
      </c>
      <c r="Z11" s="14">
        <v>0</v>
      </c>
      <c r="AA11" s="14">
        <v>0</v>
      </c>
      <c r="AB11" s="14">
        <v>14432.11</v>
      </c>
      <c r="AC11" s="13" t="str">
        <f t="shared" si="2"/>
        <v>OK</v>
      </c>
      <c r="AD11" s="14">
        <v>5822221</v>
      </c>
      <c r="AE11" s="14">
        <v>0</v>
      </c>
      <c r="AF11" s="14">
        <v>0</v>
      </c>
      <c r="AG11" s="14">
        <v>1415412.28</v>
      </c>
      <c r="AH11" s="14">
        <v>1397964.12</v>
      </c>
      <c r="AI11" s="13" t="str">
        <f t="shared" si="3"/>
        <v>OK</v>
      </c>
      <c r="AJ11" s="14">
        <v>0</v>
      </c>
      <c r="AK11" s="14">
        <v>0</v>
      </c>
      <c r="AL11" s="14">
        <v>0</v>
      </c>
      <c r="AM11" s="14">
        <v>0</v>
      </c>
      <c r="AN11" s="14">
        <v>3958917.22</v>
      </c>
      <c r="AO11" s="14">
        <v>3958917.22</v>
      </c>
      <c r="AP11" s="15">
        <f t="shared" si="4"/>
        <v>0</v>
      </c>
      <c r="AQ11" s="14">
        <v>3598917.22</v>
      </c>
      <c r="AR11" s="14">
        <v>3598917.22</v>
      </c>
      <c r="AS11" s="14">
        <v>0</v>
      </c>
      <c r="AT11" s="14">
        <v>0</v>
      </c>
      <c r="AU11" s="16">
        <f t="shared" si="5"/>
        <v>0</v>
      </c>
      <c r="AV11" s="13" t="str">
        <f t="shared" si="6"/>
        <v>NÃO</v>
      </c>
      <c r="AW11" s="13" t="str">
        <f t="shared" si="7"/>
        <v>OK</v>
      </c>
      <c r="AX11" s="13" t="str">
        <f t="shared" si="8"/>
        <v>OK</v>
      </c>
    </row>
    <row r="12" spans="1:50" x14ac:dyDescent="0.3">
      <c r="A12" s="10" t="s">
        <v>42</v>
      </c>
      <c r="B12" t="s">
        <v>1388</v>
      </c>
      <c r="C12" t="s">
        <v>1389</v>
      </c>
      <c r="D12" t="s">
        <v>101</v>
      </c>
      <c r="E12" t="s">
        <v>46</v>
      </c>
      <c r="F12" t="s">
        <v>102</v>
      </c>
      <c r="G12" t="s">
        <v>48</v>
      </c>
      <c r="H12" t="s">
        <v>76</v>
      </c>
      <c r="I12" t="s">
        <v>50</v>
      </c>
      <c r="J12" t="s">
        <v>51</v>
      </c>
      <c r="K12" t="s">
        <v>51</v>
      </c>
      <c r="L12" t="s">
        <v>52</v>
      </c>
      <c r="M12">
        <v>154</v>
      </c>
      <c r="N12" s="11" t="str">
        <f t="shared" si="0"/>
        <v>OK</v>
      </c>
      <c r="O12" t="s">
        <v>54</v>
      </c>
      <c r="P12" t="s">
        <v>54</v>
      </c>
      <c r="Q12" t="s">
        <v>51</v>
      </c>
      <c r="R12" t="str">
        <f>VLOOKUP($D12,[1]Rascunho!$E$2:$S$296,15,FALSE)</f>
        <v>Site não disponível</v>
      </c>
      <c r="S12" s="12">
        <v>35530.129999999997</v>
      </c>
      <c r="T12" s="12">
        <v>17785540.09</v>
      </c>
      <c r="U12" s="13" t="str">
        <f t="shared" si="1"/>
        <v>OK</v>
      </c>
      <c r="V12" s="14">
        <v>22233477.93</v>
      </c>
      <c r="W12" s="14">
        <v>115200</v>
      </c>
      <c r="X12" t="s">
        <v>51</v>
      </c>
      <c r="Y12" s="14">
        <v>196416.99</v>
      </c>
      <c r="Z12" s="14">
        <v>0</v>
      </c>
      <c r="AA12" s="14">
        <v>2520</v>
      </c>
      <c r="AB12" s="14">
        <v>167735.67999999999</v>
      </c>
      <c r="AC12" s="13" t="str">
        <f t="shared" si="2"/>
        <v>OK</v>
      </c>
      <c r="AD12" s="14">
        <v>-8249.7900000000009</v>
      </c>
      <c r="AE12" s="14">
        <v>0</v>
      </c>
      <c r="AF12" s="14">
        <v>0</v>
      </c>
      <c r="AG12" s="14">
        <v>21980155.84</v>
      </c>
      <c r="AH12" s="14">
        <v>21588474.27</v>
      </c>
      <c r="AI12" s="13" t="str">
        <f t="shared" si="3"/>
        <v>OK</v>
      </c>
      <c r="AJ12" s="14">
        <v>2413293.17</v>
      </c>
      <c r="AK12" s="14">
        <v>2557739.2000000002</v>
      </c>
      <c r="AL12" s="14">
        <v>0</v>
      </c>
      <c r="AM12" s="14">
        <v>0</v>
      </c>
      <c r="AN12" s="14">
        <v>0</v>
      </c>
      <c r="AO12" s="14">
        <v>0</v>
      </c>
      <c r="AP12" s="15">
        <f t="shared" si="4"/>
        <v>0</v>
      </c>
      <c r="AQ12" s="14">
        <v>0</v>
      </c>
      <c r="AR12" s="14">
        <v>0</v>
      </c>
      <c r="AS12" s="14">
        <v>0</v>
      </c>
      <c r="AT12" s="14">
        <v>0</v>
      </c>
      <c r="AU12" s="16">
        <f t="shared" si="5"/>
        <v>0</v>
      </c>
      <c r="AV12" s="13" t="str">
        <f t="shared" si="6"/>
        <v>NÃO</v>
      </c>
      <c r="AW12" s="13" t="str">
        <f t="shared" si="7"/>
        <v>OK</v>
      </c>
      <c r="AX12" s="13" t="str">
        <f t="shared" si="8"/>
        <v>OK</v>
      </c>
    </row>
    <row r="13" spans="1:50" x14ac:dyDescent="0.3">
      <c r="A13" s="10" t="s">
        <v>42</v>
      </c>
      <c r="B13" t="s">
        <v>1390</v>
      </c>
      <c r="C13" t="s">
        <v>105</v>
      </c>
      <c r="D13" t="s">
        <v>106</v>
      </c>
      <c r="E13" t="s">
        <v>46</v>
      </c>
      <c r="F13" t="s">
        <v>107</v>
      </c>
      <c r="G13" t="s">
        <v>60</v>
      </c>
      <c r="H13" t="s">
        <v>76</v>
      </c>
      <c r="I13" t="s">
        <v>50</v>
      </c>
      <c r="J13" t="s">
        <v>51</v>
      </c>
      <c r="K13" t="s">
        <v>51</v>
      </c>
      <c r="L13" t="s">
        <v>52</v>
      </c>
      <c r="M13">
        <v>168</v>
      </c>
      <c r="N13" s="11" t="str">
        <f t="shared" si="0"/>
        <v>OK</v>
      </c>
      <c r="O13" t="s">
        <v>54</v>
      </c>
      <c r="P13" t="s">
        <v>54</v>
      </c>
      <c r="Q13" t="s">
        <v>51</v>
      </c>
      <c r="R13" t="str">
        <f>VLOOKUP($D13,[1]Rascunho!$E$2:$S$296,15,FALSE)</f>
        <v>https://saneacre.ac.gov.br/relatorios-anuais-de-gestao/</v>
      </c>
      <c r="S13" s="12">
        <v>0</v>
      </c>
      <c r="T13" s="12">
        <v>22413904.379999999</v>
      </c>
      <c r="U13" s="13" t="str">
        <f t="shared" si="1"/>
        <v>OK</v>
      </c>
      <c r="V13" s="14">
        <v>22413904.379999999</v>
      </c>
      <c r="W13" s="14">
        <v>0</v>
      </c>
      <c r="X13" t="s">
        <v>51</v>
      </c>
      <c r="Y13" s="14">
        <v>333859.34000000003</v>
      </c>
      <c r="Z13" s="14">
        <v>0</v>
      </c>
      <c r="AA13" s="14">
        <v>0</v>
      </c>
      <c r="AB13" s="14">
        <v>580880.03</v>
      </c>
      <c r="AC13" s="13" t="str">
        <f t="shared" si="2"/>
        <v>OK</v>
      </c>
      <c r="AD13" s="14">
        <v>19922996.469999999</v>
      </c>
      <c r="AE13" s="14">
        <v>0</v>
      </c>
      <c r="AF13" s="14">
        <v>0</v>
      </c>
      <c r="AG13" s="14">
        <v>3135294.83</v>
      </c>
      <c r="AH13" s="14">
        <v>3364776.23</v>
      </c>
      <c r="AI13" s="13" t="str">
        <f t="shared" si="3"/>
        <v>OK</v>
      </c>
      <c r="AJ13" s="14">
        <v>3119782.74</v>
      </c>
      <c r="AK13" s="14">
        <v>3348853.77</v>
      </c>
      <c r="AL13" s="14">
        <v>0</v>
      </c>
      <c r="AM13" s="14">
        <v>0</v>
      </c>
      <c r="AN13" s="14">
        <v>0</v>
      </c>
      <c r="AO13" s="14">
        <v>0</v>
      </c>
      <c r="AP13" s="15">
        <f t="shared" si="4"/>
        <v>0</v>
      </c>
      <c r="AQ13" s="14">
        <v>0</v>
      </c>
      <c r="AR13" s="14">
        <v>0</v>
      </c>
      <c r="AS13" s="14">
        <v>0</v>
      </c>
      <c r="AT13" s="14">
        <v>0</v>
      </c>
      <c r="AU13" s="16">
        <f t="shared" si="5"/>
        <v>0</v>
      </c>
      <c r="AV13" s="13" t="str">
        <f t="shared" si="6"/>
        <v>NÃO</v>
      </c>
      <c r="AW13" s="13" t="str">
        <f t="shared" si="7"/>
        <v>OK</v>
      </c>
      <c r="AX13" s="13" t="str">
        <f t="shared" si="8"/>
        <v>OK</v>
      </c>
    </row>
    <row r="14" spans="1:50" x14ac:dyDescent="0.3">
      <c r="A14" s="10" t="s">
        <v>109</v>
      </c>
      <c r="B14" t="s">
        <v>1391</v>
      </c>
      <c r="C14" t="s">
        <v>111</v>
      </c>
      <c r="D14" t="s">
        <v>112</v>
      </c>
      <c r="E14" t="s">
        <v>46</v>
      </c>
      <c r="F14" t="s">
        <v>71</v>
      </c>
      <c r="G14" t="s">
        <v>60</v>
      </c>
      <c r="H14" t="s">
        <v>49</v>
      </c>
      <c r="I14" t="s">
        <v>50</v>
      </c>
      <c r="J14" t="s">
        <v>51</v>
      </c>
      <c r="K14" t="s">
        <v>51</v>
      </c>
      <c r="L14" t="s">
        <v>52</v>
      </c>
      <c r="M14">
        <v>57</v>
      </c>
      <c r="N14" s="11" t="str">
        <f t="shared" si="0"/>
        <v>OK</v>
      </c>
      <c r="O14" t="s">
        <v>54</v>
      </c>
      <c r="P14" t="s">
        <v>54</v>
      </c>
      <c r="Q14" t="s">
        <v>51</v>
      </c>
      <c r="R14" t="str">
        <f>VLOOKUP($D14,[1]Rascunho!$E$2:$S$296,15,FALSE)</f>
        <v>https://www.desenvolve-al.com.br/institucional/relatorios-da-administracao/</v>
      </c>
      <c r="S14" s="12">
        <v>-294672.5</v>
      </c>
      <c r="T14" s="12">
        <v>7086000</v>
      </c>
      <c r="U14" s="13" t="str">
        <f t="shared" si="1"/>
        <v>OK</v>
      </c>
      <c r="V14" s="14">
        <v>21326000</v>
      </c>
      <c r="W14" s="14">
        <v>0</v>
      </c>
      <c r="X14" t="s">
        <v>51</v>
      </c>
      <c r="Y14" s="14">
        <v>113893.13</v>
      </c>
      <c r="Z14" s="14">
        <v>0</v>
      </c>
      <c r="AA14" s="14">
        <v>180000</v>
      </c>
      <c r="AB14" s="14">
        <v>-6442000</v>
      </c>
      <c r="AC14" s="13" t="str">
        <f t="shared" si="2"/>
        <v>OK</v>
      </c>
      <c r="AD14" s="14">
        <v>52522631.07</v>
      </c>
      <c r="AE14" s="14">
        <v>0</v>
      </c>
      <c r="AF14" s="14">
        <v>0</v>
      </c>
      <c r="AG14" s="14">
        <v>1022875.58</v>
      </c>
      <c r="AH14" s="14">
        <v>821561.3</v>
      </c>
      <c r="AI14" s="13" t="str">
        <f t="shared" si="3"/>
        <v>OK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5">
        <f t="shared" si="4"/>
        <v>0</v>
      </c>
      <c r="AQ14" s="14">
        <v>80413900</v>
      </c>
      <c r="AR14" s="14">
        <v>80413900</v>
      </c>
      <c r="AS14" s="14">
        <v>0</v>
      </c>
      <c r="AT14" s="14">
        <v>0</v>
      </c>
      <c r="AU14" s="16">
        <f t="shared" si="5"/>
        <v>0</v>
      </c>
      <c r="AV14" s="13" t="str">
        <f t="shared" si="6"/>
        <v>NÃO</v>
      </c>
      <c r="AW14" s="13" t="str">
        <f t="shared" si="7"/>
        <v>OK</v>
      </c>
      <c r="AX14" s="13" t="str">
        <f t="shared" si="8"/>
        <v>OK</v>
      </c>
    </row>
    <row r="15" spans="1:50" x14ac:dyDescent="0.3">
      <c r="A15" s="10" t="s">
        <v>109</v>
      </c>
      <c r="B15" t="s">
        <v>1392</v>
      </c>
      <c r="C15" t="s">
        <v>1393</v>
      </c>
      <c r="D15" t="s">
        <v>132</v>
      </c>
      <c r="E15" t="s">
        <v>46</v>
      </c>
      <c r="F15" t="s">
        <v>133</v>
      </c>
      <c r="G15" t="s">
        <v>48</v>
      </c>
      <c r="H15" t="s">
        <v>49</v>
      </c>
      <c r="I15" t="s">
        <v>50</v>
      </c>
      <c r="J15" t="s">
        <v>51</v>
      </c>
      <c r="K15" t="s">
        <v>51</v>
      </c>
      <c r="L15" t="s">
        <v>134</v>
      </c>
      <c r="M15">
        <v>16</v>
      </c>
      <c r="N15" s="11" t="str">
        <f t="shared" si="0"/>
        <v>OK</v>
      </c>
      <c r="O15" t="s">
        <v>54</v>
      </c>
      <c r="P15" t="s">
        <v>54</v>
      </c>
      <c r="Q15" t="s">
        <v>51</v>
      </c>
      <c r="R15" t="str">
        <f>VLOOKUP($D15,[1]Rascunho!$E$2:$S$296,15,FALSE)</f>
        <v>https://www.alagoasativos.com.br/governanca/politicas/</v>
      </c>
      <c r="S15" s="12">
        <v>4761617.04</v>
      </c>
      <c r="T15" s="12">
        <v>2103280</v>
      </c>
      <c r="U15" s="13" t="str">
        <f t="shared" si="1"/>
        <v>OK</v>
      </c>
      <c r="V15" s="14">
        <v>7304186.1100000003</v>
      </c>
      <c r="W15" s="14">
        <v>0</v>
      </c>
      <c r="X15" t="s">
        <v>51</v>
      </c>
      <c r="Y15" s="14">
        <v>355778.52</v>
      </c>
      <c r="Z15" s="14">
        <v>0</v>
      </c>
      <c r="AA15" s="14">
        <v>9408</v>
      </c>
      <c r="AB15" s="14">
        <v>-97606.31</v>
      </c>
      <c r="AC15" s="13" t="str">
        <f t="shared" si="2"/>
        <v>OK</v>
      </c>
      <c r="AD15" s="14">
        <v>706636</v>
      </c>
      <c r="AE15" s="14">
        <v>0</v>
      </c>
      <c r="AF15" s="14">
        <v>0</v>
      </c>
      <c r="AG15" s="14">
        <v>0</v>
      </c>
      <c r="AH15" s="14">
        <v>0</v>
      </c>
      <c r="AI15" s="13" t="str">
        <f t="shared" si="3"/>
        <v>OK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10000000</v>
      </c>
      <c r="AP15" s="15">
        <f t="shared" si="4"/>
        <v>10000000</v>
      </c>
      <c r="AQ15" s="14">
        <v>0</v>
      </c>
      <c r="AR15" s="14">
        <v>0</v>
      </c>
      <c r="AS15" s="14">
        <v>0</v>
      </c>
      <c r="AT15" s="14">
        <v>0</v>
      </c>
      <c r="AU15" s="16">
        <f t="shared" si="5"/>
        <v>0</v>
      </c>
      <c r="AV15" s="13" t="str">
        <f t="shared" si="6"/>
        <v>SIM</v>
      </c>
      <c r="AW15" s="13" t="str">
        <f t="shared" si="7"/>
        <v>OK</v>
      </c>
      <c r="AX15" s="13" t="str">
        <f t="shared" si="8"/>
        <v>OK</v>
      </c>
    </row>
    <row r="16" spans="1:50" x14ac:dyDescent="0.3">
      <c r="A16" s="10" t="s">
        <v>109</v>
      </c>
      <c r="B16" t="s">
        <v>1394</v>
      </c>
      <c r="C16" t="s">
        <v>137</v>
      </c>
      <c r="D16" t="s">
        <v>138</v>
      </c>
      <c r="E16" t="s">
        <v>46</v>
      </c>
      <c r="F16" t="s">
        <v>139</v>
      </c>
      <c r="G16" t="s">
        <v>60</v>
      </c>
      <c r="H16" t="s">
        <v>49</v>
      </c>
      <c r="I16" t="s">
        <v>50</v>
      </c>
      <c r="J16" t="s">
        <v>51</v>
      </c>
      <c r="K16" t="s">
        <v>51</v>
      </c>
      <c r="L16" t="s">
        <v>134</v>
      </c>
      <c r="M16">
        <v>142</v>
      </c>
      <c r="N16" s="11" t="str">
        <f t="shared" si="0"/>
        <v>OK</v>
      </c>
      <c r="O16" t="s">
        <v>54</v>
      </c>
      <c r="P16" t="s">
        <v>54</v>
      </c>
      <c r="Q16" t="s">
        <v>54</v>
      </c>
      <c r="R16" t="str">
        <f>VLOOKUP($D16,[1]Rascunho!$E$2:$S$296,15,FALSE)</f>
        <v>https://governanca.algas.com.br/carta-anual-de-politicas-publicas-e-governanca-corporativa</v>
      </c>
      <c r="S16" s="12">
        <v>517670573.58999997</v>
      </c>
      <c r="T16" s="12">
        <v>27451630.030000001</v>
      </c>
      <c r="U16" s="13" t="str">
        <f t="shared" si="1"/>
        <v>OK</v>
      </c>
      <c r="V16" s="14">
        <v>4747415976.5100002</v>
      </c>
      <c r="W16" s="14">
        <v>30295852.309999999</v>
      </c>
      <c r="X16" t="s">
        <v>54</v>
      </c>
      <c r="Y16" s="14">
        <v>384882.28</v>
      </c>
      <c r="Z16" s="14">
        <v>43526.02</v>
      </c>
      <c r="AA16" s="14">
        <v>0</v>
      </c>
      <c r="AB16" s="14">
        <v>47641826.43</v>
      </c>
      <c r="AC16" s="13" t="str">
        <f t="shared" si="2"/>
        <v>OK</v>
      </c>
      <c r="AD16" s="14">
        <v>135101145.22999999</v>
      </c>
      <c r="AE16" s="14">
        <v>0</v>
      </c>
      <c r="AF16" s="14">
        <v>11328802.35</v>
      </c>
      <c r="AG16" s="14">
        <v>0</v>
      </c>
      <c r="AH16" s="14">
        <v>0</v>
      </c>
      <c r="AI16" s="13" t="str">
        <f t="shared" si="3"/>
        <v>OK</v>
      </c>
      <c r="AJ16" s="14">
        <v>0</v>
      </c>
      <c r="AK16" s="14">
        <v>0</v>
      </c>
      <c r="AL16" s="14">
        <v>0</v>
      </c>
      <c r="AM16" s="14">
        <v>0</v>
      </c>
      <c r="AN16" s="14">
        <v>2356458.44</v>
      </c>
      <c r="AO16" s="14">
        <v>2873892.97</v>
      </c>
      <c r="AP16" s="15">
        <f t="shared" si="4"/>
        <v>517434.53000000026</v>
      </c>
      <c r="AQ16" s="14">
        <v>19455893.149999999</v>
      </c>
      <c r="AR16" s="14">
        <v>23729600.300000001</v>
      </c>
      <c r="AS16" s="14">
        <v>0</v>
      </c>
      <c r="AT16" s="14">
        <v>0</v>
      </c>
      <c r="AU16" s="16">
        <f t="shared" si="5"/>
        <v>4273707.1500000022</v>
      </c>
      <c r="AV16" s="13" t="str">
        <f t="shared" si="6"/>
        <v>SIM</v>
      </c>
      <c r="AW16" s="13" t="str">
        <f t="shared" si="7"/>
        <v>OK</v>
      </c>
      <c r="AX16" s="13" t="str">
        <f t="shared" si="8"/>
        <v>OK</v>
      </c>
    </row>
    <row r="17" spans="1:50" x14ac:dyDescent="0.3">
      <c r="A17" s="10" t="s">
        <v>109</v>
      </c>
      <c r="B17" t="s">
        <v>114</v>
      </c>
      <c r="C17" t="s">
        <v>115</v>
      </c>
      <c r="D17" t="s">
        <v>116</v>
      </c>
      <c r="E17" t="s">
        <v>70</v>
      </c>
      <c r="F17" t="s">
        <v>133</v>
      </c>
      <c r="G17" t="s">
        <v>60</v>
      </c>
      <c r="H17" t="s">
        <v>49</v>
      </c>
      <c r="I17" t="s">
        <v>50</v>
      </c>
      <c r="J17" t="s">
        <v>51</v>
      </c>
      <c r="K17" t="s">
        <v>51</v>
      </c>
      <c r="L17" t="s">
        <v>52</v>
      </c>
      <c r="M17">
        <v>1</v>
      </c>
      <c r="N17" s="11" t="str">
        <f t="shared" si="0"/>
        <v>OK</v>
      </c>
      <c r="O17" t="s">
        <v>51</v>
      </c>
      <c r="P17" t="s">
        <v>54</v>
      </c>
      <c r="Q17" t="s">
        <v>51</v>
      </c>
      <c r="R17" t="str">
        <f>VLOOKUP($D17,[1]Rascunho!$E$2:$S$296,15,FALSE)</f>
        <v>Site não disponível</v>
      </c>
      <c r="S17" s="12">
        <v>586131.81999999995</v>
      </c>
      <c r="T17" s="12">
        <v>28072.81</v>
      </c>
      <c r="U17" s="13" t="str">
        <f t="shared" si="1"/>
        <v>OK</v>
      </c>
      <c r="V17" s="14">
        <v>28072.81</v>
      </c>
      <c r="W17" s="14">
        <v>0</v>
      </c>
      <c r="X17" t="s">
        <v>51</v>
      </c>
      <c r="Y17" s="14">
        <v>112291.23</v>
      </c>
      <c r="Z17" s="14">
        <v>0</v>
      </c>
      <c r="AA17" s="14">
        <v>0</v>
      </c>
      <c r="AB17" s="14">
        <v>0</v>
      </c>
      <c r="AC17" s="13" t="str">
        <f t="shared" si="2"/>
        <v>OK</v>
      </c>
      <c r="AD17" s="14">
        <v>11038528.880000001</v>
      </c>
      <c r="AE17" s="14">
        <v>0</v>
      </c>
      <c r="AF17" s="14">
        <v>0</v>
      </c>
      <c r="AG17" s="14">
        <v>2748823.08</v>
      </c>
      <c r="AH17" s="14">
        <v>455504.67</v>
      </c>
      <c r="AI17" s="13" t="str">
        <f t="shared" si="3"/>
        <v>OK</v>
      </c>
      <c r="AJ17" s="14">
        <v>116743523.12</v>
      </c>
      <c r="AK17" s="14">
        <v>116960931.40000001</v>
      </c>
      <c r="AL17" s="14">
        <v>0</v>
      </c>
      <c r="AM17" s="14">
        <v>0</v>
      </c>
      <c r="AN17" s="14">
        <v>0</v>
      </c>
      <c r="AO17" s="14">
        <v>0</v>
      </c>
      <c r="AP17" s="15">
        <f t="shared" si="4"/>
        <v>0</v>
      </c>
      <c r="AQ17" s="14">
        <v>2094421.53</v>
      </c>
      <c r="AR17" s="14">
        <v>2094421.53</v>
      </c>
      <c r="AS17" s="14">
        <v>16928865.239999998</v>
      </c>
      <c r="AT17" s="14">
        <v>16928865.239999998</v>
      </c>
      <c r="AU17" s="16">
        <f t="shared" si="5"/>
        <v>16928865.239999998</v>
      </c>
      <c r="AV17" s="13" t="str">
        <f t="shared" si="6"/>
        <v>SIM</v>
      </c>
      <c r="AW17" s="13" t="str">
        <f t="shared" si="7"/>
        <v>OK</v>
      </c>
      <c r="AX17" s="13" t="str">
        <f t="shared" si="8"/>
        <v>OK</v>
      </c>
    </row>
    <row r="18" spans="1:50" x14ac:dyDescent="0.3">
      <c r="A18" s="10" t="s">
        <v>109</v>
      </c>
      <c r="B18" t="s">
        <v>142</v>
      </c>
      <c r="C18" t="s">
        <v>143</v>
      </c>
      <c r="D18" t="s">
        <v>144</v>
      </c>
      <c r="E18" t="s">
        <v>46</v>
      </c>
      <c r="F18" t="s">
        <v>107</v>
      </c>
      <c r="G18" t="s">
        <v>60</v>
      </c>
      <c r="H18" t="s">
        <v>49</v>
      </c>
      <c r="I18" t="s">
        <v>50</v>
      </c>
      <c r="J18" t="s">
        <v>51</v>
      </c>
      <c r="K18" t="s">
        <v>51</v>
      </c>
      <c r="L18" t="s">
        <v>134</v>
      </c>
      <c r="M18">
        <v>816</v>
      </c>
      <c r="N18" s="11" t="str">
        <f t="shared" si="0"/>
        <v>OK</v>
      </c>
      <c r="O18" t="s">
        <v>54</v>
      </c>
      <c r="P18" t="s">
        <v>54</v>
      </c>
      <c r="Q18" t="s">
        <v>54</v>
      </c>
      <c r="R18" t="str">
        <f>VLOOKUP($D18,[1]Rascunho!$E$2:$S$296,15,FALSE)</f>
        <v>https://www.casal.al.gov.br/tipo-de-arquivo/carta-anual-de-politicas-publicas-e-governanca-corporativa-governanca/</v>
      </c>
      <c r="S18" s="12">
        <v>453757616.51999998</v>
      </c>
      <c r="T18" s="12">
        <v>109391022.81</v>
      </c>
      <c r="U18" s="13" t="str">
        <f t="shared" si="1"/>
        <v>OK</v>
      </c>
      <c r="V18" s="14">
        <v>565965419.27999997</v>
      </c>
      <c r="W18" s="14">
        <v>47592842.829999998</v>
      </c>
      <c r="X18" t="s">
        <v>51</v>
      </c>
      <c r="Y18" s="14">
        <v>446113.96</v>
      </c>
      <c r="Z18" s="14">
        <v>0</v>
      </c>
      <c r="AA18" s="14">
        <v>47553.4</v>
      </c>
      <c r="AB18" s="14">
        <v>-61231260.369999997</v>
      </c>
      <c r="AC18" s="13" t="str">
        <f t="shared" si="2"/>
        <v>OK</v>
      </c>
      <c r="AD18" s="14">
        <v>6439278784.3199997</v>
      </c>
      <c r="AE18" s="14">
        <v>0</v>
      </c>
      <c r="AF18" s="14">
        <v>0</v>
      </c>
      <c r="AG18" s="14">
        <v>0</v>
      </c>
      <c r="AH18" s="14">
        <v>0</v>
      </c>
      <c r="AI18" s="13" t="str">
        <f t="shared" si="3"/>
        <v>OK</v>
      </c>
      <c r="AJ18" s="14">
        <v>0</v>
      </c>
      <c r="AK18" s="14">
        <v>0</v>
      </c>
      <c r="AL18" s="14">
        <v>77500000</v>
      </c>
      <c r="AM18" s="14">
        <v>44800272.469999999</v>
      </c>
      <c r="AN18" s="14">
        <v>1364435968.8099999</v>
      </c>
      <c r="AO18" s="14">
        <v>1364435968.8099999</v>
      </c>
      <c r="AP18" s="15">
        <f t="shared" si="4"/>
        <v>0</v>
      </c>
      <c r="AQ18" s="14">
        <v>424881666.33999997</v>
      </c>
      <c r="AR18" s="14">
        <v>469681938.81</v>
      </c>
      <c r="AS18" s="14">
        <v>332500000</v>
      </c>
      <c r="AT18" s="14">
        <v>287699727.52999997</v>
      </c>
      <c r="AU18" s="16">
        <f t="shared" si="5"/>
        <v>332500000</v>
      </c>
      <c r="AV18" s="13" t="str">
        <f t="shared" si="6"/>
        <v>SIM</v>
      </c>
      <c r="AW18" s="13" t="str">
        <f t="shared" si="7"/>
        <v>VER CAPITAL</v>
      </c>
      <c r="AX18" s="13" t="str">
        <f t="shared" si="8"/>
        <v>OK</v>
      </c>
    </row>
    <row r="19" spans="1:50" x14ac:dyDescent="0.3">
      <c r="A19" s="10" t="s">
        <v>109</v>
      </c>
      <c r="B19" t="s">
        <v>147</v>
      </c>
      <c r="C19" t="s">
        <v>148</v>
      </c>
      <c r="D19" t="s">
        <v>149</v>
      </c>
      <c r="E19" t="s">
        <v>46</v>
      </c>
      <c r="F19" t="s">
        <v>150</v>
      </c>
      <c r="G19" t="s">
        <v>60</v>
      </c>
      <c r="H19" t="s">
        <v>49</v>
      </c>
      <c r="I19" t="s">
        <v>50</v>
      </c>
      <c r="J19" t="s">
        <v>51</v>
      </c>
      <c r="K19" t="s">
        <v>51</v>
      </c>
      <c r="L19" t="s">
        <v>134</v>
      </c>
      <c r="M19">
        <v>126</v>
      </c>
      <c r="N19" s="11" t="str">
        <f t="shared" si="0"/>
        <v>OK</v>
      </c>
      <c r="O19" t="s">
        <v>54</v>
      </c>
      <c r="P19" t="s">
        <v>54</v>
      </c>
      <c r="Q19" t="s">
        <v>51</v>
      </c>
      <c r="R19" t="str">
        <f>VLOOKUP($D19,[1]Rascunho!$E$2:$S$296,15,FALSE)</f>
        <v>https://www.imprensaoficial.al.gov.br/</v>
      </c>
      <c r="S19" s="12">
        <v>26093726.420000002</v>
      </c>
      <c r="T19" s="12">
        <v>9573118.4800000004</v>
      </c>
      <c r="U19" s="13" t="str">
        <f t="shared" si="1"/>
        <v>OK</v>
      </c>
      <c r="V19" s="14">
        <v>27929215.52</v>
      </c>
      <c r="W19" s="14">
        <v>0</v>
      </c>
      <c r="X19" t="s">
        <v>51</v>
      </c>
      <c r="Y19" s="14">
        <v>223929.29</v>
      </c>
      <c r="Z19" s="14">
        <v>0</v>
      </c>
      <c r="AA19" s="14">
        <v>0</v>
      </c>
      <c r="AB19" s="14">
        <v>-261187.32</v>
      </c>
      <c r="AC19" s="13" t="str">
        <f t="shared" si="2"/>
        <v>OK</v>
      </c>
      <c r="AD19" s="14">
        <v>6116610.96</v>
      </c>
      <c r="AE19" s="14">
        <v>0</v>
      </c>
      <c r="AF19" s="14">
        <v>0</v>
      </c>
      <c r="AG19" s="14">
        <v>0</v>
      </c>
      <c r="AH19" s="14">
        <v>0</v>
      </c>
      <c r="AI19" s="13" t="str">
        <f t="shared" si="3"/>
        <v>OK</v>
      </c>
      <c r="AJ19" s="14">
        <v>0</v>
      </c>
      <c r="AK19" s="14">
        <v>0</v>
      </c>
      <c r="AL19" s="14">
        <v>0</v>
      </c>
      <c r="AM19" s="14">
        <v>0</v>
      </c>
      <c r="AN19" s="14">
        <v>10083000</v>
      </c>
      <c r="AO19" s="14">
        <v>10083000</v>
      </c>
      <c r="AP19" s="15">
        <f t="shared" si="4"/>
        <v>0</v>
      </c>
      <c r="AQ19" s="14">
        <v>10083000</v>
      </c>
      <c r="AR19" s="14">
        <v>10083000</v>
      </c>
      <c r="AS19" s="14">
        <v>0</v>
      </c>
      <c r="AT19" s="14">
        <v>0</v>
      </c>
      <c r="AU19" s="16">
        <f t="shared" si="5"/>
        <v>0</v>
      </c>
      <c r="AV19" s="13" t="str">
        <f t="shared" si="6"/>
        <v>NÃO</v>
      </c>
      <c r="AW19" s="13" t="str">
        <f t="shared" si="7"/>
        <v>OK</v>
      </c>
      <c r="AX19" s="13" t="str">
        <f t="shared" si="8"/>
        <v>OK</v>
      </c>
    </row>
    <row r="20" spans="1:50" x14ac:dyDescent="0.3">
      <c r="A20" s="10" t="s">
        <v>109</v>
      </c>
      <c r="B20" t="s">
        <v>118</v>
      </c>
      <c r="C20" t="s">
        <v>119</v>
      </c>
      <c r="D20" t="s">
        <v>120</v>
      </c>
      <c r="E20" t="s">
        <v>70</v>
      </c>
      <c r="F20" t="s">
        <v>133</v>
      </c>
      <c r="G20" t="s">
        <v>60</v>
      </c>
      <c r="H20" t="s">
        <v>49</v>
      </c>
      <c r="I20" t="s">
        <v>50</v>
      </c>
      <c r="J20" t="s">
        <v>51</v>
      </c>
      <c r="K20" t="s">
        <v>51</v>
      </c>
      <c r="L20" t="s">
        <v>52</v>
      </c>
      <c r="M20">
        <v>0</v>
      </c>
      <c r="N20" s="11" t="str">
        <f t="shared" si="0"/>
        <v>OK</v>
      </c>
      <c r="O20" t="s">
        <v>51</v>
      </c>
      <c r="P20" t="s">
        <v>54</v>
      </c>
      <c r="Q20" t="s">
        <v>51</v>
      </c>
      <c r="R20" t="str">
        <f>VLOOKUP($D20,[1]Rascunho!$E$2:$S$296,15,FALSE)</f>
        <v>Site não disponível</v>
      </c>
      <c r="S20" s="12">
        <v>172880.97</v>
      </c>
      <c r="T20" s="12">
        <v>5140.17</v>
      </c>
      <c r="U20" s="13" t="str">
        <f t="shared" si="1"/>
        <v>VERIFICAR</v>
      </c>
      <c r="V20" s="14">
        <v>5140.17</v>
      </c>
      <c r="W20" s="14">
        <v>0</v>
      </c>
      <c r="X20" t="s">
        <v>51</v>
      </c>
      <c r="Y20" s="14">
        <v>61682.04</v>
      </c>
      <c r="Z20" s="14">
        <v>0</v>
      </c>
      <c r="AA20" s="14">
        <v>152320.29</v>
      </c>
      <c r="AB20" s="14">
        <v>0</v>
      </c>
      <c r="AC20" s="13" t="str">
        <f t="shared" si="2"/>
        <v>OK</v>
      </c>
      <c r="AD20" s="14">
        <v>68792.539999999994</v>
      </c>
      <c r="AE20" s="14">
        <v>0</v>
      </c>
      <c r="AF20" s="14">
        <v>0</v>
      </c>
      <c r="AG20" s="14">
        <v>354932.54</v>
      </c>
      <c r="AH20" s="14">
        <v>211232.68</v>
      </c>
      <c r="AI20" s="13" t="str">
        <f t="shared" si="3"/>
        <v>OK</v>
      </c>
      <c r="AJ20" s="14">
        <v>7548.44</v>
      </c>
      <c r="AK20" s="14">
        <v>7548.44</v>
      </c>
      <c r="AL20" s="14">
        <v>0</v>
      </c>
      <c r="AM20" s="14">
        <v>0</v>
      </c>
      <c r="AN20" s="14">
        <v>0</v>
      </c>
      <c r="AO20" s="14">
        <v>0</v>
      </c>
      <c r="AP20" s="15">
        <f t="shared" si="4"/>
        <v>0</v>
      </c>
      <c r="AQ20" s="14">
        <v>-47486.06</v>
      </c>
      <c r="AR20" s="14">
        <v>-21306.48</v>
      </c>
      <c r="AS20" s="14">
        <v>-47486.06</v>
      </c>
      <c r="AT20" s="14">
        <v>-21306.48</v>
      </c>
      <c r="AU20" s="16">
        <f t="shared" si="5"/>
        <v>4873.0999999999985</v>
      </c>
      <c r="AV20" s="13" t="str">
        <f t="shared" si="6"/>
        <v>SIM</v>
      </c>
      <c r="AW20" s="13" t="str">
        <f t="shared" si="7"/>
        <v>OK</v>
      </c>
      <c r="AX20" s="13" t="str">
        <f t="shared" si="8"/>
        <v>OK</v>
      </c>
    </row>
    <row r="21" spans="1:50" x14ac:dyDescent="0.3">
      <c r="A21" s="10" t="s">
        <v>109</v>
      </c>
      <c r="B21" t="s">
        <v>1395</v>
      </c>
      <c r="C21" t="s">
        <v>123</v>
      </c>
      <c r="D21" t="s">
        <v>124</v>
      </c>
      <c r="E21" t="s">
        <v>70</v>
      </c>
      <c r="F21" t="s">
        <v>71</v>
      </c>
      <c r="G21" t="s">
        <v>60</v>
      </c>
      <c r="H21" t="s">
        <v>49</v>
      </c>
      <c r="I21" t="s">
        <v>50</v>
      </c>
      <c r="J21" t="s">
        <v>51</v>
      </c>
      <c r="K21" t="s">
        <v>51</v>
      </c>
      <c r="L21" t="s">
        <v>52</v>
      </c>
      <c r="M21">
        <v>3</v>
      </c>
      <c r="N21" s="11" t="str">
        <f t="shared" si="0"/>
        <v>OK</v>
      </c>
      <c r="O21" t="s">
        <v>51</v>
      </c>
      <c r="P21" t="s">
        <v>54</v>
      </c>
      <c r="Q21" t="s">
        <v>51</v>
      </c>
      <c r="R21" t="str">
        <f>VLOOKUP($D21,[1]Rascunho!$E$2:$S$296,15,FALSE)</f>
        <v>Site não disponível</v>
      </c>
      <c r="S21" s="12">
        <v>100350</v>
      </c>
      <c r="T21" s="12">
        <v>501264.57</v>
      </c>
      <c r="U21" s="13" t="str">
        <f t="shared" si="1"/>
        <v>OK</v>
      </c>
      <c r="V21" s="14">
        <v>4235281.2699999996</v>
      </c>
      <c r="W21" s="14">
        <v>0</v>
      </c>
      <c r="X21" t="s">
        <v>51</v>
      </c>
      <c r="Y21" s="14">
        <v>301616.09000000003</v>
      </c>
      <c r="Z21" s="14">
        <v>0</v>
      </c>
      <c r="AA21" s="14">
        <v>0</v>
      </c>
      <c r="AB21" s="14">
        <v>-4134931.27</v>
      </c>
      <c r="AC21" s="13" t="str">
        <f t="shared" si="2"/>
        <v>OK</v>
      </c>
      <c r="AD21" s="14">
        <v>140543701.72999999</v>
      </c>
      <c r="AE21" s="14">
        <v>0</v>
      </c>
      <c r="AF21" s="14">
        <v>0</v>
      </c>
      <c r="AG21" s="14">
        <v>100000</v>
      </c>
      <c r="AH21" s="14">
        <v>100000</v>
      </c>
      <c r="AI21" s="13" t="str">
        <f t="shared" si="3"/>
        <v>OK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5">
        <f t="shared" si="4"/>
        <v>0</v>
      </c>
      <c r="AQ21" s="14">
        <v>499811100</v>
      </c>
      <c r="AR21" s="14">
        <v>499811100</v>
      </c>
      <c r="AS21" s="14">
        <v>0</v>
      </c>
      <c r="AT21" s="14">
        <v>0</v>
      </c>
      <c r="AU21" s="16">
        <f t="shared" si="5"/>
        <v>0</v>
      </c>
      <c r="AV21" s="13" t="str">
        <f t="shared" si="6"/>
        <v>NÃO</v>
      </c>
      <c r="AW21" s="13" t="str">
        <f t="shared" si="7"/>
        <v>OK</v>
      </c>
      <c r="AX21" s="13" t="str">
        <f t="shared" si="8"/>
        <v>OK</v>
      </c>
    </row>
    <row r="22" spans="1:50" x14ac:dyDescent="0.3">
      <c r="A22" s="10" t="s">
        <v>109</v>
      </c>
      <c r="B22" t="s">
        <v>1396</v>
      </c>
      <c r="C22" t="s">
        <v>127</v>
      </c>
      <c r="D22" t="s">
        <v>128</v>
      </c>
      <c r="E22" t="s">
        <v>70</v>
      </c>
      <c r="F22" t="s">
        <v>133</v>
      </c>
      <c r="G22" t="s">
        <v>60</v>
      </c>
      <c r="H22" t="s">
        <v>49</v>
      </c>
      <c r="I22" t="s">
        <v>50</v>
      </c>
      <c r="J22" t="s">
        <v>51</v>
      </c>
      <c r="K22" t="s">
        <v>51</v>
      </c>
      <c r="L22" t="s">
        <v>52</v>
      </c>
      <c r="M22">
        <v>1</v>
      </c>
      <c r="N22" s="11" t="str">
        <f t="shared" si="0"/>
        <v>OK</v>
      </c>
      <c r="O22" t="s">
        <v>51</v>
      </c>
      <c r="P22" t="s">
        <v>54</v>
      </c>
      <c r="Q22" t="s">
        <v>51</v>
      </c>
      <c r="R22" t="str">
        <f>VLOOKUP($D22,[1]Rascunho!$E$2:$S$296,15,FALSE)</f>
        <v>Site não disponível</v>
      </c>
      <c r="S22" s="12">
        <v>364271.26</v>
      </c>
      <c r="T22" s="12">
        <v>41228.43</v>
      </c>
      <c r="U22" s="13" t="str">
        <f t="shared" si="1"/>
        <v>OK</v>
      </c>
      <c r="V22" s="14">
        <v>41228.43</v>
      </c>
      <c r="W22" s="14">
        <v>0</v>
      </c>
      <c r="X22" t="s">
        <v>51</v>
      </c>
      <c r="Y22" s="14">
        <v>206142.15</v>
      </c>
      <c r="Z22" s="14">
        <v>0</v>
      </c>
      <c r="AA22" s="14">
        <v>0</v>
      </c>
      <c r="AB22" s="14">
        <v>0</v>
      </c>
      <c r="AC22" s="13" t="str">
        <f t="shared" si="2"/>
        <v>OK</v>
      </c>
      <c r="AD22" s="14">
        <v>1686959.01</v>
      </c>
      <c r="AE22" s="14">
        <v>0</v>
      </c>
      <c r="AF22" s="14">
        <v>0</v>
      </c>
      <c r="AG22" s="14">
        <v>1018063.95</v>
      </c>
      <c r="AH22" s="14">
        <v>204636.81</v>
      </c>
      <c r="AI22" s="13" t="str">
        <f t="shared" si="3"/>
        <v>OK</v>
      </c>
      <c r="AJ22" s="14">
        <v>3889423.1</v>
      </c>
      <c r="AK22" s="14">
        <v>3904903.75</v>
      </c>
      <c r="AL22" s="14">
        <v>0</v>
      </c>
      <c r="AM22" s="14">
        <v>0</v>
      </c>
      <c r="AN22" s="14">
        <v>0</v>
      </c>
      <c r="AO22" s="14">
        <v>0</v>
      </c>
      <c r="AP22" s="15">
        <f t="shared" si="4"/>
        <v>0</v>
      </c>
      <c r="AQ22" s="14">
        <v>505486.95</v>
      </c>
      <c r="AR22" s="14">
        <v>505486.95</v>
      </c>
      <c r="AS22" s="14">
        <v>0</v>
      </c>
      <c r="AT22" s="14">
        <v>0</v>
      </c>
      <c r="AU22" s="16">
        <f t="shared" si="5"/>
        <v>0</v>
      </c>
      <c r="AV22" s="13" t="str">
        <f t="shared" si="6"/>
        <v>NÃO</v>
      </c>
      <c r="AW22" s="13" t="str">
        <f t="shared" si="7"/>
        <v>OK</v>
      </c>
      <c r="AX22" s="13" t="str">
        <f t="shared" si="8"/>
        <v>OK</v>
      </c>
    </row>
    <row r="23" spans="1:50" x14ac:dyDescent="0.3">
      <c r="A23" s="10" t="s">
        <v>153</v>
      </c>
      <c r="B23" t="s">
        <v>154</v>
      </c>
      <c r="C23" t="s">
        <v>155</v>
      </c>
      <c r="D23" t="s">
        <v>156</v>
      </c>
      <c r="E23" t="s">
        <v>46</v>
      </c>
      <c r="F23" t="s">
        <v>65</v>
      </c>
      <c r="G23" t="s">
        <v>48</v>
      </c>
      <c r="H23" t="s">
        <v>363</v>
      </c>
      <c r="I23" t="s">
        <v>50</v>
      </c>
      <c r="J23" t="s">
        <v>51</v>
      </c>
      <c r="K23" t="s">
        <v>51</v>
      </c>
      <c r="L23" t="s">
        <v>52</v>
      </c>
      <c r="M23">
        <v>82</v>
      </c>
      <c r="N23" s="11" t="str">
        <f t="shared" si="0"/>
        <v>OK</v>
      </c>
      <c r="O23" t="s">
        <v>54</v>
      </c>
      <c r="P23" t="s">
        <v>54</v>
      </c>
      <c r="Q23" t="s">
        <v>51</v>
      </c>
      <c r="R23" t="str">
        <f>VLOOKUP($D23,[1]Rascunho!$E$2:$S$296,15,FALSE)</f>
        <v>https://www.ads.am.gov.br/</v>
      </c>
      <c r="S23" s="12">
        <v>2377168.2000000002</v>
      </c>
      <c r="T23" s="12">
        <v>3540083.33</v>
      </c>
      <c r="U23" s="13" t="str">
        <f t="shared" si="1"/>
        <v>OK</v>
      </c>
      <c r="V23" s="14">
        <v>104010753.45999999</v>
      </c>
      <c r="W23" s="14">
        <v>0</v>
      </c>
      <c r="X23" t="s">
        <v>51</v>
      </c>
      <c r="Y23" s="14">
        <v>152747.89000000001</v>
      </c>
      <c r="Z23" s="14">
        <v>0</v>
      </c>
      <c r="AA23" s="14">
        <v>6000</v>
      </c>
      <c r="AB23" s="14">
        <v>514430.93</v>
      </c>
      <c r="AC23" s="13" t="str">
        <f t="shared" si="2"/>
        <v>OK</v>
      </c>
      <c r="AD23" s="14">
        <v>5809432.2599999998</v>
      </c>
      <c r="AE23" s="14">
        <v>0</v>
      </c>
      <c r="AF23" s="14">
        <v>0</v>
      </c>
      <c r="AG23" s="14">
        <v>134194729.39</v>
      </c>
      <c r="AH23" s="14">
        <v>102148016.19</v>
      </c>
      <c r="AI23" s="13" t="str">
        <f t="shared" si="3"/>
        <v>OK</v>
      </c>
      <c r="AJ23" s="14">
        <v>0</v>
      </c>
      <c r="AK23" s="14">
        <v>0</v>
      </c>
      <c r="AL23" s="14">
        <v>0</v>
      </c>
      <c r="AM23" s="14">
        <v>0</v>
      </c>
      <c r="AN23" s="14">
        <v>1</v>
      </c>
      <c r="AO23" s="14">
        <v>0</v>
      </c>
      <c r="AP23" s="15">
        <f t="shared" si="4"/>
        <v>-1</v>
      </c>
      <c r="AQ23" s="14">
        <v>10000000</v>
      </c>
      <c r="AR23" s="14">
        <v>10000000</v>
      </c>
      <c r="AS23" s="14">
        <v>0</v>
      </c>
      <c r="AT23" s="14">
        <v>0</v>
      </c>
      <c r="AU23" s="16">
        <f t="shared" si="5"/>
        <v>0</v>
      </c>
      <c r="AV23" s="13" t="str">
        <f t="shared" si="6"/>
        <v>NÃO</v>
      </c>
      <c r="AW23" s="13" t="str">
        <f t="shared" si="7"/>
        <v>OK</v>
      </c>
      <c r="AX23" s="13" t="str">
        <f t="shared" si="8"/>
        <v>OK</v>
      </c>
    </row>
    <row r="24" spans="1:50" x14ac:dyDescent="0.3">
      <c r="A24" s="10" t="s">
        <v>153</v>
      </c>
      <c r="B24" t="s">
        <v>1397</v>
      </c>
      <c r="C24" t="s">
        <v>1398</v>
      </c>
      <c r="D24" t="s">
        <v>177</v>
      </c>
      <c r="E24" t="s">
        <v>46</v>
      </c>
      <c r="F24" t="s">
        <v>71</v>
      </c>
      <c r="G24" t="s">
        <v>48</v>
      </c>
      <c r="H24" t="s">
        <v>49</v>
      </c>
      <c r="I24" t="s">
        <v>50</v>
      </c>
      <c r="J24" t="s">
        <v>51</v>
      </c>
      <c r="K24" t="s">
        <v>51</v>
      </c>
      <c r="L24" t="s">
        <v>134</v>
      </c>
      <c r="M24">
        <v>268</v>
      </c>
      <c r="N24" s="11" t="str">
        <f t="shared" si="0"/>
        <v>OK</v>
      </c>
      <c r="O24" t="s">
        <v>54</v>
      </c>
      <c r="P24" t="s">
        <v>54</v>
      </c>
      <c r="Q24" t="s">
        <v>54</v>
      </c>
      <c r="R24" t="str">
        <f>VLOOKUP($D24,[1]Rascunho!$E$2:$S$296,15,FALSE)</f>
        <v>https://www.afeam.am.gov.br/wp-content/uploads/2024/05/CARTA-ANUAL-2023-VF-assinado.pdf</v>
      </c>
      <c r="S24" s="12">
        <v>19246173</v>
      </c>
      <c r="T24" s="12">
        <v>47094628.700000003</v>
      </c>
      <c r="U24" s="13" t="str">
        <f t="shared" si="1"/>
        <v>OK</v>
      </c>
      <c r="V24" s="14">
        <v>319042132.06</v>
      </c>
      <c r="W24" s="14">
        <v>271947503.36000001</v>
      </c>
      <c r="X24" t="s">
        <v>54</v>
      </c>
      <c r="Y24" s="14">
        <v>528124.13</v>
      </c>
      <c r="Z24" s="14">
        <v>9310.2199999999993</v>
      </c>
      <c r="AA24" s="14">
        <v>32425.11</v>
      </c>
      <c r="AB24" s="14">
        <v>2545582.48</v>
      </c>
      <c r="AC24" s="13" t="str">
        <f t="shared" si="2"/>
        <v>OK</v>
      </c>
      <c r="AD24" s="14">
        <v>111312592.40000001</v>
      </c>
      <c r="AE24" s="14">
        <v>0</v>
      </c>
      <c r="AF24" s="14">
        <v>0</v>
      </c>
      <c r="AG24" s="14">
        <v>0</v>
      </c>
      <c r="AH24" s="14">
        <v>0</v>
      </c>
      <c r="AI24" s="13" t="str">
        <f t="shared" si="3"/>
        <v>OK</v>
      </c>
      <c r="AJ24" s="14">
        <v>0</v>
      </c>
      <c r="AK24" s="14">
        <v>0</v>
      </c>
      <c r="AL24" s="14">
        <v>0</v>
      </c>
      <c r="AM24" s="14">
        <v>0</v>
      </c>
      <c r="AN24" s="14">
        <v>98047947</v>
      </c>
      <c r="AO24" s="14">
        <v>103963256</v>
      </c>
      <c r="AP24" s="15">
        <f t="shared" si="4"/>
        <v>5915309</v>
      </c>
      <c r="AQ24" s="14">
        <v>98047947</v>
      </c>
      <c r="AR24" s="14">
        <v>103963256</v>
      </c>
      <c r="AS24" s="14">
        <v>1112295</v>
      </c>
      <c r="AT24" s="14">
        <v>0</v>
      </c>
      <c r="AU24" s="16">
        <f t="shared" si="5"/>
        <v>5915309</v>
      </c>
      <c r="AV24" s="13" t="str">
        <f t="shared" si="6"/>
        <v>SIM</v>
      </c>
      <c r="AW24" s="13" t="str">
        <f t="shared" si="7"/>
        <v>OK</v>
      </c>
      <c r="AX24" s="13" t="str">
        <f t="shared" si="8"/>
        <v>OK</v>
      </c>
    </row>
    <row r="25" spans="1:50" x14ac:dyDescent="0.3">
      <c r="A25" s="10" t="s">
        <v>153</v>
      </c>
      <c r="B25" t="s">
        <v>159</v>
      </c>
      <c r="C25" t="s">
        <v>1399</v>
      </c>
      <c r="D25" t="s">
        <v>161</v>
      </c>
      <c r="E25" t="s">
        <v>46</v>
      </c>
      <c r="F25" t="s">
        <v>162</v>
      </c>
      <c r="G25" t="s">
        <v>48</v>
      </c>
      <c r="H25" t="s">
        <v>76</v>
      </c>
      <c r="I25" t="s">
        <v>50</v>
      </c>
      <c r="J25" t="s">
        <v>51</v>
      </c>
      <c r="K25" t="s">
        <v>51</v>
      </c>
      <c r="L25" t="s">
        <v>52</v>
      </c>
      <c r="M25">
        <v>147</v>
      </c>
      <c r="N25" s="11" t="str">
        <f t="shared" si="0"/>
        <v>OK</v>
      </c>
      <c r="O25" t="s">
        <v>54</v>
      </c>
      <c r="P25" t="s">
        <v>54</v>
      </c>
      <c r="Q25" t="s">
        <v>54</v>
      </c>
      <c r="R25" t="str">
        <f>VLOOKUP($D25,[1]Rascunho!$E$2:$S$296,15,FALSE)</f>
        <v>https://www.amazonastur.am.gov.br/wp-content/uploads/2023/02/Carta-de-Servicos-2023.pdf</v>
      </c>
      <c r="S25" s="12">
        <v>721313.27</v>
      </c>
      <c r="T25" s="12">
        <v>13824225.08</v>
      </c>
      <c r="U25" s="13" t="str">
        <f t="shared" si="1"/>
        <v>OK</v>
      </c>
      <c r="V25" s="14">
        <v>73349245.780000001</v>
      </c>
      <c r="W25" s="14">
        <v>0</v>
      </c>
      <c r="X25" t="s">
        <v>51</v>
      </c>
      <c r="Y25" s="14">
        <v>310596.78999999998</v>
      </c>
      <c r="Z25" s="14">
        <v>0</v>
      </c>
      <c r="AA25" s="14">
        <v>6762.5</v>
      </c>
      <c r="AB25" s="14">
        <v>-613957.52</v>
      </c>
      <c r="AC25" s="13" t="str">
        <f t="shared" si="2"/>
        <v>OK</v>
      </c>
      <c r="AD25" s="14">
        <v>4922783.92</v>
      </c>
      <c r="AE25" s="14">
        <v>0</v>
      </c>
      <c r="AF25" s="14">
        <v>0</v>
      </c>
      <c r="AG25" s="14">
        <v>89476491.549999997</v>
      </c>
      <c r="AH25" s="14">
        <v>71978545.769999996</v>
      </c>
      <c r="AI25" s="13" t="str">
        <f t="shared" si="3"/>
        <v>OK</v>
      </c>
      <c r="AJ25" s="14">
        <v>25085615.710000001</v>
      </c>
      <c r="AK25" s="14">
        <v>2807045.37</v>
      </c>
      <c r="AL25" s="14">
        <v>0</v>
      </c>
      <c r="AM25" s="14">
        <v>0</v>
      </c>
      <c r="AN25" s="14">
        <v>1</v>
      </c>
      <c r="AO25" s="14">
        <v>1</v>
      </c>
      <c r="AP25" s="15">
        <f t="shared" si="4"/>
        <v>0</v>
      </c>
      <c r="AQ25" s="14">
        <v>27123375.379999999</v>
      </c>
      <c r="AR25" s="14">
        <v>27123375.379999999</v>
      </c>
      <c r="AS25" s="14">
        <v>0</v>
      </c>
      <c r="AT25" s="14">
        <v>0</v>
      </c>
      <c r="AU25" s="16">
        <f t="shared" si="5"/>
        <v>0</v>
      </c>
      <c r="AV25" s="13" t="str">
        <f t="shared" si="6"/>
        <v>NÃO</v>
      </c>
      <c r="AW25" s="13" t="str">
        <f t="shared" si="7"/>
        <v>OK</v>
      </c>
      <c r="AX25" s="13" t="str">
        <f t="shared" si="8"/>
        <v>OK</v>
      </c>
    </row>
    <row r="26" spans="1:50" x14ac:dyDescent="0.3">
      <c r="A26" s="10" t="s">
        <v>153</v>
      </c>
      <c r="B26" t="s">
        <v>1400</v>
      </c>
      <c r="C26" t="s">
        <v>181</v>
      </c>
      <c r="D26" t="s">
        <v>182</v>
      </c>
      <c r="E26" t="s">
        <v>46</v>
      </c>
      <c r="F26" t="s">
        <v>133</v>
      </c>
      <c r="G26" t="s">
        <v>48</v>
      </c>
      <c r="H26" t="s">
        <v>49</v>
      </c>
      <c r="I26" t="s">
        <v>50</v>
      </c>
      <c r="J26" t="s">
        <v>51</v>
      </c>
      <c r="K26" t="s">
        <v>51</v>
      </c>
      <c r="L26" t="s">
        <v>134</v>
      </c>
      <c r="M26">
        <v>26</v>
      </c>
      <c r="N26" s="11" t="str">
        <f t="shared" si="0"/>
        <v>OK</v>
      </c>
      <c r="O26" t="s">
        <v>54</v>
      </c>
      <c r="P26" t="s">
        <v>54</v>
      </c>
      <c r="Q26" t="s">
        <v>54</v>
      </c>
      <c r="R26" t="str">
        <f>VLOOKUP($D26,[1]Rascunho!$E$2:$S$296,15,FALSE)</f>
        <v>https://www.cada.am.gov.br/wp-content/uploads/2024/03/CARTA-DE-SERVICOS-2024.pdf</v>
      </c>
      <c r="S26" s="12">
        <v>0</v>
      </c>
      <c r="T26" s="12">
        <v>4495550</v>
      </c>
      <c r="U26" s="13" t="str">
        <f t="shared" si="1"/>
        <v>OK</v>
      </c>
      <c r="V26" s="14">
        <v>4974652</v>
      </c>
      <c r="W26" s="14">
        <v>22907</v>
      </c>
      <c r="X26" t="s">
        <v>51</v>
      </c>
      <c r="Y26" s="14">
        <v>439200</v>
      </c>
      <c r="Z26" s="14">
        <v>0</v>
      </c>
      <c r="AA26" s="14">
        <v>6500</v>
      </c>
      <c r="AB26" s="14">
        <v>-4389277.1399999997</v>
      </c>
      <c r="AC26" s="13" t="str">
        <f t="shared" si="2"/>
        <v>OK</v>
      </c>
      <c r="AD26" s="14">
        <v>2965149.42</v>
      </c>
      <c r="AE26" s="14">
        <v>0</v>
      </c>
      <c r="AF26" s="14">
        <v>0</v>
      </c>
      <c r="AG26" s="14">
        <v>0</v>
      </c>
      <c r="AH26" s="14">
        <v>0</v>
      </c>
      <c r="AI26" s="13" t="str">
        <f t="shared" si="3"/>
        <v>OK</v>
      </c>
      <c r="AJ26" s="14">
        <v>0</v>
      </c>
      <c r="AK26" s="14">
        <v>0</v>
      </c>
      <c r="AL26" s="14">
        <v>5500000</v>
      </c>
      <c r="AM26" s="14">
        <v>6000000</v>
      </c>
      <c r="AN26" s="14">
        <v>9000000</v>
      </c>
      <c r="AO26" s="14">
        <v>15000000</v>
      </c>
      <c r="AP26" s="15">
        <f t="shared" si="4"/>
        <v>6000000</v>
      </c>
      <c r="AQ26" s="14">
        <v>9000000</v>
      </c>
      <c r="AR26" s="14">
        <v>15000000</v>
      </c>
      <c r="AS26" s="14">
        <v>0</v>
      </c>
      <c r="AT26" s="14">
        <v>0</v>
      </c>
      <c r="AU26" s="16">
        <f t="shared" si="5"/>
        <v>6000000</v>
      </c>
      <c r="AV26" s="13" t="str">
        <f t="shared" si="6"/>
        <v>SIM</v>
      </c>
      <c r="AW26" s="13" t="str">
        <f t="shared" si="7"/>
        <v>VER CAPITAL</v>
      </c>
      <c r="AX26" s="13" t="str">
        <f t="shared" si="8"/>
        <v>OK</v>
      </c>
    </row>
    <row r="27" spans="1:50" x14ac:dyDescent="0.3">
      <c r="A27" s="10" t="s">
        <v>153</v>
      </c>
      <c r="B27" t="s">
        <v>1401</v>
      </c>
      <c r="C27" t="s">
        <v>166</v>
      </c>
      <c r="D27" t="s">
        <v>167</v>
      </c>
      <c r="E27" t="s">
        <v>46</v>
      </c>
      <c r="F27" t="s">
        <v>65</v>
      </c>
      <c r="G27" t="s">
        <v>60</v>
      </c>
      <c r="H27" t="s">
        <v>49</v>
      </c>
      <c r="I27" t="s">
        <v>50</v>
      </c>
      <c r="J27" t="s">
        <v>51</v>
      </c>
      <c r="K27" t="s">
        <v>51</v>
      </c>
      <c r="L27" t="s">
        <v>134</v>
      </c>
      <c r="M27">
        <v>199</v>
      </c>
      <c r="N27" s="11" t="str">
        <f t="shared" si="0"/>
        <v>OK</v>
      </c>
      <c r="O27" t="s">
        <v>54</v>
      </c>
      <c r="P27" t="s">
        <v>54</v>
      </c>
      <c r="Q27" t="s">
        <v>51</v>
      </c>
      <c r="R27" t="str">
        <f>VLOOKUP($D27,[1]Rascunho!$E$2:$S$296,15,FALSE)</f>
        <v>https://www.ciama.am.gov.br/wp-content/uploads/2023/07/CARTA-DE-SERVICO-CIAMA.pdf</v>
      </c>
      <c r="S27" s="12">
        <v>0</v>
      </c>
      <c r="T27" s="12">
        <v>29668566.739999998</v>
      </c>
      <c r="U27" s="13" t="str">
        <f t="shared" si="1"/>
        <v>OK</v>
      </c>
      <c r="V27" s="14">
        <v>32501097.940000001</v>
      </c>
      <c r="W27" s="14">
        <v>0</v>
      </c>
      <c r="X27" t="s">
        <v>51</v>
      </c>
      <c r="Y27" s="14">
        <v>724160</v>
      </c>
      <c r="Z27" s="14">
        <v>0</v>
      </c>
      <c r="AA27" s="14">
        <v>6500</v>
      </c>
      <c r="AB27" s="14">
        <v>-1508507.96</v>
      </c>
      <c r="AC27" s="13" t="str">
        <f t="shared" si="2"/>
        <v>OK</v>
      </c>
      <c r="AD27" s="14">
        <v>55731601.840000004</v>
      </c>
      <c r="AE27" s="14">
        <v>0</v>
      </c>
      <c r="AF27" s="14">
        <v>0</v>
      </c>
      <c r="AG27" s="14">
        <v>29927040.760000002</v>
      </c>
      <c r="AH27" s="14">
        <v>30817836.329999998</v>
      </c>
      <c r="AI27" s="13" t="str">
        <f t="shared" si="3"/>
        <v>INDÍCIO DE DEPENDÊNCIA POR SUBVENÇÃO</v>
      </c>
      <c r="AJ27" s="14">
        <v>0</v>
      </c>
      <c r="AK27" s="14">
        <v>0</v>
      </c>
      <c r="AL27" s="14">
        <v>0</v>
      </c>
      <c r="AM27" s="14">
        <v>0</v>
      </c>
      <c r="AN27" s="14">
        <v>62880631</v>
      </c>
      <c r="AO27" s="14">
        <v>62880631</v>
      </c>
      <c r="AP27" s="15">
        <f t="shared" si="4"/>
        <v>0</v>
      </c>
      <c r="AQ27" s="14">
        <v>326979280.27999997</v>
      </c>
      <c r="AR27" s="14">
        <v>326979280.27999997</v>
      </c>
      <c r="AS27" s="14">
        <v>49020719.719999999</v>
      </c>
      <c r="AT27" s="14">
        <v>49020719.219999999</v>
      </c>
      <c r="AU27" s="16">
        <f t="shared" si="5"/>
        <v>49020719.219999999</v>
      </c>
      <c r="AV27" s="13" t="str">
        <f t="shared" si="6"/>
        <v>SIM</v>
      </c>
      <c r="AW27" s="13" t="str">
        <f t="shared" si="7"/>
        <v>OK</v>
      </c>
      <c r="AX27" s="13" t="str">
        <f t="shared" si="8"/>
        <v>OK</v>
      </c>
    </row>
    <row r="28" spans="1:50" x14ac:dyDescent="0.3">
      <c r="A28" s="10" t="s">
        <v>153</v>
      </c>
      <c r="B28" t="s">
        <v>1402</v>
      </c>
      <c r="C28" t="s">
        <v>1403</v>
      </c>
      <c r="D28" t="s">
        <v>187</v>
      </c>
      <c r="E28" t="s">
        <v>46</v>
      </c>
      <c r="F28" t="s">
        <v>139</v>
      </c>
      <c r="G28" t="s">
        <v>60</v>
      </c>
      <c r="H28" t="s">
        <v>49</v>
      </c>
      <c r="I28" t="s">
        <v>50</v>
      </c>
      <c r="J28" t="s">
        <v>51</v>
      </c>
      <c r="K28" t="s">
        <v>51</v>
      </c>
      <c r="L28" t="s">
        <v>134</v>
      </c>
      <c r="M28">
        <v>210</v>
      </c>
      <c r="N28" s="11" t="str">
        <f t="shared" si="0"/>
        <v>OK</v>
      </c>
      <c r="O28" t="s">
        <v>54</v>
      </c>
      <c r="P28" t="s">
        <v>54</v>
      </c>
      <c r="Q28" t="s">
        <v>51</v>
      </c>
      <c r="R28" t="str">
        <f>VLOOKUP($D28,[1]Rascunho!$E$2:$S$296,15,FALSE)</f>
        <v>https://www.cigas-am.com.br/relatorio-de-sustentabilidade</v>
      </c>
      <c r="S28" s="12">
        <v>3402474185.4299998</v>
      </c>
      <c r="T28" s="12">
        <v>1780705.42</v>
      </c>
      <c r="U28" s="13" t="str">
        <f t="shared" si="1"/>
        <v>OK</v>
      </c>
      <c r="V28" s="14">
        <v>3260498395.2600002</v>
      </c>
      <c r="W28" s="14">
        <v>55352633.590000004</v>
      </c>
      <c r="X28" t="s">
        <v>54</v>
      </c>
      <c r="Y28" s="14">
        <v>786598.33</v>
      </c>
      <c r="Z28" s="14">
        <v>171600</v>
      </c>
      <c r="AA28" s="14">
        <v>8937</v>
      </c>
      <c r="AB28" s="14">
        <v>168444871.53</v>
      </c>
      <c r="AC28" s="13" t="str">
        <f t="shared" si="2"/>
        <v>OK</v>
      </c>
      <c r="AD28" s="14">
        <v>398402502.17000002</v>
      </c>
      <c r="AE28" s="14">
        <v>0</v>
      </c>
      <c r="AF28" s="14">
        <v>13989342.26</v>
      </c>
      <c r="AG28" s="14">
        <v>0</v>
      </c>
      <c r="AH28" s="14">
        <v>0</v>
      </c>
      <c r="AI28" s="13" t="str">
        <f t="shared" si="3"/>
        <v>OK</v>
      </c>
      <c r="AJ28" s="14">
        <v>0</v>
      </c>
      <c r="AK28" s="14">
        <v>0</v>
      </c>
      <c r="AL28" s="14">
        <v>0</v>
      </c>
      <c r="AM28" s="14">
        <v>0</v>
      </c>
      <c r="AN28" s="14">
        <v>12059543</v>
      </c>
      <c r="AO28" s="14">
        <v>12059543</v>
      </c>
      <c r="AP28" s="15">
        <f t="shared" si="4"/>
        <v>0</v>
      </c>
      <c r="AQ28" s="14">
        <v>39266906.630000003</v>
      </c>
      <c r="AR28" s="14">
        <v>45042129.149999999</v>
      </c>
      <c r="AS28" s="14">
        <v>0</v>
      </c>
      <c r="AT28" s="14">
        <v>0</v>
      </c>
      <c r="AU28" s="16">
        <f t="shared" si="5"/>
        <v>5775222.5199999958</v>
      </c>
      <c r="AV28" s="13" t="str">
        <f t="shared" si="6"/>
        <v>SIM</v>
      </c>
      <c r="AW28" s="13" t="str">
        <f t="shared" si="7"/>
        <v>OK</v>
      </c>
      <c r="AX28" s="13" t="str">
        <f t="shared" si="8"/>
        <v>OK</v>
      </c>
    </row>
    <row r="29" spans="1:50" x14ac:dyDescent="0.3">
      <c r="A29" s="10" t="s">
        <v>153</v>
      </c>
      <c r="B29" t="s">
        <v>1404</v>
      </c>
      <c r="C29" t="s">
        <v>171</v>
      </c>
      <c r="D29" t="s">
        <v>172</v>
      </c>
      <c r="E29" t="s">
        <v>46</v>
      </c>
      <c r="F29" t="s">
        <v>107</v>
      </c>
      <c r="G29" t="s">
        <v>60</v>
      </c>
      <c r="H29" t="s">
        <v>49</v>
      </c>
      <c r="I29" t="s">
        <v>50</v>
      </c>
      <c r="J29" t="s">
        <v>51</v>
      </c>
      <c r="K29" t="s">
        <v>51</v>
      </c>
      <c r="L29" t="s">
        <v>52</v>
      </c>
      <c r="M29">
        <v>475</v>
      </c>
      <c r="N29" s="11" t="str">
        <f t="shared" si="0"/>
        <v>OK</v>
      </c>
      <c r="O29" t="s">
        <v>54</v>
      </c>
      <c r="P29" t="s">
        <v>54</v>
      </c>
      <c r="Q29" t="s">
        <v>51</v>
      </c>
      <c r="R29" t="str">
        <f>VLOOKUP($D29,[1]Rascunho!$E$2:$S$296,15,FALSE)</f>
        <v>http://www.cosama.am.gov.br/</v>
      </c>
      <c r="S29" s="12">
        <v>61311480.82</v>
      </c>
      <c r="T29" s="12">
        <v>41385833.109999999</v>
      </c>
      <c r="U29" s="13" t="str">
        <f t="shared" si="1"/>
        <v>OK</v>
      </c>
      <c r="V29" s="14">
        <v>75762165.180000007</v>
      </c>
      <c r="W29" s="14">
        <v>4962151.34</v>
      </c>
      <c r="X29" t="s">
        <v>51</v>
      </c>
      <c r="Y29" s="14">
        <v>421513.82</v>
      </c>
      <c r="Z29" s="14">
        <v>0</v>
      </c>
      <c r="AA29" s="14">
        <v>0</v>
      </c>
      <c r="AB29" s="14">
        <v>-16353424.529999999</v>
      </c>
      <c r="AC29" s="13" t="str">
        <f t="shared" si="2"/>
        <v>OK</v>
      </c>
      <c r="AD29" s="14">
        <v>-16036867.060000001</v>
      </c>
      <c r="AE29" s="14">
        <v>0</v>
      </c>
      <c r="AF29" s="14">
        <v>0</v>
      </c>
      <c r="AG29" s="14">
        <v>44240949.770000003</v>
      </c>
      <c r="AH29" s="14">
        <v>47283701.479999997</v>
      </c>
      <c r="AI29" s="13" t="str">
        <f t="shared" si="3"/>
        <v>OK</v>
      </c>
      <c r="AJ29" s="14">
        <v>0</v>
      </c>
      <c r="AK29" s="14">
        <v>0</v>
      </c>
      <c r="AL29" s="14">
        <v>14500000</v>
      </c>
      <c r="AM29" s="14">
        <v>4042877.04</v>
      </c>
      <c r="AN29" s="14">
        <v>22094870827</v>
      </c>
      <c r="AO29" s="14">
        <v>22094870827</v>
      </c>
      <c r="AP29" s="15">
        <f t="shared" si="4"/>
        <v>0</v>
      </c>
      <c r="AQ29" s="14">
        <v>533862739.94999999</v>
      </c>
      <c r="AR29" s="14">
        <v>533862739.94999999</v>
      </c>
      <c r="AS29" s="14">
        <v>0</v>
      </c>
      <c r="AT29" s="14">
        <v>0</v>
      </c>
      <c r="AU29" s="16">
        <f t="shared" si="5"/>
        <v>0</v>
      </c>
      <c r="AV29" s="13" t="str">
        <f t="shared" si="6"/>
        <v>NÃO</v>
      </c>
      <c r="AW29" s="13" t="str">
        <f t="shared" si="7"/>
        <v>OK</v>
      </c>
      <c r="AX29" s="13" t="str">
        <f t="shared" si="8"/>
        <v>OK</v>
      </c>
    </row>
    <row r="30" spans="1:50" x14ac:dyDescent="0.3">
      <c r="A30" s="10" t="s">
        <v>153</v>
      </c>
      <c r="B30" t="s">
        <v>1405</v>
      </c>
      <c r="C30" t="s">
        <v>191</v>
      </c>
      <c r="D30" t="s">
        <v>192</v>
      </c>
      <c r="E30" t="s">
        <v>46</v>
      </c>
      <c r="F30" t="s">
        <v>47</v>
      </c>
      <c r="G30" t="s">
        <v>60</v>
      </c>
      <c r="H30" t="s">
        <v>49</v>
      </c>
      <c r="I30" t="s">
        <v>50</v>
      </c>
      <c r="J30" t="s">
        <v>51</v>
      </c>
      <c r="K30" t="s">
        <v>51</v>
      </c>
      <c r="L30" t="s">
        <v>134</v>
      </c>
      <c r="M30">
        <v>447</v>
      </c>
      <c r="N30" s="11" t="str">
        <f t="shared" si="0"/>
        <v>OK</v>
      </c>
      <c r="O30" t="s">
        <v>54</v>
      </c>
      <c r="P30" t="s">
        <v>54</v>
      </c>
      <c r="Q30" t="s">
        <v>54</v>
      </c>
      <c r="R30" t="str">
        <f>VLOOKUP($D30,[1]Rascunho!$E$2:$S$296,15,FALSE)</f>
        <v>https://prodam.am.gov.br/acesso-a-informacao/carta-de-governanca-2023/</v>
      </c>
      <c r="S30" s="12">
        <v>144807306</v>
      </c>
      <c r="T30" s="12">
        <v>87174230</v>
      </c>
      <c r="U30" s="13" t="str">
        <f t="shared" si="1"/>
        <v>OK</v>
      </c>
      <c r="V30" s="14">
        <v>161419536</v>
      </c>
      <c r="W30" s="14">
        <v>1465262</v>
      </c>
      <c r="X30" t="s">
        <v>54</v>
      </c>
      <c r="Y30" s="14">
        <v>739666.67</v>
      </c>
      <c r="Z30" s="14">
        <v>1637.75</v>
      </c>
      <c r="AA30" s="14">
        <v>12480</v>
      </c>
      <c r="AB30" s="14">
        <v>-16612229</v>
      </c>
      <c r="AC30" s="13" t="str">
        <f t="shared" si="2"/>
        <v>VERIFICAR</v>
      </c>
      <c r="AD30" s="14">
        <v>34966644</v>
      </c>
      <c r="AE30" s="14">
        <v>0</v>
      </c>
      <c r="AF30" s="14">
        <v>0</v>
      </c>
      <c r="AG30" s="14">
        <v>0</v>
      </c>
      <c r="AH30" s="14">
        <v>0</v>
      </c>
      <c r="AI30" s="13" t="str">
        <f t="shared" si="3"/>
        <v>OK</v>
      </c>
      <c r="AJ30" s="14">
        <v>0</v>
      </c>
      <c r="AK30" s="14">
        <v>0</v>
      </c>
      <c r="AL30" s="14">
        <v>0</v>
      </c>
      <c r="AM30" s="14">
        <v>0</v>
      </c>
      <c r="AN30" s="14">
        <v>122013186</v>
      </c>
      <c r="AO30" s="14">
        <v>122013186</v>
      </c>
      <c r="AP30" s="15">
        <f t="shared" si="4"/>
        <v>0</v>
      </c>
      <c r="AQ30" s="14">
        <v>45144417</v>
      </c>
      <c r="AR30" s="14">
        <v>45144417</v>
      </c>
      <c r="AS30" s="14">
        <v>0</v>
      </c>
      <c r="AT30" s="14">
        <v>0</v>
      </c>
      <c r="AU30" s="16">
        <f t="shared" si="5"/>
        <v>0</v>
      </c>
      <c r="AV30" s="13" t="str">
        <f t="shared" si="6"/>
        <v>NÃO</v>
      </c>
      <c r="AW30" s="13" t="str">
        <f t="shared" si="7"/>
        <v>OK</v>
      </c>
      <c r="AX30" s="13" t="str">
        <f t="shared" si="8"/>
        <v>OK</v>
      </c>
    </row>
    <row r="31" spans="1:50" x14ac:dyDescent="0.3">
      <c r="A31" s="10" t="s">
        <v>195</v>
      </c>
      <c r="B31" t="s">
        <v>1406</v>
      </c>
      <c r="C31" t="s">
        <v>202</v>
      </c>
      <c r="D31" t="s">
        <v>203</v>
      </c>
      <c r="E31" t="s">
        <v>46</v>
      </c>
      <c r="F31" t="s">
        <v>71</v>
      </c>
      <c r="G31" t="s">
        <v>48</v>
      </c>
      <c r="H31" t="s">
        <v>49</v>
      </c>
      <c r="I31" t="s">
        <v>50</v>
      </c>
      <c r="J31" t="s">
        <v>51</v>
      </c>
      <c r="K31" t="s">
        <v>51</v>
      </c>
      <c r="L31" t="s">
        <v>134</v>
      </c>
      <c r="M31">
        <v>93</v>
      </c>
      <c r="N31" s="11" t="str">
        <f t="shared" si="0"/>
        <v>OK</v>
      </c>
      <c r="O31" t="s">
        <v>54</v>
      </c>
      <c r="P31" t="s">
        <v>54</v>
      </c>
      <c r="Q31" t="s">
        <v>51</v>
      </c>
      <c r="R31" t="str">
        <f>VLOOKUP($D31,[1]Rascunho!$E$2:$S$296,15,FALSE)</f>
        <v>https://www.afap.ap.gov.br/transparencia/governanca/2020</v>
      </c>
      <c r="S31" s="12">
        <v>2254000</v>
      </c>
      <c r="T31" s="12">
        <v>7959879.1200000001</v>
      </c>
      <c r="U31" s="13" t="str">
        <f t="shared" si="1"/>
        <v>OK</v>
      </c>
      <c r="V31" s="14">
        <v>13852808.390000001</v>
      </c>
      <c r="W31" s="14">
        <v>0</v>
      </c>
      <c r="X31" t="s">
        <v>51</v>
      </c>
      <c r="Y31" s="14">
        <v>277852.44</v>
      </c>
      <c r="Z31" s="14">
        <v>0</v>
      </c>
      <c r="AA31" s="14">
        <v>0</v>
      </c>
      <c r="AB31" s="14">
        <v>-2253804.96</v>
      </c>
      <c r="AC31" s="13" t="str">
        <f t="shared" si="2"/>
        <v>OK</v>
      </c>
      <c r="AD31" s="14">
        <v>15237488.18</v>
      </c>
      <c r="AE31" s="14">
        <v>0</v>
      </c>
      <c r="AF31" s="14">
        <v>0</v>
      </c>
      <c r="AG31" s="14">
        <v>0</v>
      </c>
      <c r="AH31" s="14">
        <v>0</v>
      </c>
      <c r="AI31" s="13" t="str">
        <f t="shared" si="3"/>
        <v>OK</v>
      </c>
      <c r="AJ31" s="14">
        <v>0</v>
      </c>
      <c r="AK31" s="14">
        <v>0</v>
      </c>
      <c r="AL31" s="14">
        <v>15600000</v>
      </c>
      <c r="AM31" s="14">
        <v>0</v>
      </c>
      <c r="AN31" s="14">
        <v>28655740.379999999</v>
      </c>
      <c r="AO31" s="14">
        <v>0</v>
      </c>
      <c r="AP31" s="15">
        <f t="shared" si="4"/>
        <v>-28655740.379999999</v>
      </c>
      <c r="AQ31" s="14">
        <v>0</v>
      </c>
      <c r="AR31" s="14">
        <v>0</v>
      </c>
      <c r="AS31" s="14">
        <v>5800000</v>
      </c>
      <c r="AT31" s="14">
        <v>0</v>
      </c>
      <c r="AU31" s="16">
        <f t="shared" si="5"/>
        <v>0</v>
      </c>
      <c r="AV31" s="13" t="str">
        <f t="shared" si="6"/>
        <v>NÃO</v>
      </c>
      <c r="AW31" s="13" t="str">
        <f t="shared" si="7"/>
        <v>OK</v>
      </c>
      <c r="AX31" s="13" t="str">
        <f t="shared" si="8"/>
        <v>OK</v>
      </c>
    </row>
    <row r="32" spans="1:50" x14ac:dyDescent="0.3">
      <c r="A32" s="10" t="s">
        <v>195</v>
      </c>
      <c r="B32" t="s">
        <v>1407</v>
      </c>
      <c r="C32" t="s">
        <v>197</v>
      </c>
      <c r="D32" t="s">
        <v>198</v>
      </c>
      <c r="E32" t="s">
        <v>46</v>
      </c>
      <c r="F32" t="s">
        <v>107</v>
      </c>
      <c r="G32" t="s">
        <v>60</v>
      </c>
      <c r="H32" t="s">
        <v>49</v>
      </c>
      <c r="I32" t="s">
        <v>50</v>
      </c>
      <c r="J32" t="s">
        <v>51</v>
      </c>
      <c r="K32" t="s">
        <v>51</v>
      </c>
      <c r="L32" t="s">
        <v>52</v>
      </c>
      <c r="M32">
        <v>414</v>
      </c>
      <c r="N32" s="11" t="str">
        <f t="shared" si="0"/>
        <v>OK</v>
      </c>
      <c r="O32" t="s">
        <v>54</v>
      </c>
      <c r="P32" t="s">
        <v>54</v>
      </c>
      <c r="Q32" t="s">
        <v>51</v>
      </c>
      <c r="R32" t="str">
        <f>VLOOKUP($D32,[1]Rascunho!$E$2:$S$296,15,FALSE)</f>
        <v>https://caesa.portal.ap.gov.br/pagina/carta-de-servico</v>
      </c>
      <c r="S32" s="12">
        <v>51513275.270000003</v>
      </c>
      <c r="T32" s="12">
        <v>46365631.409999996</v>
      </c>
      <c r="U32" s="13" t="str">
        <f t="shared" si="1"/>
        <v>OK</v>
      </c>
      <c r="V32" s="14">
        <v>49662479.189999998</v>
      </c>
      <c r="W32" s="14">
        <v>0</v>
      </c>
      <c r="X32" t="s">
        <v>51</v>
      </c>
      <c r="Y32" s="14">
        <v>0</v>
      </c>
      <c r="Z32" s="14">
        <v>0</v>
      </c>
      <c r="AA32" s="14">
        <v>0</v>
      </c>
      <c r="AB32" s="14">
        <v>1850796.08</v>
      </c>
      <c r="AC32" s="13" t="str">
        <f t="shared" si="2"/>
        <v>OK</v>
      </c>
      <c r="AD32" s="14">
        <v>954159.93</v>
      </c>
      <c r="AE32" s="14">
        <v>0</v>
      </c>
      <c r="AF32" s="14">
        <v>0</v>
      </c>
      <c r="AG32" s="14">
        <v>0</v>
      </c>
      <c r="AH32" s="14">
        <v>0</v>
      </c>
      <c r="AI32" s="13" t="str">
        <f t="shared" si="3"/>
        <v>OK</v>
      </c>
      <c r="AJ32" s="14">
        <v>0</v>
      </c>
      <c r="AK32" s="14">
        <v>0</v>
      </c>
      <c r="AL32" s="14">
        <v>0</v>
      </c>
      <c r="AM32" s="14">
        <v>0</v>
      </c>
      <c r="AN32" s="14">
        <v>5245225458</v>
      </c>
      <c r="AO32" s="14">
        <v>0</v>
      </c>
      <c r="AP32" s="15">
        <f t="shared" si="4"/>
        <v>-5245225458</v>
      </c>
      <c r="AQ32" s="14">
        <v>458045958.5</v>
      </c>
      <c r="AR32" s="14">
        <v>5800000</v>
      </c>
      <c r="AS32" s="14">
        <v>50913213.359999999</v>
      </c>
      <c r="AT32" s="14">
        <v>0</v>
      </c>
      <c r="AU32" s="16">
        <f t="shared" si="5"/>
        <v>-452245958.5</v>
      </c>
      <c r="AV32" s="13" t="str">
        <f t="shared" si="6"/>
        <v>NÃO</v>
      </c>
      <c r="AW32" s="13" t="str">
        <f t="shared" si="7"/>
        <v>OK</v>
      </c>
      <c r="AX32" s="13" t="str">
        <f t="shared" si="8"/>
        <v>OK</v>
      </c>
    </row>
    <row r="33" spans="1:50" x14ac:dyDescent="0.3">
      <c r="A33" s="10" t="s">
        <v>195</v>
      </c>
      <c r="B33" t="s">
        <v>1408</v>
      </c>
      <c r="C33" t="s">
        <v>206</v>
      </c>
      <c r="D33" t="s">
        <v>207</v>
      </c>
      <c r="E33" t="s">
        <v>46</v>
      </c>
      <c r="F33" t="s">
        <v>139</v>
      </c>
      <c r="G33" t="s">
        <v>60</v>
      </c>
      <c r="H33" t="s">
        <v>49</v>
      </c>
      <c r="I33" t="s">
        <v>50</v>
      </c>
      <c r="J33" t="s">
        <v>51</v>
      </c>
      <c r="K33" t="s">
        <v>51</v>
      </c>
      <c r="L33" t="s">
        <v>134</v>
      </c>
      <c r="M33">
        <v>2</v>
      </c>
      <c r="N33" s="11" t="str">
        <f t="shared" si="0"/>
        <v>OK</v>
      </c>
      <c r="O33" t="s">
        <v>54</v>
      </c>
      <c r="P33" t="s">
        <v>54</v>
      </c>
      <c r="Q33" t="s">
        <v>51</v>
      </c>
      <c r="R33" t="str">
        <f>VLOOKUP($D33,[1]Rascunho!$E$2:$S$296,15,FALSE)</f>
        <v>https://gasap.com.br/pre-qualificacao</v>
      </c>
      <c r="S33" s="12">
        <v>52000</v>
      </c>
      <c r="T33" s="12">
        <v>69750</v>
      </c>
      <c r="U33" s="13" t="str">
        <f t="shared" si="1"/>
        <v>OK</v>
      </c>
      <c r="V33" s="14">
        <v>273000</v>
      </c>
      <c r="W33" s="14">
        <v>0</v>
      </c>
      <c r="X33" t="s">
        <v>51</v>
      </c>
      <c r="Y33" s="14">
        <v>69750</v>
      </c>
      <c r="Z33" s="14">
        <v>0</v>
      </c>
      <c r="AA33" s="14">
        <v>0</v>
      </c>
      <c r="AB33" s="14">
        <v>-221000</v>
      </c>
      <c r="AC33" s="13" t="str">
        <f t="shared" si="2"/>
        <v>OK</v>
      </c>
      <c r="AD33" s="14">
        <v>-2738000</v>
      </c>
      <c r="AE33" s="14">
        <v>0</v>
      </c>
      <c r="AF33" s="14">
        <v>0</v>
      </c>
      <c r="AG33" s="14">
        <v>0</v>
      </c>
      <c r="AH33" s="14">
        <v>0</v>
      </c>
      <c r="AI33" s="13" t="str">
        <f t="shared" si="3"/>
        <v>OK</v>
      </c>
      <c r="AJ33" s="14">
        <v>0</v>
      </c>
      <c r="AK33" s="14">
        <v>0</v>
      </c>
      <c r="AL33" s="14">
        <v>0</v>
      </c>
      <c r="AM33" s="14">
        <v>0</v>
      </c>
      <c r="AN33" s="14">
        <v>663000</v>
      </c>
      <c r="AO33" s="14">
        <v>0</v>
      </c>
      <c r="AP33" s="15">
        <f t="shared" si="4"/>
        <v>-663000</v>
      </c>
      <c r="AQ33" s="14">
        <v>2999000</v>
      </c>
      <c r="AR33" s="14">
        <v>2999000</v>
      </c>
      <c r="AS33" s="14">
        <v>0</v>
      </c>
      <c r="AT33" s="14">
        <v>101000</v>
      </c>
      <c r="AU33" s="16">
        <f t="shared" si="5"/>
        <v>101000</v>
      </c>
      <c r="AV33" s="13" t="str">
        <f t="shared" si="6"/>
        <v>SIM</v>
      </c>
      <c r="AW33" s="13" t="str">
        <f t="shared" si="7"/>
        <v>OK</v>
      </c>
      <c r="AX33" s="13" t="str">
        <f t="shared" si="8"/>
        <v>OK</v>
      </c>
    </row>
    <row r="34" spans="1:50" x14ac:dyDescent="0.3">
      <c r="A34" s="10" t="s">
        <v>210</v>
      </c>
      <c r="B34" t="s">
        <v>1409</v>
      </c>
      <c r="C34" t="s">
        <v>1410</v>
      </c>
      <c r="D34" t="s">
        <v>213</v>
      </c>
      <c r="E34" t="s">
        <v>46</v>
      </c>
      <c r="F34" t="s">
        <v>102</v>
      </c>
      <c r="G34" t="s">
        <v>60</v>
      </c>
      <c r="H34" t="s">
        <v>49</v>
      </c>
      <c r="I34" t="s">
        <v>50</v>
      </c>
      <c r="J34" t="s">
        <v>51</v>
      </c>
      <c r="K34" t="s">
        <v>51</v>
      </c>
      <c r="L34" t="s">
        <v>52</v>
      </c>
      <c r="M34">
        <v>110</v>
      </c>
      <c r="N34" s="11" t="str">
        <f t="shared" si="0"/>
        <v>OK</v>
      </c>
      <c r="O34" t="s">
        <v>54</v>
      </c>
      <c r="P34" t="s">
        <v>54</v>
      </c>
      <c r="Q34" t="s">
        <v>51</v>
      </c>
      <c r="R34" t="str">
        <f>VLOOKUP($D34,[1]Rascunho!$E$2:$S$296,15,FALSE)</f>
        <v>https://www.ba.gov.br/bahiapesca/</v>
      </c>
      <c r="S34" s="12">
        <v>41002</v>
      </c>
      <c r="T34" s="12">
        <v>12857926</v>
      </c>
      <c r="U34" s="13" t="str">
        <f t="shared" si="1"/>
        <v>OK</v>
      </c>
      <c r="V34" s="14">
        <v>28276332</v>
      </c>
      <c r="W34" s="14">
        <v>861350</v>
      </c>
      <c r="X34" t="s">
        <v>51</v>
      </c>
      <c r="Y34" s="14">
        <v>343628.88</v>
      </c>
      <c r="Z34" s="14">
        <v>0</v>
      </c>
      <c r="AA34" s="14">
        <v>0</v>
      </c>
      <c r="AB34" s="14">
        <v>1711832</v>
      </c>
      <c r="AC34" s="13" t="str">
        <f t="shared" si="2"/>
        <v>OK</v>
      </c>
      <c r="AD34" s="14">
        <v>-6739905</v>
      </c>
      <c r="AE34" s="14" t="e">
        <v>#VALUE!</v>
      </c>
      <c r="AF34" s="14">
        <v>0</v>
      </c>
      <c r="AG34" s="14">
        <v>4506880</v>
      </c>
      <c r="AH34" s="14">
        <v>5400883</v>
      </c>
      <c r="AI34" s="13" t="str">
        <f t="shared" si="3"/>
        <v>OK</v>
      </c>
      <c r="AJ34" s="14">
        <v>0</v>
      </c>
      <c r="AK34" s="14">
        <v>0</v>
      </c>
      <c r="AL34" s="14">
        <v>5175404</v>
      </c>
      <c r="AM34" s="14">
        <v>2558600</v>
      </c>
      <c r="AN34" s="14">
        <v>16079007</v>
      </c>
      <c r="AO34" s="14">
        <v>16079007</v>
      </c>
      <c r="AP34" s="15">
        <f t="shared" si="4"/>
        <v>0</v>
      </c>
      <c r="AQ34" s="14">
        <v>4824688.6399999997</v>
      </c>
      <c r="AR34" s="14">
        <v>4824688.6399999997</v>
      </c>
      <c r="AS34" s="14">
        <v>0</v>
      </c>
      <c r="AT34" s="14">
        <v>0</v>
      </c>
      <c r="AU34" s="16">
        <f t="shared" si="5"/>
        <v>0</v>
      </c>
      <c r="AV34" s="13" t="str">
        <f t="shared" si="6"/>
        <v>NÃO</v>
      </c>
      <c r="AW34" s="13" t="str">
        <f t="shared" si="7"/>
        <v>OK</v>
      </c>
      <c r="AX34" s="13" t="str">
        <f t="shared" si="8"/>
        <v>OK</v>
      </c>
    </row>
    <row r="35" spans="1:50" x14ac:dyDescent="0.3">
      <c r="A35" s="10" t="s">
        <v>210</v>
      </c>
      <c r="B35" t="s">
        <v>1411</v>
      </c>
      <c r="C35" t="s">
        <v>1412</v>
      </c>
      <c r="D35" t="s">
        <v>244</v>
      </c>
      <c r="E35" t="s">
        <v>46</v>
      </c>
      <c r="F35" t="s">
        <v>139</v>
      </c>
      <c r="G35" t="s">
        <v>60</v>
      </c>
      <c r="H35" t="s">
        <v>49</v>
      </c>
      <c r="I35" t="s">
        <v>50</v>
      </c>
      <c r="J35" t="s">
        <v>51</v>
      </c>
      <c r="K35" t="s">
        <v>51</v>
      </c>
      <c r="L35" t="s">
        <v>134</v>
      </c>
      <c r="M35">
        <v>604</v>
      </c>
      <c r="N35" s="11" t="str">
        <f t="shared" si="0"/>
        <v>OK</v>
      </c>
      <c r="O35" t="s">
        <v>54</v>
      </c>
      <c r="P35" t="s">
        <v>54</v>
      </c>
      <c r="Q35" t="s">
        <v>54</v>
      </c>
      <c r="R35" t="str">
        <f>VLOOKUP($D35,[1]Rascunho!$E$2:$S$296,15,FALSE)</f>
        <v>https://www.bahiagas.com.br/sobre-a-bahiagas/cartas-anuais</v>
      </c>
      <c r="S35" s="12">
        <v>3450234551.7600002</v>
      </c>
      <c r="T35" s="12">
        <v>103016220.5</v>
      </c>
      <c r="U35" s="13" t="str">
        <f t="shared" si="1"/>
        <v>OK</v>
      </c>
      <c r="V35" s="14">
        <v>307557539.55000001</v>
      </c>
      <c r="W35" s="14">
        <v>204541319.05000001</v>
      </c>
      <c r="X35" t="s">
        <v>54</v>
      </c>
      <c r="Y35" s="14">
        <v>504717.4</v>
      </c>
      <c r="Z35" s="14">
        <v>33531.839999999997</v>
      </c>
      <c r="AA35" s="14">
        <v>31202.11</v>
      </c>
      <c r="AB35" s="14">
        <v>439676112.87</v>
      </c>
      <c r="AC35" s="13" t="str">
        <f t="shared" si="2"/>
        <v>OK</v>
      </c>
      <c r="AD35" s="14">
        <v>1010277928.15</v>
      </c>
      <c r="AE35" s="14" t="e">
        <v>#VALUE!</v>
      </c>
      <c r="AF35" s="14">
        <v>71076345.700000003</v>
      </c>
      <c r="AG35" s="14">
        <v>0</v>
      </c>
      <c r="AH35" s="14">
        <v>0</v>
      </c>
      <c r="AI35" s="13" t="str">
        <f t="shared" si="3"/>
        <v>OK</v>
      </c>
      <c r="AJ35" s="14">
        <v>0</v>
      </c>
      <c r="AK35" s="14">
        <v>0</v>
      </c>
      <c r="AL35" s="14">
        <v>0</v>
      </c>
      <c r="AM35" s="14">
        <v>0</v>
      </c>
      <c r="AN35" s="14">
        <v>12590530</v>
      </c>
      <c r="AO35" s="14">
        <v>13490874</v>
      </c>
      <c r="AP35" s="15">
        <f t="shared" si="4"/>
        <v>900344</v>
      </c>
      <c r="AQ35" s="14">
        <v>295589280.05000001</v>
      </c>
      <c r="AR35" s="14">
        <v>316726740.44999999</v>
      </c>
      <c r="AS35" s="14">
        <v>0</v>
      </c>
      <c r="AT35" s="14">
        <v>0</v>
      </c>
      <c r="AU35" s="16">
        <f t="shared" si="5"/>
        <v>21137460.399999976</v>
      </c>
      <c r="AV35" s="13" t="str">
        <f t="shared" si="6"/>
        <v>SIM</v>
      </c>
      <c r="AW35" s="13" t="str">
        <f t="shared" si="7"/>
        <v>OK</v>
      </c>
      <c r="AX35" s="13" t="str">
        <f t="shared" si="8"/>
        <v>OK</v>
      </c>
    </row>
    <row r="36" spans="1:50" x14ac:dyDescent="0.3">
      <c r="A36" s="10" t="s">
        <v>210</v>
      </c>
      <c r="B36" t="s">
        <v>1413</v>
      </c>
      <c r="C36" t="s">
        <v>248</v>
      </c>
      <c r="D36" t="s">
        <v>249</v>
      </c>
      <c r="E36" t="s">
        <v>46</v>
      </c>
      <c r="F36" t="s">
        <v>133</v>
      </c>
      <c r="G36" t="s">
        <v>60</v>
      </c>
      <c r="H36" t="s">
        <v>49</v>
      </c>
      <c r="I36" t="s">
        <v>50</v>
      </c>
      <c r="J36" t="s">
        <v>51</v>
      </c>
      <c r="K36" t="s">
        <v>51</v>
      </c>
      <c r="L36" t="s">
        <v>134</v>
      </c>
      <c r="M36">
        <v>15</v>
      </c>
      <c r="N36" s="11" t="str">
        <f t="shared" si="0"/>
        <v>OK</v>
      </c>
      <c r="O36" t="s">
        <v>54</v>
      </c>
      <c r="P36" t="s">
        <v>54</v>
      </c>
      <c r="Q36" t="s">
        <v>54</v>
      </c>
      <c r="R36" t="str">
        <f>VLOOKUP($D36,[1]Rascunho!$E$2:$S$296,15,FALSE)</f>
        <v>http://www.bahiainveste.ba.gov.br/</v>
      </c>
      <c r="S36" s="12">
        <v>3350383</v>
      </c>
      <c r="T36" s="12">
        <v>4234823</v>
      </c>
      <c r="U36" s="13" t="str">
        <f t="shared" si="1"/>
        <v>OK</v>
      </c>
      <c r="V36" s="14">
        <v>5621739</v>
      </c>
      <c r="W36" s="14">
        <v>897</v>
      </c>
      <c r="X36" t="s">
        <v>51</v>
      </c>
      <c r="Y36" s="14">
        <v>525550.22</v>
      </c>
      <c r="Z36" s="14">
        <v>0</v>
      </c>
      <c r="AA36" s="14">
        <v>0</v>
      </c>
      <c r="AB36" s="14">
        <v>-2909421</v>
      </c>
      <c r="AC36" s="13" t="str">
        <f t="shared" si="2"/>
        <v>OK</v>
      </c>
      <c r="AD36" s="14">
        <v>63524946</v>
      </c>
      <c r="AE36" s="14" t="e">
        <v>#VALUE!</v>
      </c>
      <c r="AF36" s="14">
        <v>0</v>
      </c>
      <c r="AG36" s="14">
        <v>0</v>
      </c>
      <c r="AH36" s="14">
        <v>0</v>
      </c>
      <c r="AI36" s="13" t="str">
        <f t="shared" si="3"/>
        <v>OK</v>
      </c>
      <c r="AJ36" s="14">
        <v>0</v>
      </c>
      <c r="AK36" s="14">
        <v>0</v>
      </c>
      <c r="AL36" s="14">
        <v>0</v>
      </c>
      <c r="AM36" s="14">
        <v>0</v>
      </c>
      <c r="AN36" s="14">
        <v>99.96</v>
      </c>
      <c r="AO36" s="14">
        <v>99.96</v>
      </c>
      <c r="AP36" s="15">
        <f t="shared" si="4"/>
        <v>0</v>
      </c>
      <c r="AQ36" s="14">
        <v>80735673.400000006</v>
      </c>
      <c r="AR36" s="14">
        <v>80735673</v>
      </c>
      <c r="AS36" s="14">
        <v>0</v>
      </c>
      <c r="AT36" s="14">
        <v>0</v>
      </c>
      <c r="AU36" s="16">
        <f t="shared" si="5"/>
        <v>-0.40000000596046448</v>
      </c>
      <c r="AV36" s="13" t="str">
        <f t="shared" si="6"/>
        <v>NÃO</v>
      </c>
      <c r="AW36" s="13" t="str">
        <f t="shared" si="7"/>
        <v>OK</v>
      </c>
      <c r="AX36" s="13" t="str">
        <f t="shared" si="8"/>
        <v>OK</v>
      </c>
    </row>
    <row r="37" spans="1:50" x14ac:dyDescent="0.3">
      <c r="A37" s="10" t="s">
        <v>210</v>
      </c>
      <c r="B37" t="s">
        <v>1414</v>
      </c>
      <c r="C37" t="s">
        <v>217</v>
      </c>
      <c r="D37" t="s">
        <v>218</v>
      </c>
      <c r="E37" t="s">
        <v>46</v>
      </c>
      <c r="F37" t="s">
        <v>65</v>
      </c>
      <c r="G37" t="s">
        <v>48</v>
      </c>
      <c r="H37" t="s">
        <v>49</v>
      </c>
      <c r="I37" t="s">
        <v>50</v>
      </c>
      <c r="J37" t="s">
        <v>51</v>
      </c>
      <c r="K37" t="s">
        <v>51</v>
      </c>
      <c r="L37" t="s">
        <v>52</v>
      </c>
      <c r="M37">
        <v>368</v>
      </c>
      <c r="N37" s="11" t="str">
        <f t="shared" si="0"/>
        <v>OK</v>
      </c>
      <c r="O37" t="s">
        <v>54</v>
      </c>
      <c r="P37" t="s">
        <v>54</v>
      </c>
      <c r="Q37" t="s">
        <v>51</v>
      </c>
      <c r="R37" t="str">
        <f>VLOOKUP($D37,[1]Rascunho!$E$2:$S$296,15,FALSE)</f>
        <v>https://www.car.ba.gov.br/</v>
      </c>
      <c r="S37" s="12">
        <v>51418142.520000003</v>
      </c>
      <c r="T37" s="12">
        <v>40105465.369999997</v>
      </c>
      <c r="U37" s="13" t="str">
        <f t="shared" si="1"/>
        <v>OK</v>
      </c>
      <c r="V37" s="14">
        <v>53038774.299999997</v>
      </c>
      <c r="W37" s="14">
        <v>0</v>
      </c>
      <c r="X37" t="s">
        <v>51</v>
      </c>
      <c r="Y37" s="14">
        <v>467124.04</v>
      </c>
      <c r="Z37" s="14">
        <v>0</v>
      </c>
      <c r="AA37" s="14">
        <v>0</v>
      </c>
      <c r="AB37" s="14">
        <v>-1184296</v>
      </c>
      <c r="AC37" s="13" t="str">
        <f t="shared" si="2"/>
        <v>OK</v>
      </c>
      <c r="AD37" s="14">
        <v>-39270884</v>
      </c>
      <c r="AE37" s="14" t="e">
        <v>#VALUE!</v>
      </c>
      <c r="AF37" s="14">
        <v>0</v>
      </c>
      <c r="AG37" s="14">
        <v>44309929.009999998</v>
      </c>
      <c r="AH37" s="14">
        <v>53410345.450000003</v>
      </c>
      <c r="AI37" s="13" t="str">
        <f t="shared" si="3"/>
        <v>OK</v>
      </c>
      <c r="AJ37" s="14">
        <v>0</v>
      </c>
      <c r="AK37" s="14">
        <v>0</v>
      </c>
      <c r="AL37" s="14">
        <v>0</v>
      </c>
      <c r="AM37" s="14">
        <v>0</v>
      </c>
      <c r="AN37" s="14">
        <v>13542532</v>
      </c>
      <c r="AO37" s="14">
        <v>13542532</v>
      </c>
      <c r="AP37" s="15">
        <f t="shared" si="4"/>
        <v>0</v>
      </c>
      <c r="AQ37" s="14">
        <v>13542532.35</v>
      </c>
      <c r="AR37" s="14">
        <v>13542532.35</v>
      </c>
      <c r="AS37" s="14">
        <v>12594334.43</v>
      </c>
      <c r="AT37" s="14">
        <v>12549845.65</v>
      </c>
      <c r="AU37" s="16">
        <f t="shared" si="5"/>
        <v>12549845.65</v>
      </c>
      <c r="AV37" s="13" t="str">
        <f t="shared" si="6"/>
        <v>SIM</v>
      </c>
      <c r="AW37" s="13" t="str">
        <f t="shared" si="7"/>
        <v>OK</v>
      </c>
      <c r="AX37" s="13" t="str">
        <f t="shared" si="8"/>
        <v>OK</v>
      </c>
    </row>
    <row r="38" spans="1:50" x14ac:dyDescent="0.3">
      <c r="A38" s="10" t="s">
        <v>210</v>
      </c>
      <c r="B38" t="s">
        <v>1415</v>
      </c>
      <c r="C38" t="s">
        <v>222</v>
      </c>
      <c r="D38" t="s">
        <v>223</v>
      </c>
      <c r="E38" t="s">
        <v>46</v>
      </c>
      <c r="F38" t="s">
        <v>224</v>
      </c>
      <c r="G38" t="s">
        <v>60</v>
      </c>
      <c r="H38" t="s">
        <v>49</v>
      </c>
      <c r="I38" t="s">
        <v>50</v>
      </c>
      <c r="J38" t="s">
        <v>51</v>
      </c>
      <c r="K38" t="s">
        <v>51</v>
      </c>
      <c r="L38" t="s">
        <v>52</v>
      </c>
      <c r="M38">
        <v>151</v>
      </c>
      <c r="N38" s="11" t="str">
        <f t="shared" si="0"/>
        <v>OK</v>
      </c>
      <c r="O38" t="s">
        <v>54</v>
      </c>
      <c r="P38" t="s">
        <v>54</v>
      </c>
      <c r="Q38" t="s">
        <v>51</v>
      </c>
      <c r="R38" t="str">
        <f>VLOOKUP($D38,[1]Rascunho!$E$2:$S$296,15,FALSE)</f>
        <v>http://www.cbpm.ba.gov.br/transparencia/carta-anual-de-politicas-publicas-e-governanca-corporativa/</v>
      </c>
      <c r="S38" s="12">
        <v>63350117.609999999</v>
      </c>
      <c r="T38" s="12">
        <v>41664008.609999999</v>
      </c>
      <c r="U38" s="13" t="str">
        <f t="shared" si="1"/>
        <v>OK</v>
      </c>
      <c r="V38" s="14">
        <v>122980428.59</v>
      </c>
      <c r="W38" s="14">
        <v>1668458.7</v>
      </c>
      <c r="X38" t="s">
        <v>51</v>
      </c>
      <c r="Y38" s="14">
        <v>438011.16</v>
      </c>
      <c r="Z38" s="14">
        <v>0</v>
      </c>
      <c r="AA38" s="14">
        <v>11085.1</v>
      </c>
      <c r="AB38" s="14">
        <v>1803988.99</v>
      </c>
      <c r="AC38" s="13" t="str">
        <f t="shared" si="2"/>
        <v>OK</v>
      </c>
      <c r="AD38" s="14">
        <v>93670670.040000007</v>
      </c>
      <c r="AE38" s="14" t="e">
        <v>#VALUE!</v>
      </c>
      <c r="AF38" s="14">
        <v>0</v>
      </c>
      <c r="AG38" s="14">
        <v>7080708.6799999997</v>
      </c>
      <c r="AH38" s="14">
        <v>6087023.9100000001</v>
      </c>
      <c r="AI38" s="13" t="str">
        <f t="shared" si="3"/>
        <v>OK</v>
      </c>
      <c r="AJ38" s="14">
        <v>0</v>
      </c>
      <c r="AK38" s="14">
        <v>0</v>
      </c>
      <c r="AL38" s="14">
        <v>0</v>
      </c>
      <c r="AM38" s="14">
        <v>0</v>
      </c>
      <c r="AN38" s="14">
        <v>99991387</v>
      </c>
      <c r="AO38" s="14">
        <v>99991387</v>
      </c>
      <c r="AP38" s="15">
        <f t="shared" si="4"/>
        <v>0</v>
      </c>
      <c r="AQ38" s="14">
        <v>100000000</v>
      </c>
      <c r="AR38" s="14">
        <v>100000000</v>
      </c>
      <c r="AS38" s="14">
        <v>0</v>
      </c>
      <c r="AT38" s="14">
        <v>0</v>
      </c>
      <c r="AU38" s="16">
        <f t="shared" si="5"/>
        <v>0</v>
      </c>
      <c r="AV38" s="13" t="str">
        <f t="shared" si="6"/>
        <v>NÃO</v>
      </c>
      <c r="AW38" s="13" t="str">
        <f t="shared" si="7"/>
        <v>OK</v>
      </c>
      <c r="AX38" s="13" t="str">
        <f t="shared" si="8"/>
        <v>OK</v>
      </c>
    </row>
    <row r="39" spans="1:50" x14ac:dyDescent="0.3">
      <c r="A39" s="10" t="s">
        <v>210</v>
      </c>
      <c r="B39" t="s">
        <v>1416</v>
      </c>
      <c r="C39" t="s">
        <v>228</v>
      </c>
      <c r="D39" t="s">
        <v>229</v>
      </c>
      <c r="E39" t="s">
        <v>46</v>
      </c>
      <c r="F39" t="s">
        <v>107</v>
      </c>
      <c r="G39" t="s">
        <v>60</v>
      </c>
      <c r="H39" t="s">
        <v>49</v>
      </c>
      <c r="I39" t="s">
        <v>50</v>
      </c>
      <c r="J39" t="s">
        <v>51</v>
      </c>
      <c r="K39" t="s">
        <v>51</v>
      </c>
      <c r="L39" t="s">
        <v>52</v>
      </c>
      <c r="M39">
        <v>1055</v>
      </c>
      <c r="N39" s="11" t="str">
        <f t="shared" si="0"/>
        <v>OK</v>
      </c>
      <c r="O39" t="s">
        <v>54</v>
      </c>
      <c r="P39" t="s">
        <v>54</v>
      </c>
      <c r="Q39" t="s">
        <v>54</v>
      </c>
      <c r="R39" t="str">
        <f>VLOOKUP($D39,[1]Rascunho!$E$2:$S$296,15,FALSE)</f>
        <v>http://www.cerb.ba.gov.br/sites/www.cerb.ba.gov.br/files/a_cerb/nosso_papel/page/files/CARTA%20ANUAL%202022%20CERB.pdf</v>
      </c>
      <c r="S39" s="12">
        <v>13775872.310000001</v>
      </c>
      <c r="T39" s="12">
        <v>98152082.879999995</v>
      </c>
      <c r="U39" s="13" t="str">
        <f t="shared" si="1"/>
        <v>OK</v>
      </c>
      <c r="V39" s="14">
        <v>166785986.68000001</v>
      </c>
      <c r="W39" s="14">
        <v>68633903.799999997</v>
      </c>
      <c r="X39" t="s">
        <v>51</v>
      </c>
      <c r="Y39" s="14">
        <v>397800.12</v>
      </c>
      <c r="Z39" s="14">
        <v>16073.65</v>
      </c>
      <c r="AA39" s="14">
        <v>4804.8</v>
      </c>
      <c r="AB39" s="14">
        <v>-396080.78</v>
      </c>
      <c r="AC39" s="13" t="str">
        <f t="shared" si="2"/>
        <v>OK</v>
      </c>
      <c r="AD39" s="14">
        <v>-8698883.2699999996</v>
      </c>
      <c r="AE39" s="14" t="e">
        <v>#VALUE!</v>
      </c>
      <c r="AF39" s="14">
        <v>0</v>
      </c>
      <c r="AG39" s="14">
        <v>110774769.16</v>
      </c>
      <c r="AH39" s="14">
        <v>122801246.42</v>
      </c>
      <c r="AI39" s="13" t="str">
        <f t="shared" si="3"/>
        <v>OK</v>
      </c>
      <c r="AJ39" s="14">
        <v>0</v>
      </c>
      <c r="AK39" s="14">
        <v>0</v>
      </c>
      <c r="AL39" s="14">
        <v>0</v>
      </c>
      <c r="AM39" s="14">
        <v>0</v>
      </c>
      <c r="AN39" s="14">
        <v>99.65</v>
      </c>
      <c r="AO39" s="14">
        <v>99.65</v>
      </c>
      <c r="AP39" s="15">
        <f t="shared" si="4"/>
        <v>0</v>
      </c>
      <c r="AQ39" s="14">
        <v>131206906</v>
      </c>
      <c r="AR39" s="14">
        <v>131206906</v>
      </c>
      <c r="AS39" s="14">
        <v>0</v>
      </c>
      <c r="AT39" s="14">
        <v>0</v>
      </c>
      <c r="AU39" s="16">
        <f t="shared" si="5"/>
        <v>0</v>
      </c>
      <c r="AV39" s="13" t="str">
        <f t="shared" si="6"/>
        <v>NÃO</v>
      </c>
      <c r="AW39" s="13" t="str">
        <f t="shared" si="7"/>
        <v>OK</v>
      </c>
      <c r="AX39" s="13" t="str">
        <f t="shared" si="8"/>
        <v>OK</v>
      </c>
    </row>
    <row r="40" spans="1:50" x14ac:dyDescent="0.3">
      <c r="A40" s="10" t="s">
        <v>210</v>
      </c>
      <c r="B40" t="s">
        <v>1417</v>
      </c>
      <c r="C40" t="s">
        <v>233</v>
      </c>
      <c r="D40" t="s">
        <v>234</v>
      </c>
      <c r="E40" t="s">
        <v>46</v>
      </c>
      <c r="F40" t="s">
        <v>93</v>
      </c>
      <c r="G40" t="s">
        <v>48</v>
      </c>
      <c r="H40" t="s">
        <v>76</v>
      </c>
      <c r="I40" t="s">
        <v>50</v>
      </c>
      <c r="J40" t="s">
        <v>51</v>
      </c>
      <c r="K40" t="s">
        <v>51</v>
      </c>
      <c r="L40" t="s">
        <v>52</v>
      </c>
      <c r="M40">
        <v>382</v>
      </c>
      <c r="N40" s="11" t="str">
        <f t="shared" si="0"/>
        <v>OK</v>
      </c>
      <c r="O40" t="s">
        <v>54</v>
      </c>
      <c r="P40" t="s">
        <v>54</v>
      </c>
      <c r="Q40" t="s">
        <v>51</v>
      </c>
      <c r="R40" t="str">
        <f>VLOOKUP($D40,[1]Rascunho!$E$2:$S$296,15,FALSE)</f>
        <v>https://www.conder.ba.gov.br/sites/default/files/2024-04/CARTA GOVERNANÇA 2024_0.pdf</v>
      </c>
      <c r="S40" s="12">
        <v>316939384</v>
      </c>
      <c r="T40" s="12">
        <v>34605509.109999999</v>
      </c>
      <c r="U40" s="13" t="str">
        <f t="shared" si="1"/>
        <v>OK</v>
      </c>
      <c r="V40" s="14">
        <v>387934547.36000001</v>
      </c>
      <c r="W40" s="14">
        <v>0</v>
      </c>
      <c r="X40" t="s">
        <v>51</v>
      </c>
      <c r="Y40" s="14">
        <v>358884.88</v>
      </c>
      <c r="Z40" s="14">
        <v>0</v>
      </c>
      <c r="AA40" s="14">
        <v>10577.78</v>
      </c>
      <c r="AB40" s="14">
        <v>-7704420.9900000002</v>
      </c>
      <c r="AC40" s="13" t="str">
        <f t="shared" si="2"/>
        <v>OK</v>
      </c>
      <c r="AD40" s="14">
        <v>193934070.56999999</v>
      </c>
      <c r="AE40" s="14" t="e">
        <v>#VALUE!</v>
      </c>
      <c r="AF40" s="14">
        <v>0</v>
      </c>
      <c r="AG40" s="14">
        <v>852393362.38999999</v>
      </c>
      <c r="AH40" s="14">
        <v>1316954725.4100001</v>
      </c>
      <c r="AI40" s="13" t="str">
        <f t="shared" si="3"/>
        <v>OK</v>
      </c>
      <c r="AJ40" s="14">
        <v>0</v>
      </c>
      <c r="AK40" s="14">
        <v>0</v>
      </c>
      <c r="AL40" s="14">
        <v>0</v>
      </c>
      <c r="AM40" s="14">
        <v>0</v>
      </c>
      <c r="AN40" s="14">
        <v>16803753</v>
      </c>
      <c r="AO40" s="14">
        <v>16803753</v>
      </c>
      <c r="AP40" s="15">
        <f t="shared" si="4"/>
        <v>0</v>
      </c>
      <c r="AQ40" s="14">
        <v>16803753</v>
      </c>
      <c r="AR40" s="14">
        <v>16803753</v>
      </c>
      <c r="AS40" s="14">
        <v>0</v>
      </c>
      <c r="AT40" s="14">
        <v>0</v>
      </c>
      <c r="AU40" s="16">
        <f t="shared" si="5"/>
        <v>0</v>
      </c>
      <c r="AV40" s="13" t="str">
        <f t="shared" si="6"/>
        <v>NÃO</v>
      </c>
      <c r="AW40" s="13" t="str">
        <f t="shared" si="7"/>
        <v>OK</v>
      </c>
      <c r="AX40" s="13" t="str">
        <f t="shared" si="8"/>
        <v>OK</v>
      </c>
    </row>
    <row r="41" spans="1:50" x14ac:dyDescent="0.3">
      <c r="A41" s="10" t="s">
        <v>210</v>
      </c>
      <c r="B41" t="s">
        <v>1418</v>
      </c>
      <c r="C41" t="s">
        <v>238</v>
      </c>
      <c r="D41" t="s">
        <v>239</v>
      </c>
      <c r="E41" t="s">
        <v>46</v>
      </c>
      <c r="F41" t="s">
        <v>240</v>
      </c>
      <c r="G41" t="s">
        <v>48</v>
      </c>
      <c r="H41" t="s">
        <v>49</v>
      </c>
      <c r="I41" t="s">
        <v>50</v>
      </c>
      <c r="J41" t="s">
        <v>51</v>
      </c>
      <c r="K41" t="s">
        <v>51</v>
      </c>
      <c r="L41" t="s">
        <v>52</v>
      </c>
      <c r="M41">
        <v>115</v>
      </c>
      <c r="N41" s="11" t="str">
        <f t="shared" si="0"/>
        <v>OK</v>
      </c>
      <c r="O41" t="s">
        <v>54</v>
      </c>
      <c r="P41" t="s">
        <v>54</v>
      </c>
      <c r="Q41" t="s">
        <v>51</v>
      </c>
      <c r="R41" t="str">
        <f>VLOOKUP($D41,[1]Rascunho!$E$2:$S$296,15,FALSE)</f>
        <v>https://www.ba.gov.br/trilhos/</v>
      </c>
      <c r="S41" s="12">
        <v>6224973.8200000003</v>
      </c>
      <c r="T41" s="12">
        <v>18582311.940000001</v>
      </c>
      <c r="U41" s="13" t="str">
        <f t="shared" si="1"/>
        <v>OK</v>
      </c>
      <c r="V41" s="14">
        <v>37624844.299999997</v>
      </c>
      <c r="W41" s="14">
        <v>19042532.359999999</v>
      </c>
      <c r="X41" t="s">
        <v>51</v>
      </c>
      <c r="Y41" s="14">
        <v>446027.18</v>
      </c>
      <c r="Z41" s="14">
        <v>0</v>
      </c>
      <c r="AA41" s="14">
        <v>0</v>
      </c>
      <c r="AB41" s="14">
        <v>-4215422.03</v>
      </c>
      <c r="AC41" s="13" t="str">
        <f t="shared" si="2"/>
        <v>OK</v>
      </c>
      <c r="AD41" s="14">
        <v>56843121.939999998</v>
      </c>
      <c r="AE41" s="14" t="e">
        <v>#VALUE!</v>
      </c>
      <c r="AF41" s="14">
        <v>0</v>
      </c>
      <c r="AG41" s="14">
        <v>652734763.63</v>
      </c>
      <c r="AH41" s="14">
        <v>59945660.219999999</v>
      </c>
      <c r="AI41" s="13" t="str">
        <f t="shared" si="3"/>
        <v>OK</v>
      </c>
      <c r="AJ41" s="14">
        <v>0</v>
      </c>
      <c r="AK41" s="14">
        <v>0</v>
      </c>
      <c r="AL41" s="14">
        <v>0</v>
      </c>
      <c r="AM41" s="14">
        <v>0</v>
      </c>
      <c r="AN41" s="14">
        <v>159700077</v>
      </c>
      <c r="AO41" s="14">
        <v>159700077</v>
      </c>
      <c r="AP41" s="15">
        <f t="shared" si="4"/>
        <v>0</v>
      </c>
      <c r="AQ41" s="14">
        <v>139654487.18000001</v>
      </c>
      <c r="AR41" s="14">
        <v>139654487.18000001</v>
      </c>
      <c r="AS41" s="14">
        <v>22737270.41</v>
      </c>
      <c r="AT41" s="14">
        <v>22737270.41</v>
      </c>
      <c r="AU41" s="16">
        <f t="shared" si="5"/>
        <v>22737270.41</v>
      </c>
      <c r="AV41" s="13" t="str">
        <f t="shared" si="6"/>
        <v>SIM</v>
      </c>
      <c r="AW41" s="13" t="str">
        <f t="shared" si="7"/>
        <v>OK</v>
      </c>
      <c r="AX41" s="13" t="str">
        <f t="shared" si="8"/>
        <v>OK</v>
      </c>
    </row>
    <row r="42" spans="1:50" x14ac:dyDescent="0.3">
      <c r="A42" s="10" t="s">
        <v>210</v>
      </c>
      <c r="B42" t="s">
        <v>1419</v>
      </c>
      <c r="C42" t="s">
        <v>253</v>
      </c>
      <c r="D42" t="s">
        <v>254</v>
      </c>
      <c r="E42" t="s">
        <v>46</v>
      </c>
      <c r="F42" t="s">
        <v>71</v>
      </c>
      <c r="G42" t="s">
        <v>60</v>
      </c>
      <c r="H42" t="s">
        <v>49</v>
      </c>
      <c r="I42" t="s">
        <v>50</v>
      </c>
      <c r="J42" t="s">
        <v>51</v>
      </c>
      <c r="K42" t="s">
        <v>51</v>
      </c>
      <c r="L42" t="s">
        <v>134</v>
      </c>
      <c r="M42">
        <v>251</v>
      </c>
      <c r="N42" s="11" t="str">
        <f t="shared" si="0"/>
        <v>OK</v>
      </c>
      <c r="O42" t="s">
        <v>54</v>
      </c>
      <c r="P42" t="s">
        <v>54</v>
      </c>
      <c r="Q42" t="s">
        <v>54</v>
      </c>
      <c r="R42" t="str">
        <f>VLOOKUP($D42,[1]Rascunho!$E$2:$S$296,15,FALSE)</f>
        <v>https://www.desenbahia.ba.gov.br/wp-content/uploads/2024/05/carta-anual-politicas-publicas-e-governanca-corporativa-2023-revfinal.pdf</v>
      </c>
      <c r="S42" s="12">
        <v>231294126.61000001</v>
      </c>
      <c r="T42" s="12">
        <v>61481489</v>
      </c>
      <c r="U42" s="13" t="str">
        <f t="shared" si="1"/>
        <v>OK</v>
      </c>
      <c r="V42" s="14">
        <v>279668537.07999998</v>
      </c>
      <c r="W42" s="14">
        <v>0</v>
      </c>
      <c r="X42" t="s">
        <v>54</v>
      </c>
      <c r="Y42" s="14">
        <v>394079.3</v>
      </c>
      <c r="Z42" s="14">
        <v>66930.2</v>
      </c>
      <c r="AA42" s="14">
        <v>0</v>
      </c>
      <c r="AB42" s="14">
        <v>67422565</v>
      </c>
      <c r="AC42" s="13" t="str">
        <f t="shared" si="2"/>
        <v>OK</v>
      </c>
      <c r="AD42" s="14">
        <v>789918322.5</v>
      </c>
      <c r="AE42" s="14" t="e">
        <v>#VALUE!</v>
      </c>
      <c r="AF42" s="14">
        <v>18293260.399999999</v>
      </c>
      <c r="AG42" s="14">
        <v>0</v>
      </c>
      <c r="AH42" s="14">
        <v>0</v>
      </c>
      <c r="AI42" s="13" t="str">
        <f t="shared" si="3"/>
        <v>OK</v>
      </c>
      <c r="AJ42" s="14">
        <v>0</v>
      </c>
      <c r="AK42" s="14">
        <v>0</v>
      </c>
      <c r="AL42" s="14">
        <v>0</v>
      </c>
      <c r="AM42" s="14">
        <v>0</v>
      </c>
      <c r="AN42" s="14">
        <v>134165540199</v>
      </c>
      <c r="AO42" s="14">
        <v>142301765100</v>
      </c>
      <c r="AP42" s="15">
        <f t="shared" si="4"/>
        <v>8136224901</v>
      </c>
      <c r="AQ42" s="14">
        <v>588225390.44000006</v>
      </c>
      <c r="AR42" s="14">
        <v>623897248.22000003</v>
      </c>
      <c r="AS42" s="14">
        <v>0</v>
      </c>
      <c r="AT42" s="14">
        <v>0</v>
      </c>
      <c r="AU42" s="16">
        <f t="shared" si="5"/>
        <v>35671857.779999971</v>
      </c>
      <c r="AV42" s="13" t="str">
        <f t="shared" si="6"/>
        <v>SIM</v>
      </c>
      <c r="AW42" s="13" t="str">
        <f t="shared" si="7"/>
        <v>OK</v>
      </c>
      <c r="AX42" s="13" t="str">
        <f t="shared" si="8"/>
        <v>OK</v>
      </c>
    </row>
    <row r="43" spans="1:50" x14ac:dyDescent="0.3">
      <c r="A43" s="10" t="s">
        <v>210</v>
      </c>
      <c r="B43" t="s">
        <v>1420</v>
      </c>
      <c r="C43" t="s">
        <v>258</v>
      </c>
      <c r="D43" t="s">
        <v>259</v>
      </c>
      <c r="E43" t="s">
        <v>46</v>
      </c>
      <c r="F43" t="s">
        <v>150</v>
      </c>
      <c r="G43" t="s">
        <v>48</v>
      </c>
      <c r="H43" t="s">
        <v>76</v>
      </c>
      <c r="I43" t="s">
        <v>50</v>
      </c>
      <c r="J43" t="s">
        <v>51</v>
      </c>
      <c r="K43" t="s">
        <v>51</v>
      </c>
      <c r="L43" t="s">
        <v>134</v>
      </c>
      <c r="M43">
        <v>170</v>
      </c>
      <c r="N43" s="11" t="str">
        <f t="shared" si="0"/>
        <v>OK</v>
      </c>
      <c r="O43" t="s">
        <v>54</v>
      </c>
      <c r="P43" t="s">
        <v>54</v>
      </c>
      <c r="Q43" t="s">
        <v>54</v>
      </c>
      <c r="R43" t="str">
        <f>VLOOKUP($D43,[1]Rascunho!$E$2:$S$296,15,FALSE)</f>
        <v>http://www.egba.ba.gov.br/</v>
      </c>
      <c r="S43" s="12">
        <v>110433504</v>
      </c>
      <c r="T43" s="12">
        <v>20450951.140000001</v>
      </c>
      <c r="U43" s="13" t="str">
        <f t="shared" si="1"/>
        <v>OK</v>
      </c>
      <c r="V43" s="14">
        <v>126994640.08</v>
      </c>
      <c r="W43" s="14">
        <v>0</v>
      </c>
      <c r="X43" t="s">
        <v>51</v>
      </c>
      <c r="Y43" s="14">
        <v>501171.12</v>
      </c>
      <c r="Z43" s="14">
        <v>0</v>
      </c>
      <c r="AA43" s="14">
        <v>0</v>
      </c>
      <c r="AB43" s="14">
        <v>-329184</v>
      </c>
      <c r="AC43" s="13" t="str">
        <f t="shared" si="2"/>
        <v>OK</v>
      </c>
      <c r="AD43" s="14">
        <v>62264486</v>
      </c>
      <c r="AE43" s="14" t="e">
        <v>#VALUE!</v>
      </c>
      <c r="AF43" s="14">
        <v>0</v>
      </c>
      <c r="AG43" s="14">
        <v>0</v>
      </c>
      <c r="AH43" s="14">
        <v>0</v>
      </c>
      <c r="AI43" s="13" t="str">
        <f t="shared" si="3"/>
        <v>OK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5">
        <f t="shared" si="4"/>
        <v>0</v>
      </c>
      <c r="AQ43" s="14">
        <v>44726598</v>
      </c>
      <c r="AR43" s="14">
        <v>44726598</v>
      </c>
      <c r="AS43" s="14">
        <v>0</v>
      </c>
      <c r="AT43" s="14">
        <v>0</v>
      </c>
      <c r="AU43" s="16">
        <f t="shared" si="5"/>
        <v>0</v>
      </c>
      <c r="AV43" s="13" t="str">
        <f t="shared" si="6"/>
        <v>NÃO</v>
      </c>
      <c r="AW43" s="13" t="str">
        <f t="shared" si="7"/>
        <v>OK</v>
      </c>
      <c r="AX43" s="13" t="str">
        <f t="shared" si="8"/>
        <v>OK</v>
      </c>
    </row>
    <row r="44" spans="1:50" x14ac:dyDescent="0.3">
      <c r="A44" s="10" t="s">
        <v>210</v>
      </c>
      <c r="B44" t="s">
        <v>1421</v>
      </c>
      <c r="C44" t="s">
        <v>262</v>
      </c>
      <c r="D44" t="s">
        <v>263</v>
      </c>
      <c r="E44" t="s">
        <v>46</v>
      </c>
      <c r="F44" t="s">
        <v>107</v>
      </c>
      <c r="G44" t="s">
        <v>60</v>
      </c>
      <c r="H44" t="s">
        <v>49</v>
      </c>
      <c r="I44" t="s">
        <v>50</v>
      </c>
      <c r="J44" t="s">
        <v>51</v>
      </c>
      <c r="K44" t="s">
        <v>51</v>
      </c>
      <c r="L44" t="s">
        <v>134</v>
      </c>
      <c r="M44">
        <v>4638</v>
      </c>
      <c r="N44" s="11" t="str">
        <f t="shared" si="0"/>
        <v>OK</v>
      </c>
      <c r="O44" t="s">
        <v>54</v>
      </c>
      <c r="P44" t="s">
        <v>54</v>
      </c>
      <c r="Q44" t="s">
        <v>54</v>
      </c>
      <c r="R44" t="str">
        <f>VLOOKUP($D44,[1]Rascunho!$E$2:$S$296,15,FALSE)</f>
        <v>https://www.embasa.ba.gov.br/index.php/institucional/a-embasa/governanca/carta-anual-de-governanca-corporativa</v>
      </c>
      <c r="S44" s="12">
        <v>5033452057.6700001</v>
      </c>
      <c r="T44" s="12">
        <v>983574047.25</v>
      </c>
      <c r="U44" s="13" t="str">
        <f t="shared" si="1"/>
        <v>OK</v>
      </c>
      <c r="V44" s="14">
        <v>5321026777.9200001</v>
      </c>
      <c r="W44" s="14">
        <v>923481585.74000001</v>
      </c>
      <c r="X44" t="s">
        <v>54</v>
      </c>
      <c r="Y44" s="14">
        <v>813700.04</v>
      </c>
      <c r="Z44" s="14">
        <v>51497.919999999998</v>
      </c>
      <c r="AA44" s="14">
        <v>13925.21</v>
      </c>
      <c r="AB44" s="14">
        <v>868107052.24000001</v>
      </c>
      <c r="AC44" s="13" t="str">
        <f t="shared" si="2"/>
        <v>OK</v>
      </c>
      <c r="AD44" s="14">
        <v>7035274725.96</v>
      </c>
      <c r="AE44" s="14" t="e">
        <v>#VALUE!</v>
      </c>
      <c r="AF44" s="14">
        <v>0</v>
      </c>
      <c r="AG44" s="14">
        <v>0</v>
      </c>
      <c r="AH44" s="14">
        <v>0</v>
      </c>
      <c r="AI44" s="13" t="str">
        <f t="shared" si="3"/>
        <v>OK</v>
      </c>
      <c r="AJ44" s="14">
        <v>0</v>
      </c>
      <c r="AK44" s="14">
        <v>0</v>
      </c>
      <c r="AL44" s="14">
        <v>0</v>
      </c>
      <c r="AM44" s="14">
        <v>0</v>
      </c>
      <c r="AN44" s="14">
        <v>698044720</v>
      </c>
      <c r="AO44" s="14">
        <v>698044720</v>
      </c>
      <c r="AP44" s="15">
        <f t="shared" si="4"/>
        <v>0</v>
      </c>
      <c r="AQ44" s="14">
        <v>4942156618</v>
      </c>
      <c r="AR44" s="14">
        <v>4942156618</v>
      </c>
      <c r="AS44" s="14">
        <v>40277906.219999999</v>
      </c>
      <c r="AT44" s="14">
        <v>106916330.43000001</v>
      </c>
      <c r="AU44" s="16">
        <f t="shared" si="5"/>
        <v>106916330.43000001</v>
      </c>
      <c r="AV44" s="13" t="str">
        <f t="shared" si="6"/>
        <v>SIM</v>
      </c>
      <c r="AW44" s="13" t="str">
        <f t="shared" si="7"/>
        <v>OK</v>
      </c>
      <c r="AX44" s="13" t="str">
        <f t="shared" si="8"/>
        <v>OK</v>
      </c>
    </row>
    <row r="45" spans="1:50" x14ac:dyDescent="0.3">
      <c r="A45" s="10" t="s">
        <v>210</v>
      </c>
      <c r="B45" t="s">
        <v>1422</v>
      </c>
      <c r="C45" t="s">
        <v>267</v>
      </c>
      <c r="D45" t="s">
        <v>268</v>
      </c>
      <c r="E45" t="s">
        <v>46</v>
      </c>
      <c r="F45" t="s">
        <v>47</v>
      </c>
      <c r="G45" t="s">
        <v>60</v>
      </c>
      <c r="H45" t="s">
        <v>49</v>
      </c>
      <c r="I45" t="s">
        <v>50</v>
      </c>
      <c r="J45" t="s">
        <v>51</v>
      </c>
      <c r="K45" t="s">
        <v>51</v>
      </c>
      <c r="L45" t="s">
        <v>134</v>
      </c>
      <c r="M45">
        <v>637</v>
      </c>
      <c r="N45" s="11" t="str">
        <f t="shared" si="0"/>
        <v>OK</v>
      </c>
      <c r="O45" t="s">
        <v>54</v>
      </c>
      <c r="P45" t="s">
        <v>54</v>
      </c>
      <c r="Q45" t="s">
        <v>54</v>
      </c>
      <c r="R45" t="str">
        <f>VLOOKUP($D45,[1]Rascunho!$E$2:$S$296,15,FALSE)</f>
        <v>https://www.prodeb.ba.gov.br/sites/default/files/repositorio-midias/documentos/2024-04/Carta%20aos%20Acionistas%20Exerc%C3%ADcio%202023.pdf</v>
      </c>
      <c r="S45" s="12">
        <v>149473633.83000001</v>
      </c>
      <c r="T45" s="12">
        <v>92586434.269999996</v>
      </c>
      <c r="U45" s="13" t="str">
        <f t="shared" si="1"/>
        <v>OK</v>
      </c>
      <c r="V45" s="14">
        <v>132236975</v>
      </c>
      <c r="W45" s="14">
        <v>31729773</v>
      </c>
      <c r="X45" t="s">
        <v>51</v>
      </c>
      <c r="Y45" s="14">
        <v>446021.8</v>
      </c>
      <c r="Z45" s="14">
        <v>0</v>
      </c>
      <c r="AA45" s="14">
        <v>0</v>
      </c>
      <c r="AB45" s="14">
        <v>17236658.579999998</v>
      </c>
      <c r="AC45" s="13" t="str">
        <f t="shared" si="2"/>
        <v>OK</v>
      </c>
      <c r="AD45" s="14">
        <v>100877908.05</v>
      </c>
      <c r="AE45" s="14" t="e">
        <v>#VALUE!</v>
      </c>
      <c r="AF45" s="14">
        <v>0</v>
      </c>
      <c r="AG45" s="14">
        <v>0</v>
      </c>
      <c r="AH45" s="14">
        <v>0</v>
      </c>
      <c r="AI45" s="13" t="str">
        <f t="shared" si="3"/>
        <v>OK</v>
      </c>
      <c r="AJ45" s="14">
        <v>0</v>
      </c>
      <c r="AK45" s="14">
        <v>0</v>
      </c>
      <c r="AL45" s="14">
        <v>0</v>
      </c>
      <c r="AM45" s="14">
        <v>0</v>
      </c>
      <c r="AN45" s="14">
        <v>21180689150.799999</v>
      </c>
      <c r="AO45" s="14">
        <v>21180689150.799999</v>
      </c>
      <c r="AP45" s="15">
        <f t="shared" si="4"/>
        <v>0</v>
      </c>
      <c r="AQ45" s="14">
        <v>111887147</v>
      </c>
      <c r="AR45" s="14">
        <v>111887147</v>
      </c>
      <c r="AS45" s="14">
        <v>8829991</v>
      </c>
      <c r="AT45" s="14">
        <v>8829991</v>
      </c>
      <c r="AU45" s="16">
        <f t="shared" si="5"/>
        <v>8829991</v>
      </c>
      <c r="AV45" s="13" t="str">
        <f t="shared" si="6"/>
        <v>SIM</v>
      </c>
      <c r="AW45" s="13" t="str">
        <f t="shared" si="7"/>
        <v>OK</v>
      </c>
      <c r="AX45" s="13" t="str">
        <f t="shared" si="8"/>
        <v>OK</v>
      </c>
    </row>
    <row r="46" spans="1:50" x14ac:dyDescent="0.3">
      <c r="A46" s="10" t="s">
        <v>210</v>
      </c>
      <c r="B46" t="s">
        <v>1423</v>
      </c>
      <c r="C46" t="s">
        <v>272</v>
      </c>
      <c r="D46" t="s">
        <v>273</v>
      </c>
      <c r="E46" t="s">
        <v>70</v>
      </c>
      <c r="F46" t="s">
        <v>93</v>
      </c>
      <c r="G46" t="s">
        <v>60</v>
      </c>
      <c r="H46" t="s">
        <v>49</v>
      </c>
      <c r="I46" t="s">
        <v>50</v>
      </c>
      <c r="J46" t="s">
        <v>51</v>
      </c>
      <c r="K46" t="s">
        <v>51</v>
      </c>
      <c r="L46" t="s">
        <v>134</v>
      </c>
      <c r="M46">
        <v>51</v>
      </c>
      <c r="N46" s="11" t="str">
        <f t="shared" si="0"/>
        <v>OK</v>
      </c>
      <c r="O46" t="s">
        <v>54</v>
      </c>
      <c r="P46" t="s">
        <v>54</v>
      </c>
      <c r="Q46" t="s">
        <v>51</v>
      </c>
      <c r="R46" t="str">
        <f>VLOOKUP($D46,[1]Rascunho!$E$2:$S$296,15,FALSE)</f>
        <v>Site não disponível</v>
      </c>
      <c r="S46" s="12">
        <v>43753429.600000001</v>
      </c>
      <c r="T46" s="12">
        <v>8318156.9400000004</v>
      </c>
      <c r="U46" s="13" t="str">
        <f t="shared" si="1"/>
        <v>OK</v>
      </c>
      <c r="V46" s="14">
        <v>23668306.98</v>
      </c>
      <c r="W46" s="14">
        <v>0</v>
      </c>
      <c r="X46" t="s">
        <v>51</v>
      </c>
      <c r="Y46" s="14">
        <v>334133.71000000002</v>
      </c>
      <c r="Z46" s="14">
        <v>0</v>
      </c>
      <c r="AA46" s="14">
        <v>0</v>
      </c>
      <c r="AB46" s="14">
        <v>11981603.15</v>
      </c>
      <c r="AC46" s="13" t="str">
        <f t="shared" si="2"/>
        <v>OK</v>
      </c>
      <c r="AD46" s="14">
        <v>-37920629.840000004</v>
      </c>
      <c r="AE46" s="14" t="e">
        <v>#VALUE!</v>
      </c>
      <c r="AF46" s="14">
        <v>0</v>
      </c>
      <c r="AG46" s="14">
        <v>0</v>
      </c>
      <c r="AH46" s="14">
        <v>0</v>
      </c>
      <c r="AI46" s="13" t="str">
        <f t="shared" si="3"/>
        <v>OK</v>
      </c>
      <c r="AJ46" s="14">
        <v>0</v>
      </c>
      <c r="AK46" s="14">
        <v>0</v>
      </c>
      <c r="AL46" s="14">
        <v>6000000</v>
      </c>
      <c r="AM46" s="14">
        <v>0</v>
      </c>
      <c r="AN46" s="14">
        <v>1704492195</v>
      </c>
      <c r="AO46" s="14">
        <v>1764492195</v>
      </c>
      <c r="AP46" s="15">
        <f t="shared" si="4"/>
        <v>60000000</v>
      </c>
      <c r="AQ46" s="14">
        <v>341078042</v>
      </c>
      <c r="AR46" s="14">
        <v>353078042</v>
      </c>
      <c r="AS46" s="14">
        <v>0</v>
      </c>
      <c r="AT46" s="14">
        <v>0</v>
      </c>
      <c r="AU46" s="16">
        <f t="shared" si="5"/>
        <v>12000000</v>
      </c>
      <c r="AV46" s="13" t="str">
        <f t="shared" si="6"/>
        <v>SIM</v>
      </c>
      <c r="AW46" s="13" t="str">
        <f t="shared" si="7"/>
        <v>OK</v>
      </c>
      <c r="AX46" s="13" t="str">
        <f t="shared" si="8"/>
        <v>OK</v>
      </c>
    </row>
    <row r="47" spans="1:50" x14ac:dyDescent="0.3">
      <c r="A47" s="10" t="s">
        <v>275</v>
      </c>
      <c r="B47" t="s">
        <v>288</v>
      </c>
      <c r="C47" t="s">
        <v>289</v>
      </c>
      <c r="D47" t="s">
        <v>290</v>
      </c>
      <c r="E47" t="s">
        <v>46</v>
      </c>
      <c r="F47" t="s">
        <v>65</v>
      </c>
      <c r="G47" t="s">
        <v>60</v>
      </c>
      <c r="H47" t="s">
        <v>49</v>
      </c>
      <c r="I47" t="s">
        <v>50</v>
      </c>
      <c r="J47" t="s">
        <v>51</v>
      </c>
      <c r="K47" t="s">
        <v>51</v>
      </c>
      <c r="L47" t="s">
        <v>134</v>
      </c>
      <c r="M47">
        <v>127</v>
      </c>
      <c r="N47" s="11" t="str">
        <f t="shared" si="0"/>
        <v>OK</v>
      </c>
      <c r="O47" t="s">
        <v>54</v>
      </c>
      <c r="P47" t="s">
        <v>54</v>
      </c>
      <c r="Q47" t="s">
        <v>51</v>
      </c>
      <c r="R47" t="str">
        <f>VLOOKUP($D47,[1]Rascunho!$E$2:$S$296,15,FALSE)</f>
        <v>https://www.adece.ce.gov.br/governanca-corporativa/</v>
      </c>
      <c r="S47" s="12">
        <v>44037017</v>
      </c>
      <c r="T47" s="12">
        <v>19704788</v>
      </c>
      <c r="U47" s="13" t="str">
        <f t="shared" si="1"/>
        <v>OK</v>
      </c>
      <c r="V47" s="14">
        <v>41946622</v>
      </c>
      <c r="W47" s="14">
        <v>14522328</v>
      </c>
      <c r="X47" t="s">
        <v>51</v>
      </c>
      <c r="Y47" s="14">
        <v>268397</v>
      </c>
      <c r="Z47" s="14">
        <v>0</v>
      </c>
      <c r="AA47" s="14">
        <v>0</v>
      </c>
      <c r="AB47" s="14">
        <v>12418460</v>
      </c>
      <c r="AC47" s="13" t="str">
        <f t="shared" si="2"/>
        <v>OK</v>
      </c>
      <c r="AD47" s="14">
        <v>195686299</v>
      </c>
      <c r="AE47" s="14">
        <v>0</v>
      </c>
      <c r="AF47" s="14">
        <v>1758353</v>
      </c>
      <c r="AG47" s="14">
        <v>0</v>
      </c>
      <c r="AH47" s="14">
        <v>0</v>
      </c>
      <c r="AI47" s="13" t="str">
        <f t="shared" si="3"/>
        <v>OK</v>
      </c>
      <c r="AJ47" s="14">
        <v>0</v>
      </c>
      <c r="AK47" s="14">
        <v>0</v>
      </c>
      <c r="AL47" s="14">
        <v>0</v>
      </c>
      <c r="AM47" s="14">
        <v>0</v>
      </c>
      <c r="AN47" s="14">
        <v>124633269</v>
      </c>
      <c r="AO47" s="14">
        <v>124633269</v>
      </c>
      <c r="AP47" s="15">
        <f t="shared" si="4"/>
        <v>0</v>
      </c>
      <c r="AQ47" s="14">
        <v>151568606</v>
      </c>
      <c r="AR47" s="14">
        <v>151568606</v>
      </c>
      <c r="AS47" s="14">
        <v>0</v>
      </c>
      <c r="AT47" s="14">
        <v>0</v>
      </c>
      <c r="AU47" s="16">
        <f t="shared" si="5"/>
        <v>0</v>
      </c>
      <c r="AV47" s="13" t="str">
        <f t="shared" si="6"/>
        <v>NÃO</v>
      </c>
      <c r="AW47" s="13" t="str">
        <f t="shared" si="7"/>
        <v>OK</v>
      </c>
      <c r="AX47" s="13" t="str">
        <f t="shared" si="8"/>
        <v>OK</v>
      </c>
    </row>
    <row r="48" spans="1:50" x14ac:dyDescent="0.3">
      <c r="A48" s="10" t="s">
        <v>275</v>
      </c>
      <c r="B48" t="s">
        <v>292</v>
      </c>
      <c r="C48" t="s">
        <v>293</v>
      </c>
      <c r="D48" t="s">
        <v>294</v>
      </c>
      <c r="E48" t="s">
        <v>46</v>
      </c>
      <c r="F48" t="s">
        <v>107</v>
      </c>
      <c r="G48" t="s">
        <v>60</v>
      </c>
      <c r="H48" t="s">
        <v>49</v>
      </c>
      <c r="I48" t="s">
        <v>50</v>
      </c>
      <c r="J48" t="s">
        <v>51</v>
      </c>
      <c r="K48" t="s">
        <v>51</v>
      </c>
      <c r="L48" t="s">
        <v>134</v>
      </c>
      <c r="M48">
        <v>5802</v>
      </c>
      <c r="N48" s="11" t="str">
        <f t="shared" si="0"/>
        <v>OK</v>
      </c>
      <c r="O48" t="s">
        <v>54</v>
      </c>
      <c r="P48" t="s">
        <v>54</v>
      </c>
      <c r="Q48" t="s">
        <v>54</v>
      </c>
      <c r="R48" t="str">
        <f>VLOOKUP($D48,[1]Rascunho!$E$2:$S$296,15,FALSE)</f>
        <v>https://www.cagece.com.br/governanca-corporativa/informacoes/</v>
      </c>
      <c r="S48" s="12">
        <v>2043358209.49</v>
      </c>
      <c r="T48" s="12">
        <v>697157270.17999995</v>
      </c>
      <c r="U48" s="13" t="str">
        <f t="shared" si="1"/>
        <v>OK</v>
      </c>
      <c r="V48" s="14">
        <v>1923137633.98</v>
      </c>
      <c r="W48" s="14">
        <v>1153191499.04</v>
      </c>
      <c r="X48" t="s">
        <v>54</v>
      </c>
      <c r="Y48" s="14">
        <v>749163.25</v>
      </c>
      <c r="Z48" s="14">
        <v>49777.24</v>
      </c>
      <c r="AA48" s="14">
        <v>0</v>
      </c>
      <c r="AB48" s="14">
        <v>120220575.51000001</v>
      </c>
      <c r="AC48" s="13" t="str">
        <f t="shared" si="2"/>
        <v>OK</v>
      </c>
      <c r="AD48" s="14">
        <v>2919837272.3600001</v>
      </c>
      <c r="AE48" s="14">
        <v>0</v>
      </c>
      <c r="AF48" s="14">
        <v>39995894.310000002</v>
      </c>
      <c r="AG48" s="14">
        <v>0</v>
      </c>
      <c r="AH48" s="14">
        <v>0</v>
      </c>
      <c r="AI48" s="13" t="str">
        <f t="shared" si="3"/>
        <v>OK</v>
      </c>
      <c r="AJ48" s="14">
        <v>0</v>
      </c>
      <c r="AK48" s="14">
        <v>0</v>
      </c>
      <c r="AL48" s="14">
        <v>0</v>
      </c>
      <c r="AM48" s="14">
        <v>38334495.700000003</v>
      </c>
      <c r="AN48" s="14">
        <v>162197007</v>
      </c>
      <c r="AO48" s="14">
        <v>164603035</v>
      </c>
      <c r="AP48" s="15">
        <f t="shared" si="4"/>
        <v>2406028</v>
      </c>
      <c r="AQ48" s="14">
        <v>1988966601.95</v>
      </c>
      <c r="AR48" s="14">
        <v>2169101698.3000002</v>
      </c>
      <c r="AS48" s="14">
        <v>0</v>
      </c>
      <c r="AT48" s="14">
        <v>0</v>
      </c>
      <c r="AU48" s="16">
        <f t="shared" si="5"/>
        <v>180135096.35000014</v>
      </c>
      <c r="AV48" s="13" t="str">
        <f t="shared" si="6"/>
        <v>SIM</v>
      </c>
      <c r="AW48" s="13" t="str">
        <f t="shared" si="7"/>
        <v>VER CAPITAL</v>
      </c>
      <c r="AX48" s="13" t="str">
        <f t="shared" si="8"/>
        <v>OK</v>
      </c>
    </row>
    <row r="49" spans="1:50" x14ac:dyDescent="0.3">
      <c r="A49" s="10" t="s">
        <v>275</v>
      </c>
      <c r="B49" t="s">
        <v>297</v>
      </c>
      <c r="C49" t="s">
        <v>298</v>
      </c>
      <c r="D49" t="s">
        <v>299</v>
      </c>
      <c r="E49" t="s">
        <v>46</v>
      </c>
      <c r="F49" t="s">
        <v>133</v>
      </c>
      <c r="G49" t="s">
        <v>60</v>
      </c>
      <c r="H49" t="s">
        <v>49</v>
      </c>
      <c r="I49" t="s">
        <v>50</v>
      </c>
      <c r="J49" t="s">
        <v>51</v>
      </c>
      <c r="K49" t="s">
        <v>51</v>
      </c>
      <c r="L49" t="s">
        <v>134</v>
      </c>
      <c r="M49">
        <v>17</v>
      </c>
      <c r="N49" s="11" t="str">
        <f t="shared" si="0"/>
        <v>OK</v>
      </c>
      <c r="O49" t="s">
        <v>54</v>
      </c>
      <c r="P49" t="s">
        <v>54</v>
      </c>
      <c r="Q49" t="s">
        <v>51</v>
      </c>
      <c r="R49" t="str">
        <f>VLOOKUP($D49,[1]Rascunho!$E$2:$S$296,15,FALSE)</f>
        <v>https://cepart.com.br/carta-anual/</v>
      </c>
      <c r="S49" s="12">
        <v>2060023.16</v>
      </c>
      <c r="T49" s="12">
        <v>3146473.54</v>
      </c>
      <c r="U49" s="13" t="str">
        <f t="shared" si="1"/>
        <v>OK</v>
      </c>
      <c r="V49" s="14">
        <v>3839393.97</v>
      </c>
      <c r="W49" s="14">
        <v>169390.51</v>
      </c>
      <c r="X49" t="s">
        <v>51</v>
      </c>
      <c r="Y49" s="14">
        <v>192181.83</v>
      </c>
      <c r="Z49" s="14">
        <v>0</v>
      </c>
      <c r="AA49" s="14">
        <v>0</v>
      </c>
      <c r="AB49" s="14">
        <v>-1573967.56</v>
      </c>
      <c r="AC49" s="13" t="str">
        <f t="shared" si="2"/>
        <v>OK</v>
      </c>
      <c r="AD49" s="14">
        <v>1288591.3999999999</v>
      </c>
      <c r="AE49" s="14">
        <v>0</v>
      </c>
      <c r="AF49" s="14">
        <v>0</v>
      </c>
      <c r="AG49" s="14">
        <v>0</v>
      </c>
      <c r="AH49" s="14">
        <v>0</v>
      </c>
      <c r="AI49" s="13" t="str">
        <f t="shared" si="3"/>
        <v>OK</v>
      </c>
      <c r="AJ49" s="14">
        <v>0</v>
      </c>
      <c r="AK49" s="14">
        <v>0</v>
      </c>
      <c r="AL49" s="14">
        <v>0</v>
      </c>
      <c r="AM49" s="14">
        <v>0</v>
      </c>
      <c r="AN49" s="14">
        <v>4999999</v>
      </c>
      <c r="AO49" s="14">
        <v>4999999</v>
      </c>
      <c r="AP49" s="15">
        <f t="shared" si="4"/>
        <v>0</v>
      </c>
      <c r="AQ49" s="14">
        <v>5000000</v>
      </c>
      <c r="AR49" s="14">
        <v>5000000</v>
      </c>
      <c r="AS49" s="14">
        <v>0</v>
      </c>
      <c r="AT49" s="14">
        <v>0</v>
      </c>
      <c r="AU49" s="16">
        <f t="shared" si="5"/>
        <v>0</v>
      </c>
      <c r="AV49" s="13" t="str">
        <f t="shared" si="6"/>
        <v>NÃO</v>
      </c>
      <c r="AW49" s="13" t="str">
        <f t="shared" si="7"/>
        <v>OK</v>
      </c>
      <c r="AX49" s="13" t="str">
        <f t="shared" si="8"/>
        <v>OK</v>
      </c>
    </row>
    <row r="50" spans="1:50" x14ac:dyDescent="0.3">
      <c r="A50" s="10" t="s">
        <v>275</v>
      </c>
      <c r="B50" t="s">
        <v>302</v>
      </c>
      <c r="C50" t="s">
        <v>1424</v>
      </c>
      <c r="D50" t="s">
        <v>304</v>
      </c>
      <c r="E50" t="s">
        <v>46</v>
      </c>
      <c r="F50" t="s">
        <v>75</v>
      </c>
      <c r="G50" t="s">
        <v>60</v>
      </c>
      <c r="H50" t="s">
        <v>49</v>
      </c>
      <c r="I50" t="s">
        <v>50</v>
      </c>
      <c r="J50" t="s">
        <v>51</v>
      </c>
      <c r="K50" t="s">
        <v>51</v>
      </c>
      <c r="L50" t="s">
        <v>134</v>
      </c>
      <c r="M50">
        <v>255</v>
      </c>
      <c r="N50" s="11" t="str">
        <f t="shared" si="0"/>
        <v>OK</v>
      </c>
      <c r="O50" t="s">
        <v>54</v>
      </c>
      <c r="P50" t="s">
        <v>54</v>
      </c>
      <c r="Q50" t="s">
        <v>51</v>
      </c>
      <c r="R50" t="str">
        <f>VLOOKUP($D50,[1]Rascunho!$E$2:$S$296,15,FALSE)</f>
        <v>https://www.ceasa-ce.com.br/governanca/</v>
      </c>
      <c r="S50" s="12">
        <v>29311357.609999999</v>
      </c>
      <c r="T50" s="12">
        <v>20534315.59</v>
      </c>
      <c r="U50" s="13" t="str">
        <f t="shared" si="1"/>
        <v>OK</v>
      </c>
      <c r="V50" s="14">
        <v>31795897.010000002</v>
      </c>
      <c r="W50" s="14">
        <v>0</v>
      </c>
      <c r="X50" t="s">
        <v>51</v>
      </c>
      <c r="Y50" s="14">
        <v>197788.16</v>
      </c>
      <c r="Z50" s="14">
        <v>0</v>
      </c>
      <c r="AA50" s="14">
        <v>0</v>
      </c>
      <c r="AB50" s="14">
        <v>-228466.05</v>
      </c>
      <c r="AC50" s="13" t="str">
        <f t="shared" si="2"/>
        <v>OK</v>
      </c>
      <c r="AD50" s="14">
        <v>6713358.1900000004</v>
      </c>
      <c r="AE50" s="14">
        <v>0</v>
      </c>
      <c r="AF50" s="14">
        <v>0</v>
      </c>
      <c r="AG50" s="14">
        <v>0</v>
      </c>
      <c r="AH50" s="14">
        <v>0</v>
      </c>
      <c r="AI50" s="13" t="str">
        <f t="shared" si="3"/>
        <v>OK</v>
      </c>
      <c r="AJ50" s="14">
        <v>0</v>
      </c>
      <c r="AK50" s="14">
        <v>0</v>
      </c>
      <c r="AL50" s="14">
        <v>0</v>
      </c>
      <c r="AM50" s="14">
        <v>0</v>
      </c>
      <c r="AN50" s="14">
        <v>818302</v>
      </c>
      <c r="AO50" s="14">
        <v>3734530</v>
      </c>
      <c r="AP50" s="15">
        <f t="shared" si="4"/>
        <v>2916228</v>
      </c>
      <c r="AQ50" s="14">
        <v>818302</v>
      </c>
      <c r="AR50" s="14">
        <v>3734530</v>
      </c>
      <c r="AS50" s="14">
        <v>0</v>
      </c>
      <c r="AT50" s="14">
        <v>0</v>
      </c>
      <c r="AU50" s="16">
        <f t="shared" si="5"/>
        <v>2916228</v>
      </c>
      <c r="AV50" s="13" t="str">
        <f t="shared" si="6"/>
        <v>SIM</v>
      </c>
      <c r="AW50" s="13" t="str">
        <f t="shared" si="7"/>
        <v>OK</v>
      </c>
      <c r="AX50" s="13" t="str">
        <f t="shared" si="8"/>
        <v>OK</v>
      </c>
    </row>
    <row r="51" spans="1:50" x14ac:dyDescent="0.3">
      <c r="A51" s="10" t="s">
        <v>275</v>
      </c>
      <c r="B51" t="s">
        <v>306</v>
      </c>
      <c r="C51" t="s">
        <v>307</v>
      </c>
      <c r="D51" t="s">
        <v>308</v>
      </c>
      <c r="E51" t="s">
        <v>46</v>
      </c>
      <c r="F51" t="s">
        <v>139</v>
      </c>
      <c r="G51" t="s">
        <v>60</v>
      </c>
      <c r="H51" t="s">
        <v>49</v>
      </c>
      <c r="I51" t="s">
        <v>50</v>
      </c>
      <c r="J51" t="s">
        <v>51</v>
      </c>
      <c r="K51" t="s">
        <v>51</v>
      </c>
      <c r="L51" t="s">
        <v>134</v>
      </c>
      <c r="M51">
        <v>150</v>
      </c>
      <c r="N51" s="11" t="str">
        <f t="shared" si="0"/>
        <v>OK</v>
      </c>
      <c r="O51" t="s">
        <v>54</v>
      </c>
      <c r="P51" t="s">
        <v>54</v>
      </c>
      <c r="Q51" t="s">
        <v>54</v>
      </c>
      <c r="R51" t="str">
        <f>VLOOKUP($D51,[1]Rascunho!$E$2:$S$296,15,FALSE)</f>
        <v>https://www.cegas.com.br/carta-anual-de-politicas-publicas-e-governanca-corporativa/</v>
      </c>
      <c r="S51" s="12">
        <v>615121458.11000001</v>
      </c>
      <c r="T51" s="12">
        <v>13722218.98</v>
      </c>
      <c r="U51" s="13" t="str">
        <f t="shared" si="1"/>
        <v>OK</v>
      </c>
      <c r="V51" s="14">
        <v>646860259.63</v>
      </c>
      <c r="W51" s="14">
        <v>38532500.880000003</v>
      </c>
      <c r="X51" t="s">
        <v>54</v>
      </c>
      <c r="Y51" s="14">
        <v>320244.71000000002</v>
      </c>
      <c r="Z51" s="14">
        <v>33925</v>
      </c>
      <c r="AA51" s="14">
        <v>0</v>
      </c>
      <c r="AB51" s="14">
        <v>90125076.530000001</v>
      </c>
      <c r="AC51" s="13" t="str">
        <f t="shared" si="2"/>
        <v>OK</v>
      </c>
      <c r="AD51" s="14">
        <v>289668625.58999997</v>
      </c>
      <c r="AE51" s="14">
        <v>0</v>
      </c>
      <c r="AF51" s="14">
        <v>77762013.689999998</v>
      </c>
      <c r="AG51" s="14">
        <v>0</v>
      </c>
      <c r="AH51" s="14">
        <v>0</v>
      </c>
      <c r="AI51" s="13" t="str">
        <f t="shared" si="3"/>
        <v>OK</v>
      </c>
      <c r="AJ51" s="14">
        <v>0</v>
      </c>
      <c r="AK51" s="14">
        <v>0</v>
      </c>
      <c r="AL51" s="14">
        <v>0</v>
      </c>
      <c r="AM51" s="14">
        <v>0</v>
      </c>
      <c r="AN51" s="14">
        <v>11449572</v>
      </c>
      <c r="AO51" s="14">
        <v>11449572</v>
      </c>
      <c r="AP51" s="15">
        <f t="shared" si="4"/>
        <v>0</v>
      </c>
      <c r="AQ51" s="14">
        <v>176876675.30000001</v>
      </c>
      <c r="AR51" s="14">
        <v>187176921.25</v>
      </c>
      <c r="AS51" s="14">
        <v>0</v>
      </c>
      <c r="AT51" s="14">
        <v>0</v>
      </c>
      <c r="AU51" s="16">
        <f t="shared" si="5"/>
        <v>10300245.949999988</v>
      </c>
      <c r="AV51" s="13" t="str">
        <f t="shared" si="6"/>
        <v>SIM</v>
      </c>
      <c r="AW51" s="13" t="str">
        <f t="shared" si="7"/>
        <v>OK</v>
      </c>
      <c r="AX51" s="13" t="str">
        <f t="shared" si="8"/>
        <v>OK</v>
      </c>
    </row>
    <row r="52" spans="1:50" x14ac:dyDescent="0.3">
      <c r="A52" s="10" t="s">
        <v>275</v>
      </c>
      <c r="B52" t="s">
        <v>1425</v>
      </c>
      <c r="C52" t="s">
        <v>312</v>
      </c>
      <c r="D52" t="s">
        <v>313</v>
      </c>
      <c r="E52" t="s">
        <v>46</v>
      </c>
      <c r="F52" t="s">
        <v>314</v>
      </c>
      <c r="G52" t="s">
        <v>60</v>
      </c>
      <c r="H52" t="s">
        <v>49</v>
      </c>
      <c r="I52" t="s">
        <v>50</v>
      </c>
      <c r="J52" t="s">
        <v>51</v>
      </c>
      <c r="K52" t="s">
        <v>51</v>
      </c>
      <c r="L52" t="s">
        <v>134</v>
      </c>
      <c r="M52">
        <v>332</v>
      </c>
      <c r="N52" s="11" t="str">
        <f t="shared" si="0"/>
        <v>OK</v>
      </c>
      <c r="O52" t="s">
        <v>54</v>
      </c>
      <c r="P52" t="s">
        <v>54</v>
      </c>
      <c r="Q52" t="s">
        <v>54</v>
      </c>
      <c r="R52" t="str">
        <f>VLOOKUP($D52,[1]Rascunho!$E$2:$S$296,15,FALSE)</f>
        <v>https://www.complexodopecem.com.br/docs/carta-anual/</v>
      </c>
      <c r="S52" s="12">
        <v>267803788.13999999</v>
      </c>
      <c r="T52" s="12">
        <v>68496315.209999993</v>
      </c>
      <c r="U52" s="13" t="str">
        <f t="shared" si="1"/>
        <v>OK</v>
      </c>
      <c r="V52" s="14">
        <v>169750425.33000001</v>
      </c>
      <c r="W52" s="14">
        <v>57571499.210000001</v>
      </c>
      <c r="X52" t="s">
        <v>54</v>
      </c>
      <c r="Y52" s="14">
        <v>632374.78</v>
      </c>
      <c r="Z52" s="14">
        <v>80175.759999999995</v>
      </c>
      <c r="AA52" s="14">
        <v>0</v>
      </c>
      <c r="AB52" s="14">
        <v>98053362.810000002</v>
      </c>
      <c r="AC52" s="13" t="str">
        <f t="shared" si="2"/>
        <v>OK</v>
      </c>
      <c r="AD52" s="14">
        <v>1271966706.6199999</v>
      </c>
      <c r="AE52" s="14">
        <v>0</v>
      </c>
      <c r="AF52" s="14">
        <v>22545893.449999999</v>
      </c>
      <c r="AG52" s="14">
        <v>0</v>
      </c>
      <c r="AH52" s="14">
        <v>0</v>
      </c>
      <c r="AI52" s="13" t="str">
        <f t="shared" si="3"/>
        <v>OK</v>
      </c>
      <c r="AJ52" s="14">
        <v>0</v>
      </c>
      <c r="AK52" s="14">
        <v>0</v>
      </c>
      <c r="AL52" s="14">
        <v>0</v>
      </c>
      <c r="AM52" s="14">
        <v>0</v>
      </c>
      <c r="AN52" s="14">
        <v>123848859</v>
      </c>
      <c r="AO52" s="14">
        <v>123848859</v>
      </c>
      <c r="AP52" s="15">
        <f t="shared" si="4"/>
        <v>0</v>
      </c>
      <c r="AQ52" s="14">
        <v>748760646.33000004</v>
      </c>
      <c r="AR52" s="14">
        <v>748760646.33000004</v>
      </c>
      <c r="AS52" s="14">
        <v>0</v>
      </c>
      <c r="AT52" s="14">
        <v>0</v>
      </c>
      <c r="AU52" s="16">
        <f t="shared" si="5"/>
        <v>0</v>
      </c>
      <c r="AV52" s="13" t="str">
        <f t="shared" si="6"/>
        <v>NÃO</v>
      </c>
      <c r="AW52" s="13" t="str">
        <f t="shared" si="7"/>
        <v>OK</v>
      </c>
      <c r="AX52" s="13" t="str">
        <f t="shared" si="8"/>
        <v>OK</v>
      </c>
    </row>
    <row r="53" spans="1:50" x14ac:dyDescent="0.3">
      <c r="A53" s="10" t="s">
        <v>275</v>
      </c>
      <c r="B53" t="s">
        <v>316</v>
      </c>
      <c r="C53" t="s">
        <v>317</v>
      </c>
      <c r="D53" t="s">
        <v>318</v>
      </c>
      <c r="E53" t="s">
        <v>46</v>
      </c>
      <c r="F53" t="s">
        <v>107</v>
      </c>
      <c r="G53" t="s">
        <v>60</v>
      </c>
      <c r="H53" t="s">
        <v>49</v>
      </c>
      <c r="I53" t="s">
        <v>50</v>
      </c>
      <c r="J53" t="s">
        <v>51</v>
      </c>
      <c r="K53" t="s">
        <v>51</v>
      </c>
      <c r="L53" t="s">
        <v>134</v>
      </c>
      <c r="M53">
        <v>923</v>
      </c>
      <c r="N53" s="11" t="str">
        <f t="shared" si="0"/>
        <v>OK</v>
      </c>
      <c r="O53" t="s">
        <v>54</v>
      </c>
      <c r="P53" t="s">
        <v>54</v>
      </c>
      <c r="Q53" t="s">
        <v>54</v>
      </c>
      <c r="R53" t="str">
        <f>VLOOKUP($D53,[1]Rascunho!$E$2:$S$296,15,FALSE)</f>
        <v>https://portal.cogerh.com.br/carta-anual-de-politicas-publicas-e-governanca-corporativa-2/</v>
      </c>
      <c r="S53" s="12">
        <v>199452360</v>
      </c>
      <c r="T53" s="12">
        <v>98137036</v>
      </c>
      <c r="U53" s="13" t="str">
        <f t="shared" si="1"/>
        <v>OK</v>
      </c>
      <c r="V53" s="14">
        <v>200628939</v>
      </c>
      <c r="W53" s="14">
        <v>18427894</v>
      </c>
      <c r="X53" t="s">
        <v>51</v>
      </c>
      <c r="Y53" s="14">
        <v>561260.97</v>
      </c>
      <c r="Z53" s="14">
        <v>0</v>
      </c>
      <c r="AA53" s="14">
        <v>0</v>
      </c>
      <c r="AB53" s="14">
        <v>5029827</v>
      </c>
      <c r="AC53" s="13" t="str">
        <f t="shared" si="2"/>
        <v>OK</v>
      </c>
      <c r="AD53" s="14">
        <v>242818015</v>
      </c>
      <c r="AE53" s="14">
        <v>0</v>
      </c>
      <c r="AF53" s="14">
        <v>0</v>
      </c>
      <c r="AG53" s="14">
        <v>0</v>
      </c>
      <c r="AH53" s="14">
        <v>0</v>
      </c>
      <c r="AI53" s="13" t="str">
        <f t="shared" si="3"/>
        <v>OK</v>
      </c>
      <c r="AJ53" s="14">
        <v>0</v>
      </c>
      <c r="AK53" s="14">
        <v>0</v>
      </c>
      <c r="AL53" s="14">
        <v>1946234</v>
      </c>
      <c r="AM53" s="14">
        <v>3350355</v>
      </c>
      <c r="AN53" s="14">
        <v>151380031</v>
      </c>
      <c r="AO53" s="14">
        <v>161410751</v>
      </c>
      <c r="AP53" s="15">
        <f t="shared" si="4"/>
        <v>10030720</v>
      </c>
      <c r="AQ53" s="14">
        <v>149561737</v>
      </c>
      <c r="AR53" s="14">
        <v>152912091</v>
      </c>
      <c r="AS53" s="14">
        <v>1818301.48</v>
      </c>
      <c r="AT53" s="14">
        <v>8498667</v>
      </c>
      <c r="AU53" s="16">
        <f t="shared" si="5"/>
        <v>11849021</v>
      </c>
      <c r="AV53" s="13" t="str">
        <f t="shared" si="6"/>
        <v>SIM</v>
      </c>
      <c r="AW53" s="13" t="str">
        <f t="shared" si="7"/>
        <v>VER CAPITAL</v>
      </c>
      <c r="AX53" s="13" t="str">
        <f t="shared" si="8"/>
        <v>OK</v>
      </c>
    </row>
    <row r="54" spans="1:50" x14ac:dyDescent="0.3">
      <c r="A54" s="10" t="s">
        <v>275</v>
      </c>
      <c r="B54" t="s">
        <v>276</v>
      </c>
      <c r="C54" t="s">
        <v>1426</v>
      </c>
      <c r="D54" t="s">
        <v>277</v>
      </c>
      <c r="E54" t="s">
        <v>70</v>
      </c>
      <c r="F54" t="s">
        <v>93</v>
      </c>
      <c r="G54" t="s">
        <v>60</v>
      </c>
      <c r="H54" t="s">
        <v>49</v>
      </c>
      <c r="I54" t="s">
        <v>50</v>
      </c>
      <c r="J54" t="s">
        <v>51</v>
      </c>
      <c r="K54" t="s">
        <v>51</v>
      </c>
      <c r="L54" t="s">
        <v>52</v>
      </c>
      <c r="M54">
        <v>41</v>
      </c>
      <c r="N54" s="11" t="str">
        <f t="shared" si="0"/>
        <v>OK</v>
      </c>
      <c r="O54" t="s">
        <v>51</v>
      </c>
      <c r="P54" t="s">
        <v>54</v>
      </c>
      <c r="Q54" t="s">
        <v>51</v>
      </c>
      <c r="R54" t="str">
        <f>VLOOKUP($D54,[1]Rascunho!$E$2:$S$296,15,FALSE)</f>
        <v>https://www.seplag.ce.gov.br/COHAB-CE/</v>
      </c>
      <c r="S54" s="12">
        <v>1114600.04</v>
      </c>
      <c r="T54" s="12">
        <v>3206463.14</v>
      </c>
      <c r="U54" s="13" t="str">
        <f t="shared" si="1"/>
        <v>OK</v>
      </c>
      <c r="V54" s="14">
        <v>24246559.780000001</v>
      </c>
      <c r="W54" s="14">
        <v>48895.08</v>
      </c>
      <c r="X54" t="s">
        <v>51</v>
      </c>
      <c r="Y54" s="14">
        <v>115062.98</v>
      </c>
      <c r="Z54" s="14">
        <v>0</v>
      </c>
      <c r="AA54" s="14">
        <v>0</v>
      </c>
      <c r="AB54" s="14">
        <v>-13663803.85</v>
      </c>
      <c r="AC54" s="13" t="str">
        <f t="shared" si="2"/>
        <v>OK</v>
      </c>
      <c r="AD54" s="14">
        <v>29404405</v>
      </c>
      <c r="AE54" s="14">
        <v>0</v>
      </c>
      <c r="AF54" s="14">
        <v>0</v>
      </c>
      <c r="AG54" s="14">
        <v>3394757.81</v>
      </c>
      <c r="AH54" s="14">
        <v>9400117.8300000001</v>
      </c>
      <c r="AI54" s="13" t="str">
        <f t="shared" si="3"/>
        <v>OK</v>
      </c>
      <c r="AJ54" s="14">
        <v>717382725.88</v>
      </c>
      <c r="AK54" s="14">
        <v>724948576.66999996</v>
      </c>
      <c r="AL54" s="14">
        <v>0</v>
      </c>
      <c r="AM54" s="14">
        <v>0</v>
      </c>
      <c r="AN54" s="14">
        <v>29404405</v>
      </c>
      <c r="AO54" s="14">
        <v>29404405</v>
      </c>
      <c r="AP54" s="15">
        <f t="shared" si="4"/>
        <v>0</v>
      </c>
      <c r="AQ54" s="14">
        <v>29404405</v>
      </c>
      <c r="AR54" s="14">
        <v>29404405</v>
      </c>
      <c r="AS54" s="14">
        <v>0</v>
      </c>
      <c r="AT54" s="14">
        <v>0</v>
      </c>
      <c r="AU54" s="16">
        <f t="shared" si="5"/>
        <v>0</v>
      </c>
      <c r="AV54" s="13" t="str">
        <f t="shared" si="6"/>
        <v>NÃO</v>
      </c>
      <c r="AW54" s="13" t="str">
        <f t="shared" si="7"/>
        <v>OK</v>
      </c>
      <c r="AX54" s="13" t="str">
        <f t="shared" si="8"/>
        <v>OK</v>
      </c>
    </row>
    <row r="55" spans="1:50" x14ac:dyDescent="0.3">
      <c r="A55" s="10" t="s">
        <v>275</v>
      </c>
      <c r="B55" t="s">
        <v>279</v>
      </c>
      <c r="C55" t="s">
        <v>280</v>
      </c>
      <c r="D55" t="s">
        <v>281</v>
      </c>
      <c r="E55" t="s">
        <v>46</v>
      </c>
      <c r="F55" t="s">
        <v>102</v>
      </c>
      <c r="G55" t="s">
        <v>48</v>
      </c>
      <c r="H55" t="s">
        <v>76</v>
      </c>
      <c r="I55" t="s">
        <v>50</v>
      </c>
      <c r="J55" t="s">
        <v>51</v>
      </c>
      <c r="K55" t="s">
        <v>51</v>
      </c>
      <c r="L55" t="s">
        <v>52</v>
      </c>
      <c r="M55">
        <v>797</v>
      </c>
      <c r="N55" s="11" t="str">
        <f t="shared" si="0"/>
        <v>OK</v>
      </c>
      <c r="O55" t="s">
        <v>54</v>
      </c>
      <c r="P55" t="s">
        <v>54</v>
      </c>
      <c r="Q55" t="s">
        <v>51</v>
      </c>
      <c r="R55" t="str">
        <f>VLOOKUP($D55,[1]Rascunho!$E$2:$S$296,15,FALSE)</f>
        <v>https://www.ematerce.ce.gov.br/</v>
      </c>
      <c r="S55" s="12">
        <v>126071048.72</v>
      </c>
      <c r="T55" s="12">
        <v>117679198.29000001</v>
      </c>
      <c r="U55" s="13" t="str">
        <f t="shared" si="1"/>
        <v>OK</v>
      </c>
      <c r="V55" s="14">
        <v>131112395.65000001</v>
      </c>
      <c r="W55" s="14">
        <v>28068.92</v>
      </c>
      <c r="X55" t="s">
        <v>51</v>
      </c>
      <c r="Y55" s="14">
        <v>451079.52</v>
      </c>
      <c r="Z55" s="14">
        <v>0</v>
      </c>
      <c r="AA55" s="14">
        <v>0</v>
      </c>
      <c r="AB55" s="14">
        <v>-5041346.93</v>
      </c>
      <c r="AC55" s="13" t="str">
        <f t="shared" si="2"/>
        <v>OK</v>
      </c>
      <c r="AD55" s="14">
        <v>-93541281.390000001</v>
      </c>
      <c r="AE55" s="14">
        <v>0</v>
      </c>
      <c r="AF55" s="14">
        <v>0</v>
      </c>
      <c r="AG55" s="14">
        <v>118328110.45999999</v>
      </c>
      <c r="AH55" s="14">
        <v>125847483.44</v>
      </c>
      <c r="AI55" s="13" t="str">
        <f t="shared" si="3"/>
        <v>OK</v>
      </c>
      <c r="AJ55" s="14">
        <v>1571895.4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5">
        <f t="shared" si="4"/>
        <v>0</v>
      </c>
      <c r="AQ55" s="14">
        <v>2511583.84</v>
      </c>
      <c r="AR55" s="14">
        <v>2511583.84</v>
      </c>
      <c r="AS55" s="14">
        <v>0</v>
      </c>
      <c r="AT55" s="14">
        <v>0</v>
      </c>
      <c r="AU55" s="16">
        <f t="shared" si="5"/>
        <v>0</v>
      </c>
      <c r="AV55" s="13" t="str">
        <f t="shared" si="6"/>
        <v>NÃO</v>
      </c>
      <c r="AW55" s="13" t="str">
        <f t="shared" si="7"/>
        <v>OK</v>
      </c>
      <c r="AX55" s="13" t="str">
        <f t="shared" si="8"/>
        <v>OK</v>
      </c>
    </row>
    <row r="56" spans="1:50" x14ac:dyDescent="0.3">
      <c r="A56" s="10" t="s">
        <v>275</v>
      </c>
      <c r="B56" t="s">
        <v>283</v>
      </c>
      <c r="C56" t="s">
        <v>284</v>
      </c>
      <c r="D56" t="s">
        <v>285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51</v>
      </c>
      <c r="K56" t="s">
        <v>51</v>
      </c>
      <c r="L56" t="s">
        <v>52</v>
      </c>
      <c r="M56">
        <v>205</v>
      </c>
      <c r="N56" s="11" t="str">
        <f t="shared" si="0"/>
        <v>OK</v>
      </c>
      <c r="O56" t="s">
        <v>54</v>
      </c>
      <c r="P56" t="s">
        <v>54</v>
      </c>
      <c r="Q56" t="s">
        <v>51</v>
      </c>
      <c r="R56" t="str">
        <f>VLOOKUP($D56,[1]Rascunho!$E$2:$S$296,15,FALSE)</f>
        <v>https://www.etice.ce.gov.br/cartas-anuais-de-politicas-publicas-e-governanca-corporativa/</v>
      </c>
      <c r="S56" s="12">
        <v>234191493</v>
      </c>
      <c r="T56" s="12">
        <v>52621921</v>
      </c>
      <c r="U56" s="13" t="str">
        <f t="shared" si="1"/>
        <v>OK</v>
      </c>
      <c r="V56" s="14">
        <v>276002832</v>
      </c>
      <c r="W56" s="14">
        <v>0</v>
      </c>
      <c r="X56" t="s">
        <v>51</v>
      </c>
      <c r="Y56" s="14">
        <v>569244.49</v>
      </c>
      <c r="Z56" s="14">
        <v>0</v>
      </c>
      <c r="AA56" s="14">
        <v>0</v>
      </c>
      <c r="AB56" s="14">
        <v>7808729</v>
      </c>
      <c r="AC56" s="13" t="str">
        <f t="shared" si="2"/>
        <v>OK</v>
      </c>
      <c r="AD56" s="14">
        <v>13983537</v>
      </c>
      <c r="AE56" s="14">
        <v>0</v>
      </c>
      <c r="AF56" s="14">
        <v>0</v>
      </c>
      <c r="AG56" s="14">
        <v>71723922.010000005</v>
      </c>
      <c r="AH56" s="14">
        <v>50337610</v>
      </c>
      <c r="AI56" s="13" t="str">
        <f t="shared" si="3"/>
        <v>OK</v>
      </c>
      <c r="AJ56" s="14">
        <v>0</v>
      </c>
      <c r="AK56" s="14">
        <v>0</v>
      </c>
      <c r="AL56" s="14">
        <v>0</v>
      </c>
      <c r="AM56" s="14">
        <v>0</v>
      </c>
      <c r="AN56" s="14">
        <v>100</v>
      </c>
      <c r="AO56" s="14">
        <v>100</v>
      </c>
      <c r="AP56" s="15">
        <f t="shared" si="4"/>
        <v>0</v>
      </c>
      <c r="AQ56" s="14">
        <v>50000</v>
      </c>
      <c r="AR56" s="14">
        <v>50000</v>
      </c>
      <c r="AS56" s="14">
        <v>0</v>
      </c>
      <c r="AT56" s="14">
        <v>0</v>
      </c>
      <c r="AU56" s="16">
        <f t="shared" si="5"/>
        <v>0</v>
      </c>
      <c r="AV56" s="13" t="str">
        <f t="shared" si="6"/>
        <v>NÃO</v>
      </c>
      <c r="AW56" s="13" t="str">
        <f t="shared" si="7"/>
        <v>OK</v>
      </c>
      <c r="AX56" s="13" t="str">
        <f t="shared" si="8"/>
        <v>OK</v>
      </c>
    </row>
    <row r="57" spans="1:50" x14ac:dyDescent="0.3">
      <c r="A57" s="10" t="s">
        <v>275</v>
      </c>
      <c r="B57" t="s">
        <v>321</v>
      </c>
      <c r="C57" t="s">
        <v>322</v>
      </c>
      <c r="D57" t="s">
        <v>323</v>
      </c>
      <c r="E57" t="s">
        <v>46</v>
      </c>
      <c r="F57" t="s">
        <v>240</v>
      </c>
      <c r="G57" t="s">
        <v>60</v>
      </c>
      <c r="H57" t="s">
        <v>49</v>
      </c>
      <c r="I57" t="s">
        <v>50</v>
      </c>
      <c r="J57" t="s">
        <v>51</v>
      </c>
      <c r="K57" t="s">
        <v>51</v>
      </c>
      <c r="L57" t="s">
        <v>134</v>
      </c>
      <c r="M57">
        <v>1164</v>
      </c>
      <c r="N57" s="11" t="str">
        <f t="shared" si="0"/>
        <v>OK</v>
      </c>
      <c r="O57" t="s">
        <v>54</v>
      </c>
      <c r="P57" t="s">
        <v>54</v>
      </c>
      <c r="Q57" t="s">
        <v>54</v>
      </c>
      <c r="R57" t="str">
        <f>VLOOKUP($D57,[1]Rascunho!$E$2:$S$296,15,FALSE)</f>
        <v>https://www.metrofor.ce.gov.br/acesso-informacao/relatorios/</v>
      </c>
      <c r="S57" s="12">
        <v>224210387.22</v>
      </c>
      <c r="T57" s="12">
        <v>110323291.22</v>
      </c>
      <c r="U57" s="13" t="str">
        <f t="shared" si="1"/>
        <v>OK</v>
      </c>
      <c r="V57" s="14">
        <v>309777714.22000003</v>
      </c>
      <c r="W57" s="14">
        <v>16803507.489999998</v>
      </c>
      <c r="X57" t="s">
        <v>51</v>
      </c>
      <c r="Y57" s="14">
        <v>301237.5</v>
      </c>
      <c r="Z57" s="14">
        <v>0</v>
      </c>
      <c r="AA57" s="14">
        <v>0</v>
      </c>
      <c r="AB57" s="14">
        <v>-47808470.32</v>
      </c>
      <c r="AC57" s="13" t="str">
        <f t="shared" si="2"/>
        <v>OK</v>
      </c>
      <c r="AD57" s="14">
        <v>979292458.58000004</v>
      </c>
      <c r="AE57" s="14">
        <v>0</v>
      </c>
      <c r="AF57" s="14">
        <v>0</v>
      </c>
      <c r="AG57" s="14">
        <v>196009565.72999999</v>
      </c>
      <c r="AH57" s="14">
        <v>194001671.97999999</v>
      </c>
      <c r="AI57" s="13" t="str">
        <f t="shared" si="3"/>
        <v>INDÍCIO DE DEPENDÊNCIA POR SUBVENÇÃO</v>
      </c>
      <c r="AJ57" s="14">
        <v>0</v>
      </c>
      <c r="AK57" s="14">
        <v>0</v>
      </c>
      <c r="AL57" s="14">
        <v>8359764</v>
      </c>
      <c r="AM57" s="14">
        <v>4400000</v>
      </c>
      <c r="AN57" s="14">
        <v>2984943600</v>
      </c>
      <c r="AO57" s="14">
        <v>2995022400</v>
      </c>
      <c r="AP57" s="15">
        <f t="shared" si="4"/>
        <v>10078800</v>
      </c>
      <c r="AQ57" s="14">
        <v>2487453000</v>
      </c>
      <c r="AR57" s="14">
        <v>2495852000</v>
      </c>
      <c r="AS57" s="14">
        <v>0</v>
      </c>
      <c r="AT57" s="14">
        <v>0</v>
      </c>
      <c r="AU57" s="16">
        <f t="shared" si="5"/>
        <v>8399000</v>
      </c>
      <c r="AV57" s="13" t="str">
        <f t="shared" si="6"/>
        <v>SIM</v>
      </c>
      <c r="AW57" s="13" t="str">
        <f t="shared" si="7"/>
        <v>VER CAPITAL</v>
      </c>
      <c r="AX57" s="13" t="str">
        <f t="shared" si="8"/>
        <v>OK</v>
      </c>
    </row>
    <row r="58" spans="1:50" x14ac:dyDescent="0.3">
      <c r="A58" s="10" t="s">
        <v>275</v>
      </c>
      <c r="B58" t="s">
        <v>326</v>
      </c>
      <c r="C58" t="s">
        <v>1427</v>
      </c>
      <c r="D58" t="s">
        <v>328</v>
      </c>
      <c r="E58" t="s">
        <v>46</v>
      </c>
      <c r="F58" t="s">
        <v>314</v>
      </c>
      <c r="G58" t="s">
        <v>60</v>
      </c>
      <c r="H58" t="s">
        <v>49</v>
      </c>
      <c r="I58" t="s">
        <v>50</v>
      </c>
      <c r="J58" t="s">
        <v>51</v>
      </c>
      <c r="K58" t="s">
        <v>54</v>
      </c>
      <c r="L58" t="s">
        <v>134</v>
      </c>
      <c r="M58">
        <v>116</v>
      </c>
      <c r="N58" s="11" t="str">
        <f t="shared" si="0"/>
        <v>OK</v>
      </c>
      <c r="O58" t="s">
        <v>54</v>
      </c>
      <c r="P58" t="s">
        <v>54</v>
      </c>
      <c r="Q58" t="s">
        <v>51</v>
      </c>
      <c r="R58" t="str">
        <f>VLOOKUP($D58,[1]Rascunho!$E$2:$S$296,15,FALSE)</f>
        <v>https://zpeceara.com.br/carta-anual-de-politicas-publicas-e-governanca-corporativa/</v>
      </c>
      <c r="S58" s="12">
        <v>38507669.240000002</v>
      </c>
      <c r="T58" s="12">
        <v>17507202.41</v>
      </c>
      <c r="U58" s="13" t="str">
        <f t="shared" si="1"/>
        <v>OK</v>
      </c>
      <c r="V58" s="14">
        <v>24943510.460000001</v>
      </c>
      <c r="W58" s="14">
        <v>2513276.4300000002</v>
      </c>
      <c r="X58" t="s">
        <v>51</v>
      </c>
      <c r="Y58" s="14">
        <v>323914.5</v>
      </c>
      <c r="Z58" s="14">
        <v>0</v>
      </c>
      <c r="AA58" s="14">
        <v>0</v>
      </c>
      <c r="AB58" s="14">
        <v>9359281.3399999999</v>
      </c>
      <c r="AC58" s="13" t="str">
        <f t="shared" si="2"/>
        <v>OK</v>
      </c>
      <c r="AD58" s="14">
        <v>25644437.100000001</v>
      </c>
      <c r="AE58" s="14">
        <v>0</v>
      </c>
      <c r="AF58" s="14">
        <v>0</v>
      </c>
      <c r="AG58" s="14">
        <v>0</v>
      </c>
      <c r="AH58" s="14">
        <v>0</v>
      </c>
      <c r="AI58" s="13" t="str">
        <f t="shared" si="3"/>
        <v>OK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5">
        <f t="shared" si="4"/>
        <v>0</v>
      </c>
      <c r="AQ58" s="14">
        <v>0</v>
      </c>
      <c r="AR58" s="14">
        <v>0</v>
      </c>
      <c r="AS58" s="14">
        <v>0</v>
      </c>
      <c r="AT58" s="14">
        <v>0</v>
      </c>
      <c r="AU58" s="16">
        <f t="shared" si="5"/>
        <v>0</v>
      </c>
      <c r="AV58" s="13" t="str">
        <f t="shared" si="6"/>
        <v>NÃO</v>
      </c>
      <c r="AW58" s="13" t="str">
        <f t="shared" si="7"/>
        <v>OK</v>
      </c>
      <c r="AX58" s="13" t="str">
        <f t="shared" si="8"/>
        <v>OK</v>
      </c>
    </row>
    <row r="59" spans="1:50" x14ac:dyDescent="0.3">
      <c r="A59" s="10" t="s">
        <v>330</v>
      </c>
      <c r="B59" t="s">
        <v>1428</v>
      </c>
      <c r="C59" t="s">
        <v>366</v>
      </c>
      <c r="D59" t="s">
        <v>367</v>
      </c>
      <c r="E59" t="s">
        <v>46</v>
      </c>
      <c r="F59" t="s">
        <v>59</v>
      </c>
      <c r="G59" t="s">
        <v>48</v>
      </c>
      <c r="H59" t="s">
        <v>49</v>
      </c>
      <c r="I59" t="s">
        <v>373</v>
      </c>
      <c r="J59" t="s">
        <v>51</v>
      </c>
      <c r="K59" t="s">
        <v>54</v>
      </c>
      <c r="L59" t="s">
        <v>134</v>
      </c>
      <c r="M59">
        <v>69</v>
      </c>
      <c r="N59" s="11" t="str">
        <f t="shared" si="0"/>
        <v>OK</v>
      </c>
      <c r="O59" t="s">
        <v>54</v>
      </c>
      <c r="P59" t="s">
        <v>54</v>
      </c>
      <c r="Q59" t="s">
        <v>51</v>
      </c>
      <c r="R59" t="str">
        <f>VLOOKUP($D59,[1]Rascunho!$E$2:$S$296,15,FALSE)</f>
        <v>https://www.bioticsa.com.br/legislacao</v>
      </c>
      <c r="S59" s="12">
        <v>0</v>
      </c>
      <c r="T59" s="12">
        <v>7042542.5499999998</v>
      </c>
      <c r="U59" s="13" t="str">
        <f t="shared" si="1"/>
        <v>OK</v>
      </c>
      <c r="V59" s="14">
        <v>9912378.5500000007</v>
      </c>
      <c r="W59" s="14">
        <v>401917.62</v>
      </c>
      <c r="X59" t="s">
        <v>51</v>
      </c>
      <c r="Y59" s="14">
        <v>248031.28</v>
      </c>
      <c r="Z59" s="14">
        <v>0</v>
      </c>
      <c r="AA59" s="14">
        <v>0</v>
      </c>
      <c r="AB59" s="14">
        <v>653133</v>
      </c>
      <c r="AC59" s="13" t="str">
        <f t="shared" si="2"/>
        <v>OK</v>
      </c>
      <c r="AD59" s="14">
        <v>1011998375</v>
      </c>
      <c r="AE59" s="14" t="e">
        <v>#VALUE!</v>
      </c>
      <c r="AF59" s="14">
        <v>0</v>
      </c>
      <c r="AG59" s="14">
        <v>0</v>
      </c>
      <c r="AH59" s="14">
        <v>0</v>
      </c>
      <c r="AI59" s="13" t="str">
        <f t="shared" si="3"/>
        <v>OK</v>
      </c>
      <c r="AJ59" s="14">
        <v>0</v>
      </c>
      <c r="AK59" s="14">
        <v>0</v>
      </c>
      <c r="AL59" s="14">
        <v>22952228</v>
      </c>
      <c r="AM59" s="14">
        <v>28411732</v>
      </c>
      <c r="AN59" s="14">
        <v>9958047</v>
      </c>
      <c r="AO59" s="14">
        <v>9958047</v>
      </c>
      <c r="AP59" s="15">
        <f t="shared" si="4"/>
        <v>0</v>
      </c>
      <c r="AQ59" s="14">
        <v>995804700</v>
      </c>
      <c r="AR59" s="14">
        <v>995804700</v>
      </c>
      <c r="AS59" s="14">
        <v>5794655</v>
      </c>
      <c r="AT59" s="14">
        <v>5794655</v>
      </c>
      <c r="AU59" s="16">
        <f t="shared" si="5"/>
        <v>5794655</v>
      </c>
      <c r="AV59" s="13" t="str">
        <f t="shared" si="6"/>
        <v>SIM</v>
      </c>
      <c r="AW59" s="13" t="str">
        <f t="shared" si="7"/>
        <v>VER CAPITAL</v>
      </c>
      <c r="AX59" s="13" t="str">
        <f t="shared" si="8"/>
        <v>OK</v>
      </c>
    </row>
    <row r="60" spans="1:50" x14ac:dyDescent="0.3">
      <c r="A60" s="10" t="s">
        <v>330</v>
      </c>
      <c r="B60" t="s">
        <v>370</v>
      </c>
      <c r="C60" t="s">
        <v>371</v>
      </c>
      <c r="D60" t="s">
        <v>372</v>
      </c>
      <c r="E60" t="s">
        <v>46</v>
      </c>
      <c r="F60" t="s">
        <v>71</v>
      </c>
      <c r="G60" t="s">
        <v>60</v>
      </c>
      <c r="H60" t="s">
        <v>49</v>
      </c>
      <c r="I60" t="s">
        <v>373</v>
      </c>
      <c r="J60" t="s">
        <v>54</v>
      </c>
      <c r="K60" t="s">
        <v>51</v>
      </c>
      <c r="L60" t="s">
        <v>134</v>
      </c>
      <c r="M60">
        <v>3376</v>
      </c>
      <c r="N60" s="11" t="str">
        <f t="shared" si="0"/>
        <v>OK</v>
      </c>
      <c r="O60" t="s">
        <v>54</v>
      </c>
      <c r="P60" t="s">
        <v>54</v>
      </c>
      <c r="Q60" t="s">
        <v>54</v>
      </c>
      <c r="R60" t="str">
        <f>VLOOKUP($D60,[1]Rascunho!$E$2:$S$296,15,FALSE)</f>
        <v>https://novo.brb.com.br/</v>
      </c>
      <c r="S60" s="12">
        <v>162182533.15000001</v>
      </c>
      <c r="T60" s="12">
        <v>1193597471.01</v>
      </c>
      <c r="U60" s="13" t="str">
        <f t="shared" si="1"/>
        <v>OK</v>
      </c>
      <c r="V60" s="14">
        <v>7587194609.6999998</v>
      </c>
      <c r="W60" s="14">
        <v>104997122.52</v>
      </c>
      <c r="X60" t="s">
        <v>54</v>
      </c>
      <c r="Y60" s="14">
        <v>804338.54</v>
      </c>
      <c r="Z60" s="14">
        <v>418887.66</v>
      </c>
      <c r="AA60" s="14">
        <v>0</v>
      </c>
      <c r="AB60" s="14">
        <v>204880334.37</v>
      </c>
      <c r="AC60" s="13" t="str">
        <f t="shared" si="2"/>
        <v>OK</v>
      </c>
      <c r="AD60" s="14">
        <v>2607437071.79</v>
      </c>
      <c r="AE60" s="14" t="e">
        <v>#VALUE!</v>
      </c>
      <c r="AF60" s="14">
        <v>37687950.109999999</v>
      </c>
      <c r="AG60" s="14">
        <v>0</v>
      </c>
      <c r="AH60" s="14">
        <v>0</v>
      </c>
      <c r="AI60" s="13" t="str">
        <f t="shared" si="3"/>
        <v>OK</v>
      </c>
      <c r="AJ60" s="14">
        <v>0</v>
      </c>
      <c r="AK60" s="14">
        <v>0</v>
      </c>
      <c r="AL60" s="14">
        <v>0</v>
      </c>
      <c r="AM60" s="14">
        <v>0</v>
      </c>
      <c r="AN60" s="14">
        <v>261103974</v>
      </c>
      <c r="AO60" s="14">
        <v>261103974</v>
      </c>
      <c r="AP60" s="15">
        <f t="shared" si="4"/>
        <v>0</v>
      </c>
      <c r="AQ60" s="14">
        <v>1300000000</v>
      </c>
      <c r="AR60" s="14">
        <v>1300000000</v>
      </c>
      <c r="AS60" s="14">
        <v>0</v>
      </c>
      <c r="AT60" s="14">
        <v>0</v>
      </c>
      <c r="AU60" s="16">
        <f t="shared" si="5"/>
        <v>0</v>
      </c>
      <c r="AV60" s="13" t="str">
        <f t="shared" si="6"/>
        <v>NÃO</v>
      </c>
      <c r="AW60" s="13" t="str">
        <f t="shared" si="7"/>
        <v>OK</v>
      </c>
      <c r="AX60" s="13" t="str">
        <f t="shared" si="8"/>
        <v>OK</v>
      </c>
    </row>
    <row r="61" spans="1:50" x14ac:dyDescent="0.3">
      <c r="A61" s="10" t="s">
        <v>330</v>
      </c>
      <c r="B61" t="s">
        <v>379</v>
      </c>
      <c r="C61" t="s">
        <v>380</v>
      </c>
      <c r="D61" t="s">
        <v>381</v>
      </c>
      <c r="E61" t="s">
        <v>46</v>
      </c>
      <c r="F61" t="s">
        <v>71</v>
      </c>
      <c r="G61" t="s">
        <v>60</v>
      </c>
      <c r="H61" t="s">
        <v>49</v>
      </c>
      <c r="I61" t="s">
        <v>50</v>
      </c>
      <c r="J61" t="s">
        <v>51</v>
      </c>
      <c r="K61" t="s">
        <v>54</v>
      </c>
      <c r="L61" t="s">
        <v>134</v>
      </c>
      <c r="M61">
        <v>6</v>
      </c>
      <c r="N61" s="11" t="str">
        <f t="shared" si="0"/>
        <v>OK</v>
      </c>
      <c r="O61" t="s">
        <v>54</v>
      </c>
      <c r="P61" t="s">
        <v>54</v>
      </c>
      <c r="Q61" t="s">
        <v>54</v>
      </c>
      <c r="R61" t="str">
        <f>VLOOKUP($D61,[1]Rascunho!$E$2:$S$296,15,FALSE)</f>
        <v>https://novo.brb.com.br/</v>
      </c>
      <c r="S61" s="12">
        <v>2583844.87</v>
      </c>
      <c r="T61" s="12">
        <v>2594734.37</v>
      </c>
      <c r="U61" s="13" t="str">
        <f t="shared" si="1"/>
        <v>OK</v>
      </c>
      <c r="V61" s="14">
        <v>25414657.5</v>
      </c>
      <c r="W61" s="14">
        <v>0</v>
      </c>
      <c r="X61" t="s">
        <v>54</v>
      </c>
      <c r="Y61" s="14">
        <v>607889.29</v>
      </c>
      <c r="Z61" s="14">
        <v>222164.01</v>
      </c>
      <c r="AA61" s="14">
        <v>0</v>
      </c>
      <c r="AB61" s="14">
        <v>1555863.09</v>
      </c>
      <c r="AC61" s="13" t="str">
        <f t="shared" si="2"/>
        <v>OK</v>
      </c>
      <c r="AD61" s="14">
        <v>58550290.640000001</v>
      </c>
      <c r="AE61" s="14" t="e">
        <v>#VALUE!</v>
      </c>
      <c r="AF61" s="14">
        <v>0</v>
      </c>
      <c r="AG61" s="14">
        <v>0</v>
      </c>
      <c r="AH61" s="14">
        <v>0</v>
      </c>
      <c r="AI61" s="13" t="str">
        <f t="shared" si="3"/>
        <v>OK</v>
      </c>
      <c r="AJ61" s="14">
        <v>0</v>
      </c>
      <c r="AK61" s="14">
        <v>0</v>
      </c>
      <c r="AL61" s="14">
        <v>0</v>
      </c>
      <c r="AM61" s="14">
        <v>0</v>
      </c>
      <c r="AN61" s="14">
        <v>990000</v>
      </c>
      <c r="AO61" s="14">
        <v>990000</v>
      </c>
      <c r="AP61" s="15">
        <f t="shared" si="4"/>
        <v>0</v>
      </c>
      <c r="AQ61" s="14">
        <v>40000000</v>
      </c>
      <c r="AR61" s="14">
        <v>40000000</v>
      </c>
      <c r="AS61" s="14">
        <v>0</v>
      </c>
      <c r="AT61" s="14">
        <v>0</v>
      </c>
      <c r="AU61" s="16">
        <f t="shared" si="5"/>
        <v>0</v>
      </c>
      <c r="AV61" s="13" t="str">
        <f t="shared" si="6"/>
        <v>NÃO</v>
      </c>
      <c r="AW61" s="13" t="str">
        <f t="shared" si="7"/>
        <v>OK</v>
      </c>
      <c r="AX61" s="13" t="str">
        <f t="shared" si="8"/>
        <v>OK</v>
      </c>
    </row>
    <row r="62" spans="1:50" x14ac:dyDescent="0.3">
      <c r="A62" s="10" t="s">
        <v>330</v>
      </c>
      <c r="B62" t="s">
        <v>383</v>
      </c>
      <c r="C62" t="s">
        <v>384</v>
      </c>
      <c r="D62" t="s">
        <v>385</v>
      </c>
      <c r="E62" t="s">
        <v>46</v>
      </c>
      <c r="F62" t="s">
        <v>71</v>
      </c>
      <c r="G62" t="s">
        <v>60</v>
      </c>
      <c r="H62" t="s">
        <v>49</v>
      </c>
      <c r="I62" t="s">
        <v>50</v>
      </c>
      <c r="J62" t="s">
        <v>51</v>
      </c>
      <c r="K62" t="s">
        <v>54</v>
      </c>
      <c r="L62" t="s">
        <v>134</v>
      </c>
      <c r="M62">
        <v>3</v>
      </c>
      <c r="N62" s="11" t="str">
        <f t="shared" si="0"/>
        <v>OK</v>
      </c>
      <c r="O62" t="s">
        <v>54</v>
      </c>
      <c r="P62" t="s">
        <v>54</v>
      </c>
      <c r="Q62" t="s">
        <v>54</v>
      </c>
      <c r="R62" t="str">
        <f>VLOOKUP($D62,[1]Rascunho!$E$2:$S$296,15,FALSE)</f>
        <v>https://novo.brb.com.br/</v>
      </c>
      <c r="S62" s="12">
        <v>129136429.25</v>
      </c>
      <c r="T62" s="12">
        <v>1076903.9099999999</v>
      </c>
      <c r="U62" s="13" t="str">
        <f t="shared" si="1"/>
        <v>OK</v>
      </c>
      <c r="V62" s="14">
        <v>656964235.92999995</v>
      </c>
      <c r="W62" s="14">
        <v>0</v>
      </c>
      <c r="X62" t="s">
        <v>54</v>
      </c>
      <c r="Y62" s="14">
        <v>628529.89</v>
      </c>
      <c r="Z62" s="14">
        <v>9132.64</v>
      </c>
      <c r="AA62" s="14">
        <v>0</v>
      </c>
      <c r="AB62" s="14">
        <v>77594764.150000006</v>
      </c>
      <c r="AC62" s="13" t="str">
        <f t="shared" si="2"/>
        <v>OK</v>
      </c>
      <c r="AD62" s="14">
        <v>326177093.52999997</v>
      </c>
      <c r="AE62" s="14" t="e">
        <v>#VALUE!</v>
      </c>
      <c r="AF62" s="14">
        <v>0</v>
      </c>
      <c r="AG62" s="14">
        <v>0</v>
      </c>
      <c r="AH62" s="14">
        <v>0</v>
      </c>
      <c r="AI62" s="13" t="str">
        <f t="shared" si="3"/>
        <v>OK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5">
        <f t="shared" si="4"/>
        <v>0</v>
      </c>
      <c r="AQ62" s="14">
        <v>150000000</v>
      </c>
      <c r="AR62" s="14">
        <v>150000000</v>
      </c>
      <c r="AS62" s="14">
        <v>0</v>
      </c>
      <c r="AT62" s="14">
        <v>0</v>
      </c>
      <c r="AU62" s="16">
        <f t="shared" si="5"/>
        <v>0</v>
      </c>
      <c r="AV62" s="13" t="str">
        <f t="shared" si="6"/>
        <v>NÃO</v>
      </c>
      <c r="AW62" s="13" t="str">
        <f t="shared" si="7"/>
        <v>OK</v>
      </c>
      <c r="AX62" s="13" t="str">
        <f t="shared" si="8"/>
        <v>OK</v>
      </c>
    </row>
    <row r="63" spans="1:50" x14ac:dyDescent="0.3">
      <c r="A63" s="10" t="s">
        <v>330</v>
      </c>
      <c r="B63" t="s">
        <v>376</v>
      </c>
      <c r="C63" t="s">
        <v>1429</v>
      </c>
      <c r="D63" t="s">
        <v>378</v>
      </c>
      <c r="E63" t="s">
        <v>46</v>
      </c>
      <c r="F63" t="s">
        <v>71</v>
      </c>
      <c r="G63" t="s">
        <v>60</v>
      </c>
      <c r="H63" t="s">
        <v>49</v>
      </c>
      <c r="I63" t="s">
        <v>50</v>
      </c>
      <c r="J63" t="s">
        <v>51</v>
      </c>
      <c r="K63" t="s">
        <v>54</v>
      </c>
      <c r="L63" t="s">
        <v>134</v>
      </c>
      <c r="M63">
        <v>1</v>
      </c>
      <c r="N63" s="11" t="str">
        <f t="shared" si="0"/>
        <v>OK</v>
      </c>
      <c r="O63" t="s">
        <v>51</v>
      </c>
      <c r="P63" t="s">
        <v>54</v>
      </c>
      <c r="Q63" t="s">
        <v>51</v>
      </c>
      <c r="R63" t="str">
        <f>VLOOKUP($D63,[1]Rascunho!$E$2:$S$296,15,FALSE)</f>
        <v>https://novo.brb.com.br/</v>
      </c>
      <c r="S63" s="12">
        <v>565607</v>
      </c>
      <c r="T63" s="12">
        <v>2278829</v>
      </c>
      <c r="U63" s="13" t="str">
        <f t="shared" si="1"/>
        <v>OK</v>
      </c>
      <c r="V63" s="14">
        <v>16995616</v>
      </c>
      <c r="W63" s="14">
        <v>0</v>
      </c>
      <c r="X63" t="s">
        <v>51</v>
      </c>
      <c r="Y63" s="14">
        <v>0</v>
      </c>
      <c r="Z63" s="14">
        <v>0</v>
      </c>
      <c r="AA63" s="14">
        <v>0</v>
      </c>
      <c r="AB63" s="14">
        <v>64636859</v>
      </c>
      <c r="AC63" s="13" t="str">
        <f t="shared" si="2"/>
        <v>OK</v>
      </c>
      <c r="AD63" s="14">
        <v>484126654.83999997</v>
      </c>
      <c r="AE63" s="14" t="e">
        <v>#VALUE!</v>
      </c>
      <c r="AF63" s="14">
        <v>0</v>
      </c>
      <c r="AG63" s="14">
        <v>0</v>
      </c>
      <c r="AH63" s="14">
        <v>0</v>
      </c>
      <c r="AI63" s="13" t="str">
        <f t="shared" si="3"/>
        <v>OK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5">
        <f t="shared" si="4"/>
        <v>0</v>
      </c>
      <c r="AQ63" s="14">
        <v>0</v>
      </c>
      <c r="AR63" s="14">
        <v>0</v>
      </c>
      <c r="AS63" s="14">
        <v>0</v>
      </c>
      <c r="AT63" s="14">
        <v>0</v>
      </c>
      <c r="AU63" s="16">
        <f t="shared" si="5"/>
        <v>0</v>
      </c>
      <c r="AV63" s="13" t="str">
        <f t="shared" si="6"/>
        <v>NÃO</v>
      </c>
      <c r="AW63" s="13" t="str">
        <f t="shared" si="7"/>
        <v>OK</v>
      </c>
      <c r="AX63" s="13" t="str">
        <f t="shared" si="8"/>
        <v>OK</v>
      </c>
    </row>
    <row r="64" spans="1:50" x14ac:dyDescent="0.3">
      <c r="A64" s="10" t="s">
        <v>330</v>
      </c>
      <c r="B64" t="s">
        <v>389</v>
      </c>
      <c r="C64" t="s">
        <v>389</v>
      </c>
      <c r="D64" t="s">
        <v>390</v>
      </c>
      <c r="E64" t="s">
        <v>46</v>
      </c>
      <c r="F64" t="s">
        <v>71</v>
      </c>
      <c r="G64" t="s">
        <v>60</v>
      </c>
      <c r="H64" t="s">
        <v>49</v>
      </c>
      <c r="I64" t="s">
        <v>50</v>
      </c>
      <c r="J64" t="s">
        <v>51</v>
      </c>
      <c r="K64" t="s">
        <v>54</v>
      </c>
      <c r="L64" t="s">
        <v>134</v>
      </c>
      <c r="M64">
        <v>1280</v>
      </c>
      <c r="N64" s="11" t="str">
        <f t="shared" si="0"/>
        <v>OK</v>
      </c>
      <c r="O64" t="s">
        <v>54</v>
      </c>
      <c r="P64" t="s">
        <v>54</v>
      </c>
      <c r="Q64" t="s">
        <v>51</v>
      </c>
      <c r="R64" t="str">
        <f>VLOOKUP($D64,[1]Rascunho!$E$2:$S$296,15,FALSE)</f>
        <v>https://www.brbservicos.com.br</v>
      </c>
      <c r="S64" s="12">
        <v>101022486</v>
      </c>
      <c r="T64" s="12">
        <v>73328290</v>
      </c>
      <c r="U64" s="13" t="str">
        <f t="shared" si="1"/>
        <v>OK</v>
      </c>
      <c r="V64" s="14">
        <v>99775139</v>
      </c>
      <c r="W64" s="14">
        <v>2679677</v>
      </c>
      <c r="X64" t="s">
        <v>54</v>
      </c>
      <c r="Y64" s="14">
        <v>724403</v>
      </c>
      <c r="Z64" s="14">
        <v>76131</v>
      </c>
      <c r="AA64" s="14">
        <v>0</v>
      </c>
      <c r="AB64" s="14">
        <v>1247346</v>
      </c>
      <c r="AC64" s="13" t="str">
        <f t="shared" si="2"/>
        <v>OK</v>
      </c>
      <c r="AD64" s="14">
        <v>31260067</v>
      </c>
      <c r="AE64" s="14" t="e">
        <v>#VALUE!</v>
      </c>
      <c r="AF64" s="14">
        <v>0</v>
      </c>
      <c r="AG64" s="14">
        <v>0</v>
      </c>
      <c r="AH64" s="14">
        <v>0</v>
      </c>
      <c r="AI64" s="13" t="str">
        <f t="shared" si="3"/>
        <v>OK</v>
      </c>
      <c r="AJ64" s="14">
        <v>0</v>
      </c>
      <c r="AK64" s="14">
        <v>0</v>
      </c>
      <c r="AL64" s="14">
        <v>0</v>
      </c>
      <c r="AM64" s="14">
        <v>0</v>
      </c>
      <c r="AN64" s="14">
        <v>248000</v>
      </c>
      <c r="AO64" s="14">
        <v>248000</v>
      </c>
      <c r="AP64" s="15">
        <f t="shared" si="4"/>
        <v>0</v>
      </c>
      <c r="AQ64" s="14">
        <v>24024947</v>
      </c>
      <c r="AR64" s="14">
        <v>29744203</v>
      </c>
      <c r="AS64" s="14">
        <v>5719255.9800000004</v>
      </c>
      <c r="AT64" s="14">
        <v>0</v>
      </c>
      <c r="AU64" s="16">
        <f t="shared" si="5"/>
        <v>5719256</v>
      </c>
      <c r="AV64" s="13" t="str">
        <f t="shared" si="6"/>
        <v>SIM</v>
      </c>
      <c r="AW64" s="13" t="str">
        <f t="shared" si="7"/>
        <v>OK</v>
      </c>
      <c r="AX64" s="13" t="str">
        <f t="shared" si="8"/>
        <v>OK</v>
      </c>
    </row>
    <row r="65" spans="1:50" x14ac:dyDescent="0.3">
      <c r="A65" s="10" t="s">
        <v>330</v>
      </c>
      <c r="B65" t="s">
        <v>392</v>
      </c>
      <c r="C65" t="s">
        <v>393</v>
      </c>
      <c r="D65" t="s">
        <v>394</v>
      </c>
      <c r="E65" t="s">
        <v>46</v>
      </c>
      <c r="F65" t="s">
        <v>71</v>
      </c>
      <c r="G65" t="s">
        <v>60</v>
      </c>
      <c r="H65" t="s">
        <v>49</v>
      </c>
      <c r="I65" t="s">
        <v>50</v>
      </c>
      <c r="J65" t="s">
        <v>51</v>
      </c>
      <c r="K65" t="s">
        <v>54</v>
      </c>
      <c r="L65" t="s">
        <v>134</v>
      </c>
      <c r="M65">
        <v>280</v>
      </c>
      <c r="N65" s="11" t="str">
        <f t="shared" si="0"/>
        <v>OK</v>
      </c>
      <c r="O65" t="s">
        <v>54</v>
      </c>
      <c r="P65" t="s">
        <v>54</v>
      </c>
      <c r="Q65" t="s">
        <v>54</v>
      </c>
      <c r="R65" t="str">
        <f>VLOOKUP($D65,[1]Rascunho!$E$2:$S$296,15,FALSE)</f>
        <v>https://www.brbcard.com.br/wp-content/uploads/2024/09/Carta-Anual-Politicas-Publicas-Gov-Corporativa-2023-vf.pdf</v>
      </c>
      <c r="S65" s="12">
        <v>268566938.67000002</v>
      </c>
      <c r="T65" s="12">
        <v>54757468.380000003</v>
      </c>
      <c r="U65" s="13" t="str">
        <f t="shared" si="1"/>
        <v>OK</v>
      </c>
      <c r="V65" s="14">
        <v>547667107.36000001</v>
      </c>
      <c r="W65" s="14">
        <v>135309342.88</v>
      </c>
      <c r="X65" t="s">
        <v>54</v>
      </c>
      <c r="Y65" s="14">
        <v>648271.91</v>
      </c>
      <c r="Z65" s="14">
        <v>163267.34</v>
      </c>
      <c r="AA65" s="14">
        <v>0</v>
      </c>
      <c r="AB65" s="14">
        <v>84667614.180000007</v>
      </c>
      <c r="AC65" s="13" t="str">
        <f t="shared" si="2"/>
        <v>OK</v>
      </c>
      <c r="AD65" s="14">
        <v>1224354289.5799999</v>
      </c>
      <c r="AE65" s="14" t="e">
        <v>#VALUE!</v>
      </c>
      <c r="AF65" s="14">
        <v>0</v>
      </c>
      <c r="AG65" s="14">
        <v>0</v>
      </c>
      <c r="AH65" s="14">
        <v>0</v>
      </c>
      <c r="AI65" s="13" t="str">
        <f t="shared" si="3"/>
        <v>OK</v>
      </c>
      <c r="AJ65" s="14">
        <v>0</v>
      </c>
      <c r="AK65" s="14">
        <v>0</v>
      </c>
      <c r="AL65" s="14">
        <v>0</v>
      </c>
      <c r="AM65" s="14">
        <v>0</v>
      </c>
      <c r="AN65" s="14">
        <v>3941551</v>
      </c>
      <c r="AO65" s="14">
        <v>3941551</v>
      </c>
      <c r="AP65" s="15">
        <f t="shared" si="4"/>
        <v>0</v>
      </c>
      <c r="AQ65" s="14">
        <v>506560151.72000003</v>
      </c>
      <c r="AR65" s="14">
        <v>574791209.91999996</v>
      </c>
      <c r="AS65" s="14">
        <v>0</v>
      </c>
      <c r="AT65" s="14">
        <v>0</v>
      </c>
      <c r="AU65" s="16">
        <f t="shared" si="5"/>
        <v>68231058.199999928</v>
      </c>
      <c r="AV65" s="13" t="str">
        <f t="shared" si="6"/>
        <v>SIM</v>
      </c>
      <c r="AW65" s="13" t="str">
        <f t="shared" si="7"/>
        <v>OK</v>
      </c>
      <c r="AX65" s="13" t="str">
        <f t="shared" si="8"/>
        <v>OK</v>
      </c>
    </row>
    <row r="66" spans="1:50" x14ac:dyDescent="0.3">
      <c r="A66" s="10" t="s">
        <v>330</v>
      </c>
      <c r="B66" t="s">
        <v>397</v>
      </c>
      <c r="C66" t="s">
        <v>398</v>
      </c>
      <c r="D66" t="s">
        <v>399</v>
      </c>
      <c r="E66" t="s">
        <v>46</v>
      </c>
      <c r="F66" t="s">
        <v>107</v>
      </c>
      <c r="G66" t="s">
        <v>60</v>
      </c>
      <c r="H66" t="s">
        <v>49</v>
      </c>
      <c r="I66" t="s">
        <v>50</v>
      </c>
      <c r="J66" t="s">
        <v>51</v>
      </c>
      <c r="K66" t="s">
        <v>51</v>
      </c>
      <c r="L66" t="s">
        <v>134</v>
      </c>
      <c r="M66">
        <v>2020</v>
      </c>
      <c r="N66" s="11" t="str">
        <f t="shared" ref="N66:N129" si="9">IF(AND(E66="ATIVA",M66=0),"VERIFICAR","OK")</f>
        <v>OK</v>
      </c>
      <c r="O66" t="s">
        <v>54</v>
      </c>
      <c r="P66" t="s">
        <v>54</v>
      </c>
      <c r="Q66" t="s">
        <v>54</v>
      </c>
      <c r="R66" t="str">
        <f>VLOOKUP($D66,[1]Rascunho!$E$2:$S$296,15,FALSE)</f>
        <v>https://www.caesb.df.gov.br/</v>
      </c>
      <c r="S66" s="12">
        <v>2305671995.77</v>
      </c>
      <c r="T66" s="12">
        <v>946667751.27999997</v>
      </c>
      <c r="U66" s="13" t="str">
        <f t="shared" ref="U66:U129" si="10">IF(AND(M66=0,T66&gt;0),"VERIFICAR","OK")</f>
        <v>OK</v>
      </c>
      <c r="V66" s="14">
        <v>2282596342.4299998</v>
      </c>
      <c r="W66" s="14">
        <v>303403483.33999997</v>
      </c>
      <c r="X66" t="s">
        <v>54</v>
      </c>
      <c r="Y66" s="14">
        <v>722900.88</v>
      </c>
      <c r="Z66" s="14">
        <v>15667.52</v>
      </c>
      <c r="AA66" s="14">
        <v>23386.95</v>
      </c>
      <c r="AB66" s="14">
        <v>157249950</v>
      </c>
      <c r="AC66" s="13" t="str">
        <f t="shared" ref="AC66:AC129" si="11">IF(AND(X66="SIM",AB66&lt;0),"VERIFICAR","OK")</f>
        <v>OK</v>
      </c>
      <c r="AD66" s="14">
        <v>2127332920</v>
      </c>
      <c r="AE66" s="14" t="e">
        <v>#VALUE!</v>
      </c>
      <c r="AF66" s="14">
        <v>263249386.16999999</v>
      </c>
      <c r="AG66" s="14">
        <v>0</v>
      </c>
      <c r="AH66" s="14">
        <v>0</v>
      </c>
      <c r="AI66" s="13" t="str">
        <f t="shared" ref="AI66:AI129" si="12">IF(AND(L66="NÃO DEPENDENTE",AH66&gt;0),"INDÍCIO DE DEPENDÊNCIA POR SUBVENÇÃO","OK")</f>
        <v>OK</v>
      </c>
      <c r="AJ66" s="14">
        <v>2209460.59</v>
      </c>
      <c r="AK66" s="14">
        <v>64529800.390000001</v>
      </c>
      <c r="AL66" s="14">
        <v>0</v>
      </c>
      <c r="AM66" s="14">
        <v>0</v>
      </c>
      <c r="AN66" s="14">
        <v>687836198</v>
      </c>
      <c r="AO66" s="14">
        <v>929456430</v>
      </c>
      <c r="AP66" s="15">
        <f t="shared" ref="AP66:AP129" si="13">AO66-AN66</f>
        <v>241620232</v>
      </c>
      <c r="AQ66" s="14">
        <v>1537314981</v>
      </c>
      <c r="AR66" s="14">
        <v>2074068686</v>
      </c>
      <c r="AS66" s="14">
        <v>0</v>
      </c>
      <c r="AT66" s="14">
        <v>0</v>
      </c>
      <c r="AU66" s="16">
        <f t="shared" ref="AU66:AU129" si="14">(AR66-AQ66)+(AT66)</f>
        <v>536753705</v>
      </c>
      <c r="AV66" s="13" t="str">
        <f t="shared" ref="AV66:AV129" si="15">IF(OR(AP66&gt;0,AU66&gt;0),"SIM","NÃO")</f>
        <v>SIM</v>
      </c>
      <c r="AW66" s="13" t="str">
        <f t="shared" ref="AW66:AW129" si="16">IF(AND(L66="NÃO DEPENDENTE",AM66&gt;0),"VER CAPITAL","OK")</f>
        <v>OK</v>
      </c>
      <c r="AX66" s="13" t="str">
        <f t="shared" ref="AX66:AX129" si="17">IF(AND(AW66="VER CAPITAL",AV66="NÃO"),"INDÍCIO DE DEPENDÊNCIA POR CAPITAL","OK")</f>
        <v>OK</v>
      </c>
    </row>
    <row r="67" spans="1:50" x14ac:dyDescent="0.3">
      <c r="A67" s="10" t="s">
        <v>330</v>
      </c>
      <c r="B67" t="s">
        <v>402</v>
      </c>
      <c r="C67" t="s">
        <v>403</v>
      </c>
      <c r="D67" t="s">
        <v>404</v>
      </c>
      <c r="E67" t="s">
        <v>46</v>
      </c>
      <c r="F67" t="s">
        <v>75</v>
      </c>
      <c r="G67" t="s">
        <v>60</v>
      </c>
      <c r="H67" t="s">
        <v>49</v>
      </c>
      <c r="I67" t="s">
        <v>50</v>
      </c>
      <c r="J67" t="s">
        <v>51</v>
      </c>
      <c r="K67" t="s">
        <v>51</v>
      </c>
      <c r="L67" t="s">
        <v>134</v>
      </c>
      <c r="M67">
        <v>109</v>
      </c>
      <c r="N67" s="11" t="str">
        <f t="shared" si="9"/>
        <v>OK</v>
      </c>
      <c r="O67" t="s">
        <v>54</v>
      </c>
      <c r="P67" t="s">
        <v>54</v>
      </c>
      <c r="Q67" t="s">
        <v>51</v>
      </c>
      <c r="R67" t="str">
        <f>VLOOKUP($D67,[1]Rascunho!$E$2:$S$296,15,FALSE)</f>
        <v>https://www.ceasa.df.gov.br/</v>
      </c>
      <c r="S67" s="12">
        <v>15507909.970000001</v>
      </c>
      <c r="T67" s="12">
        <v>15432128.630000001</v>
      </c>
      <c r="U67" s="13" t="str">
        <f t="shared" si="10"/>
        <v>OK</v>
      </c>
      <c r="V67" s="14">
        <v>21256646.219999999</v>
      </c>
      <c r="W67" s="14">
        <v>615522.97</v>
      </c>
      <c r="X67" t="s">
        <v>51</v>
      </c>
      <c r="Y67" s="14">
        <v>308266.28999999998</v>
      </c>
      <c r="Z67" s="14">
        <v>0</v>
      </c>
      <c r="AA67" s="14">
        <v>0</v>
      </c>
      <c r="AB67" s="14">
        <v>-2338321.41</v>
      </c>
      <c r="AC67" s="13" t="str">
        <f t="shared" si="11"/>
        <v>OK</v>
      </c>
      <c r="AD67" s="14">
        <v>40367686</v>
      </c>
      <c r="AE67" s="14" t="e">
        <v>#VALUE!</v>
      </c>
      <c r="AF67" s="14">
        <v>0</v>
      </c>
      <c r="AG67" s="14">
        <v>0</v>
      </c>
      <c r="AH67" s="14">
        <v>0</v>
      </c>
      <c r="AI67" s="13" t="str">
        <f t="shared" si="12"/>
        <v>OK</v>
      </c>
      <c r="AJ67" s="14">
        <v>0</v>
      </c>
      <c r="AK67" s="14">
        <v>0</v>
      </c>
      <c r="AL67" s="14">
        <v>0</v>
      </c>
      <c r="AM67" s="14">
        <v>0</v>
      </c>
      <c r="AN67" s="14">
        <v>32197937.120000001</v>
      </c>
      <c r="AO67" s="14">
        <v>2023</v>
      </c>
      <c r="AP67" s="15">
        <f t="shared" si="13"/>
        <v>-32195914.120000001</v>
      </c>
      <c r="AQ67" s="14">
        <v>32197985</v>
      </c>
      <c r="AR67" s="14">
        <v>32197985</v>
      </c>
      <c r="AS67" s="14">
        <v>0</v>
      </c>
      <c r="AT67" s="14">
        <v>0</v>
      </c>
      <c r="AU67" s="16">
        <f t="shared" si="14"/>
        <v>0</v>
      </c>
      <c r="AV67" s="13" t="str">
        <f t="shared" si="15"/>
        <v>NÃO</v>
      </c>
      <c r="AW67" s="13" t="str">
        <f t="shared" si="16"/>
        <v>OK</v>
      </c>
      <c r="AX67" s="13" t="str">
        <f t="shared" si="17"/>
        <v>OK</v>
      </c>
    </row>
    <row r="68" spans="1:50" x14ac:dyDescent="0.3">
      <c r="A68" s="10" t="s">
        <v>330</v>
      </c>
      <c r="B68" t="s">
        <v>406</v>
      </c>
      <c r="C68" t="s">
        <v>407</v>
      </c>
      <c r="D68" t="s">
        <v>408</v>
      </c>
      <c r="E68" t="s">
        <v>46</v>
      </c>
      <c r="F68" t="s">
        <v>409</v>
      </c>
      <c r="G68" t="s">
        <v>60</v>
      </c>
      <c r="H68" t="s">
        <v>49</v>
      </c>
      <c r="I68" t="s">
        <v>373</v>
      </c>
      <c r="J68" t="s">
        <v>54</v>
      </c>
      <c r="K68" t="s">
        <v>51</v>
      </c>
      <c r="L68" t="s">
        <v>134</v>
      </c>
      <c r="M68">
        <v>122</v>
      </c>
      <c r="N68" s="11" t="str">
        <f t="shared" si="9"/>
        <v>OK</v>
      </c>
      <c r="O68" t="s">
        <v>54</v>
      </c>
      <c r="P68" t="s">
        <v>54</v>
      </c>
      <c r="Q68" t="s">
        <v>54</v>
      </c>
      <c r="R68" t="str">
        <f>VLOOKUP($D68,[1]Rascunho!$E$2:$S$296,15,FALSE)</f>
        <v>https://ri.ceb.com.br/</v>
      </c>
      <c r="S68" s="12">
        <v>84869329.280000001</v>
      </c>
      <c r="T68" s="12">
        <v>26331738.25</v>
      </c>
      <c r="U68" s="13" t="str">
        <f t="shared" si="10"/>
        <v>OK</v>
      </c>
      <c r="V68" s="14">
        <v>179769253.34</v>
      </c>
      <c r="W68" s="14">
        <v>34661913.07</v>
      </c>
      <c r="X68" t="s">
        <v>54</v>
      </c>
      <c r="Y68" s="14">
        <v>666046.51</v>
      </c>
      <c r="Z68" s="14">
        <v>0</v>
      </c>
      <c r="AA68" s="14">
        <v>20549.259999999998</v>
      </c>
      <c r="AB68" s="14">
        <v>183510404.56</v>
      </c>
      <c r="AC68" s="13" t="str">
        <f t="shared" si="11"/>
        <v>OK</v>
      </c>
      <c r="AD68" s="14">
        <v>1008340094.86</v>
      </c>
      <c r="AE68" s="14" t="e">
        <v>#VALUE!</v>
      </c>
      <c r="AF68" s="14">
        <v>159637171</v>
      </c>
      <c r="AG68" s="14">
        <v>0</v>
      </c>
      <c r="AH68" s="14">
        <v>0</v>
      </c>
      <c r="AI68" s="13" t="str">
        <f t="shared" si="12"/>
        <v>OK</v>
      </c>
      <c r="AJ68" s="14">
        <v>0</v>
      </c>
      <c r="AK68" s="14">
        <v>0</v>
      </c>
      <c r="AL68" s="14">
        <v>0</v>
      </c>
      <c r="AM68" s="14">
        <v>0</v>
      </c>
      <c r="AN68" s="14">
        <v>57773215</v>
      </c>
      <c r="AO68" s="14">
        <v>57773215</v>
      </c>
      <c r="AP68" s="15">
        <f t="shared" si="13"/>
        <v>0</v>
      </c>
      <c r="AQ68" s="14">
        <v>566025355.62</v>
      </c>
      <c r="AR68" s="14">
        <v>566025355.62</v>
      </c>
      <c r="AS68" s="14">
        <v>0</v>
      </c>
      <c r="AT68" s="14">
        <v>0</v>
      </c>
      <c r="AU68" s="16">
        <f t="shared" si="14"/>
        <v>0</v>
      </c>
      <c r="AV68" s="13" t="str">
        <f t="shared" si="15"/>
        <v>NÃO</v>
      </c>
      <c r="AW68" s="13" t="str">
        <f t="shared" si="16"/>
        <v>OK</v>
      </c>
      <c r="AX68" s="13" t="str">
        <f t="shared" si="17"/>
        <v>OK</v>
      </c>
    </row>
    <row r="69" spans="1:50" x14ac:dyDescent="0.3">
      <c r="A69" s="10" t="s">
        <v>330</v>
      </c>
      <c r="B69" t="s">
        <v>420</v>
      </c>
      <c r="C69" t="s">
        <v>420</v>
      </c>
      <c r="D69" t="s">
        <v>422</v>
      </c>
      <c r="E69" t="s">
        <v>46</v>
      </c>
      <c r="F69" t="s">
        <v>409</v>
      </c>
      <c r="G69" t="s">
        <v>48</v>
      </c>
      <c r="H69" t="s">
        <v>49</v>
      </c>
      <c r="I69" t="s">
        <v>50</v>
      </c>
      <c r="J69" t="s">
        <v>51</v>
      </c>
      <c r="K69" t="s">
        <v>54</v>
      </c>
      <c r="L69" t="s">
        <v>134</v>
      </c>
      <c r="M69">
        <v>18</v>
      </c>
      <c r="N69" s="11" t="str">
        <f t="shared" si="9"/>
        <v>OK</v>
      </c>
      <c r="O69" t="s">
        <v>51</v>
      </c>
      <c r="P69" t="s">
        <v>54</v>
      </c>
      <c r="Q69" t="s">
        <v>54</v>
      </c>
      <c r="R69" t="str">
        <f>VLOOKUP($D69,[1]Rascunho!$E$2:$S$296,15,FALSE)</f>
        <v>https://www.ceb.com.br/Documentos.aspx?IdCanal=hD8pqKNE+C5Xrd39y4J+Tg==</v>
      </c>
      <c r="S69" s="12">
        <v>12367896.279999999</v>
      </c>
      <c r="T69" s="12">
        <v>5526627.2699999996</v>
      </c>
      <c r="U69" s="13" t="str">
        <f t="shared" si="10"/>
        <v>OK</v>
      </c>
      <c r="V69" s="14">
        <v>12984970.01</v>
      </c>
      <c r="W69" s="14">
        <v>2457257.5499999998</v>
      </c>
      <c r="X69" t="s">
        <v>54</v>
      </c>
      <c r="Y69" s="14">
        <v>492598</v>
      </c>
      <c r="Z69" s="14">
        <v>0</v>
      </c>
      <c r="AA69" s="14">
        <v>17184.740000000002</v>
      </c>
      <c r="AB69" s="14">
        <v>2351616.7400000002</v>
      </c>
      <c r="AC69" s="13" t="str">
        <f t="shared" si="11"/>
        <v>OK</v>
      </c>
      <c r="AD69" s="14">
        <v>35701072.289999999</v>
      </c>
      <c r="AE69" s="14" t="e">
        <v>#VALUE!</v>
      </c>
      <c r="AF69" s="14">
        <v>0</v>
      </c>
      <c r="AG69" s="14">
        <v>0</v>
      </c>
      <c r="AH69" s="14">
        <v>0</v>
      </c>
      <c r="AI69" s="13" t="str">
        <f t="shared" si="12"/>
        <v>OK</v>
      </c>
      <c r="AJ69" s="14">
        <v>0</v>
      </c>
      <c r="AK69" s="14">
        <v>0</v>
      </c>
      <c r="AL69" s="14">
        <v>0</v>
      </c>
      <c r="AM69" s="14">
        <v>0</v>
      </c>
      <c r="AN69" s="14">
        <v>7575212</v>
      </c>
      <c r="AO69" s="14">
        <v>7575212</v>
      </c>
      <c r="AP69" s="15">
        <f t="shared" si="13"/>
        <v>0</v>
      </c>
      <c r="AQ69" s="14">
        <v>7575212.6100000003</v>
      </c>
      <c r="AR69" s="14">
        <v>7575212.6100000003</v>
      </c>
      <c r="AS69" s="14">
        <v>0</v>
      </c>
      <c r="AT69" s="14">
        <v>0</v>
      </c>
      <c r="AU69" s="16">
        <f t="shared" si="14"/>
        <v>0</v>
      </c>
      <c r="AV69" s="13" t="str">
        <f t="shared" si="15"/>
        <v>NÃO</v>
      </c>
      <c r="AW69" s="13" t="str">
        <f t="shared" si="16"/>
        <v>OK</v>
      </c>
      <c r="AX69" s="13" t="str">
        <f t="shared" si="17"/>
        <v>OK</v>
      </c>
    </row>
    <row r="70" spans="1:50" x14ac:dyDescent="0.3">
      <c r="A70" s="10" t="s">
        <v>330</v>
      </c>
      <c r="B70" t="s">
        <v>412</v>
      </c>
      <c r="C70" t="s">
        <v>413</v>
      </c>
      <c r="D70" t="s">
        <v>414</v>
      </c>
      <c r="E70" t="s">
        <v>46</v>
      </c>
      <c r="F70" t="s">
        <v>409</v>
      </c>
      <c r="G70" t="s">
        <v>60</v>
      </c>
      <c r="H70" t="s">
        <v>49</v>
      </c>
      <c r="I70" t="s">
        <v>50</v>
      </c>
      <c r="J70" t="s">
        <v>51</v>
      </c>
      <c r="K70" t="s">
        <v>54</v>
      </c>
      <c r="L70" t="s">
        <v>134</v>
      </c>
      <c r="M70">
        <v>51</v>
      </c>
      <c r="N70" s="11" t="str">
        <f t="shared" si="9"/>
        <v>OK</v>
      </c>
      <c r="O70" t="s">
        <v>51</v>
      </c>
      <c r="P70" t="s">
        <v>54</v>
      </c>
      <c r="Q70" t="s">
        <v>51</v>
      </c>
      <c r="R70" t="str">
        <f>VLOOKUP($D70,[1]Rascunho!$E$2:$S$296,15,FALSE)</f>
        <v>https://www.ceb.com.br/ListaBusca.aspx?busca=carta%20anual</v>
      </c>
      <c r="S70" s="12">
        <v>0</v>
      </c>
      <c r="T70" s="12">
        <v>6725642</v>
      </c>
      <c r="U70" s="13" t="str">
        <f t="shared" si="10"/>
        <v>OK</v>
      </c>
      <c r="V70" s="14">
        <v>13371089.41</v>
      </c>
      <c r="W70" s="14">
        <v>87878.74</v>
      </c>
      <c r="X70" t="s">
        <v>54</v>
      </c>
      <c r="Y70" s="14">
        <v>479553.41</v>
      </c>
      <c r="Z70" s="14">
        <v>0</v>
      </c>
      <c r="AA70" s="14">
        <v>113376.05</v>
      </c>
      <c r="AB70" s="14">
        <v>11429000.119999999</v>
      </c>
      <c r="AC70" s="13" t="str">
        <f t="shared" si="11"/>
        <v>OK</v>
      </c>
      <c r="AD70" s="14">
        <v>186823437.03</v>
      </c>
      <c r="AE70" s="14" t="e">
        <v>#VALUE!</v>
      </c>
      <c r="AF70" s="14">
        <v>0</v>
      </c>
      <c r="AG70" s="14">
        <v>0</v>
      </c>
      <c r="AH70" s="14">
        <v>0</v>
      </c>
      <c r="AI70" s="13" t="str">
        <f t="shared" si="12"/>
        <v>OK</v>
      </c>
      <c r="AJ70" s="14">
        <v>0</v>
      </c>
      <c r="AK70" s="14">
        <v>0</v>
      </c>
      <c r="AL70" s="14">
        <v>0</v>
      </c>
      <c r="AM70" s="14">
        <v>0</v>
      </c>
      <c r="AN70" s="14">
        <v>175649740</v>
      </c>
      <c r="AO70" s="14">
        <v>174080579</v>
      </c>
      <c r="AP70" s="15">
        <f t="shared" si="13"/>
        <v>-1569161</v>
      </c>
      <c r="AQ70" s="14">
        <v>175649739.61000001</v>
      </c>
      <c r="AR70" s="14">
        <v>174080579.47</v>
      </c>
      <c r="AS70" s="14">
        <v>0</v>
      </c>
      <c r="AT70" s="14">
        <v>0</v>
      </c>
      <c r="AU70" s="16">
        <f t="shared" si="14"/>
        <v>-1569160.1400000155</v>
      </c>
      <c r="AV70" s="13" t="str">
        <f t="shared" si="15"/>
        <v>NÃO</v>
      </c>
      <c r="AW70" s="13" t="str">
        <f t="shared" si="16"/>
        <v>OK</v>
      </c>
      <c r="AX70" s="13" t="str">
        <f t="shared" si="17"/>
        <v>OK</v>
      </c>
    </row>
    <row r="71" spans="1:50" x14ac:dyDescent="0.3">
      <c r="A71" s="10" t="s">
        <v>330</v>
      </c>
      <c r="B71" t="s">
        <v>416</v>
      </c>
      <c r="C71" t="s">
        <v>417</v>
      </c>
      <c r="D71" t="s">
        <v>418</v>
      </c>
      <c r="E71" t="s">
        <v>46</v>
      </c>
      <c r="F71" t="s">
        <v>409</v>
      </c>
      <c r="G71" t="s">
        <v>60</v>
      </c>
      <c r="H71" t="s">
        <v>49</v>
      </c>
      <c r="I71" t="s">
        <v>50</v>
      </c>
      <c r="J71" t="s">
        <v>51</v>
      </c>
      <c r="K71" t="s">
        <v>54</v>
      </c>
      <c r="L71" t="s">
        <v>134</v>
      </c>
      <c r="M71">
        <v>16</v>
      </c>
      <c r="N71" s="11" t="str">
        <f t="shared" si="9"/>
        <v>OK</v>
      </c>
      <c r="O71" t="s">
        <v>54</v>
      </c>
      <c r="P71" t="s">
        <v>54</v>
      </c>
      <c r="Q71" t="s">
        <v>54</v>
      </c>
      <c r="R71" t="str">
        <f>VLOOKUP($D71,[1]Rascunho!$E$2:$S$296,15,FALSE)</f>
        <v>https://www.ceb.com.br/listgroup.aspx?idCanal=ttqsU4WMkmrdTOYKgb2BgA==</v>
      </c>
      <c r="S71" s="12">
        <v>230801143.27000001</v>
      </c>
      <c r="T71" s="12">
        <v>6405016</v>
      </c>
      <c r="U71" s="13" t="str">
        <f t="shared" si="10"/>
        <v>OK</v>
      </c>
      <c r="V71" s="14">
        <v>87429419.310000002</v>
      </c>
      <c r="W71" s="14">
        <v>26552</v>
      </c>
      <c r="X71" t="s">
        <v>54</v>
      </c>
      <c r="Y71" s="14">
        <v>578364.84</v>
      </c>
      <c r="Z71" s="14">
        <v>135142.14000000001</v>
      </c>
      <c r="AA71" s="14">
        <v>11229.12</v>
      </c>
      <c r="AB71" s="14">
        <v>118233995.16</v>
      </c>
      <c r="AC71" s="13" t="str">
        <f t="shared" si="11"/>
        <v>OK</v>
      </c>
      <c r="AD71" s="14">
        <v>400066360.91000003</v>
      </c>
      <c r="AE71" s="14" t="e">
        <v>#VALUE!</v>
      </c>
      <c r="AF71" s="14">
        <v>0</v>
      </c>
      <c r="AG71" s="14">
        <v>0</v>
      </c>
      <c r="AH71" s="14">
        <v>0</v>
      </c>
      <c r="AI71" s="13" t="str">
        <f t="shared" si="12"/>
        <v>OK</v>
      </c>
      <c r="AJ71" s="14">
        <v>0</v>
      </c>
      <c r="AK71" s="14">
        <v>0</v>
      </c>
      <c r="AL71" s="14">
        <v>0</v>
      </c>
      <c r="AM71" s="14">
        <v>0</v>
      </c>
      <c r="AN71" s="14">
        <v>136850013</v>
      </c>
      <c r="AO71" s="14">
        <v>136850013</v>
      </c>
      <c r="AP71" s="15">
        <f t="shared" si="13"/>
        <v>0</v>
      </c>
      <c r="AQ71" s="14">
        <v>112283997.86</v>
      </c>
      <c r="AR71" s="14">
        <v>112283997.86</v>
      </c>
      <c r="AS71" s="14">
        <v>0</v>
      </c>
      <c r="AT71" s="14">
        <v>0</v>
      </c>
      <c r="AU71" s="16">
        <f t="shared" si="14"/>
        <v>0</v>
      </c>
      <c r="AV71" s="13" t="str">
        <f t="shared" si="15"/>
        <v>NÃO</v>
      </c>
      <c r="AW71" s="13" t="str">
        <f t="shared" si="16"/>
        <v>OK</v>
      </c>
      <c r="AX71" s="13" t="str">
        <f t="shared" si="17"/>
        <v>OK</v>
      </c>
    </row>
    <row r="72" spans="1:50" x14ac:dyDescent="0.3">
      <c r="A72" s="10" t="s">
        <v>330</v>
      </c>
      <c r="B72" t="s">
        <v>424</v>
      </c>
      <c r="C72" t="s">
        <v>425</v>
      </c>
      <c r="D72" t="s">
        <v>426</v>
      </c>
      <c r="E72" t="s">
        <v>46</v>
      </c>
      <c r="F72" t="s">
        <v>139</v>
      </c>
      <c r="G72" t="s">
        <v>60</v>
      </c>
      <c r="H72" t="s">
        <v>49</v>
      </c>
      <c r="I72" t="s">
        <v>50</v>
      </c>
      <c r="J72" t="s">
        <v>51</v>
      </c>
      <c r="K72" t="s">
        <v>51</v>
      </c>
      <c r="L72" t="s">
        <v>134</v>
      </c>
      <c r="M72">
        <v>3</v>
      </c>
      <c r="N72" s="11" t="str">
        <f t="shared" si="9"/>
        <v>OK</v>
      </c>
      <c r="O72" t="s">
        <v>54</v>
      </c>
      <c r="P72" t="s">
        <v>54</v>
      </c>
      <c r="Q72" t="s">
        <v>51</v>
      </c>
      <c r="R72" t="str">
        <f>VLOOKUP($D72,[1]Rascunho!$E$2:$S$296,15,FALSE)</f>
        <v>https://www.cebgas.com.br/</v>
      </c>
      <c r="S72" s="12">
        <v>4231021.9400000004</v>
      </c>
      <c r="T72" s="12">
        <v>586916.69999999995</v>
      </c>
      <c r="U72" s="13" t="str">
        <f t="shared" si="10"/>
        <v>OK</v>
      </c>
      <c r="V72" s="14">
        <v>1759702.26</v>
      </c>
      <c r="W72" s="14">
        <v>0</v>
      </c>
      <c r="X72" t="s">
        <v>51</v>
      </c>
      <c r="Y72" s="14">
        <v>188329.43</v>
      </c>
      <c r="Z72" s="14">
        <v>0</v>
      </c>
      <c r="AA72" s="14">
        <v>0</v>
      </c>
      <c r="AB72" s="14">
        <v>-1620755.68</v>
      </c>
      <c r="AC72" s="13" t="str">
        <f t="shared" si="11"/>
        <v>OK</v>
      </c>
      <c r="AD72" s="14">
        <v>-1114248</v>
      </c>
      <c r="AE72" s="14" t="e">
        <v>#VALUE!</v>
      </c>
      <c r="AF72" s="14">
        <v>0</v>
      </c>
      <c r="AG72" s="14">
        <v>0</v>
      </c>
      <c r="AH72" s="14">
        <v>0</v>
      </c>
      <c r="AI72" s="13" t="str">
        <f t="shared" si="12"/>
        <v>OK</v>
      </c>
      <c r="AJ72" s="14">
        <v>0</v>
      </c>
      <c r="AK72" s="14">
        <v>0</v>
      </c>
      <c r="AL72" s="14">
        <v>257000</v>
      </c>
      <c r="AM72" s="14">
        <v>0</v>
      </c>
      <c r="AN72" s="14">
        <v>1930250</v>
      </c>
      <c r="AO72" s="14">
        <v>1930250</v>
      </c>
      <c r="AP72" s="15">
        <f t="shared" si="13"/>
        <v>0</v>
      </c>
      <c r="AQ72" s="14">
        <v>1930250</v>
      </c>
      <c r="AR72" s="14">
        <v>1930250</v>
      </c>
      <c r="AS72" s="14">
        <v>0</v>
      </c>
      <c r="AT72" s="14">
        <v>0</v>
      </c>
      <c r="AU72" s="16">
        <f t="shared" si="14"/>
        <v>0</v>
      </c>
      <c r="AV72" s="13" t="str">
        <f t="shared" si="15"/>
        <v>NÃO</v>
      </c>
      <c r="AW72" s="13" t="str">
        <f t="shared" si="16"/>
        <v>OK</v>
      </c>
      <c r="AX72" s="13" t="str">
        <f t="shared" si="17"/>
        <v>OK</v>
      </c>
    </row>
    <row r="73" spans="1:50" x14ac:dyDescent="0.3">
      <c r="A73" s="10" t="s">
        <v>330</v>
      </c>
      <c r="B73" t="s">
        <v>427</v>
      </c>
      <c r="C73" t="s">
        <v>428</v>
      </c>
      <c r="D73" t="s">
        <v>429</v>
      </c>
      <c r="E73" t="s">
        <v>46</v>
      </c>
      <c r="F73" t="s">
        <v>409</v>
      </c>
      <c r="G73" t="s">
        <v>48</v>
      </c>
      <c r="H73" t="s">
        <v>49</v>
      </c>
      <c r="I73" t="s">
        <v>50</v>
      </c>
      <c r="J73" t="s">
        <v>51</v>
      </c>
      <c r="K73" t="s">
        <v>54</v>
      </c>
      <c r="L73" t="s">
        <v>134</v>
      </c>
      <c r="M73">
        <v>16</v>
      </c>
      <c r="N73" s="11" t="str">
        <f t="shared" si="9"/>
        <v>OK</v>
      </c>
      <c r="O73" t="s">
        <v>51</v>
      </c>
      <c r="P73" t="s">
        <v>54</v>
      </c>
      <c r="Q73" t="s">
        <v>51</v>
      </c>
      <c r="R73" t="str">
        <f>VLOOKUP($D73,[1]Rascunho!$E$2:$S$296,15,FALSE)</f>
        <v>https://www.ceb.com.br/Documentos.aspx?IdCanal=uLdevE5UUjlDpqJy4WGHDQ==</v>
      </c>
      <c r="S73" s="12">
        <v>23396040.920000002</v>
      </c>
      <c r="T73" s="12">
        <v>3502611.03</v>
      </c>
      <c r="U73" s="13" t="str">
        <f t="shared" si="10"/>
        <v>OK</v>
      </c>
      <c r="V73" s="14">
        <v>12027576.439999999</v>
      </c>
      <c r="W73" s="14">
        <v>21080.33</v>
      </c>
      <c r="X73" t="s">
        <v>54</v>
      </c>
      <c r="Y73" s="14">
        <v>498173.76</v>
      </c>
      <c r="Z73" s="14">
        <v>63667.48</v>
      </c>
      <c r="AA73" s="14">
        <v>0</v>
      </c>
      <c r="AB73" s="14">
        <v>16372619.220000001</v>
      </c>
      <c r="AC73" s="13" t="str">
        <f t="shared" si="11"/>
        <v>OK</v>
      </c>
      <c r="AD73" s="14">
        <v>39867031.600000001</v>
      </c>
      <c r="AE73" s="14" t="e">
        <v>#VALUE!</v>
      </c>
      <c r="AF73" s="14">
        <v>0</v>
      </c>
      <c r="AG73" s="14">
        <v>0</v>
      </c>
      <c r="AH73" s="14">
        <v>0</v>
      </c>
      <c r="AI73" s="13" t="str">
        <f t="shared" si="12"/>
        <v>OK</v>
      </c>
      <c r="AJ73" s="14">
        <v>0</v>
      </c>
      <c r="AK73" s="14">
        <v>0</v>
      </c>
      <c r="AL73" s="14">
        <v>0</v>
      </c>
      <c r="AM73" s="14">
        <v>0</v>
      </c>
      <c r="AN73" s="14">
        <v>21270415</v>
      </c>
      <c r="AO73" s="14">
        <v>21270415</v>
      </c>
      <c r="AP73" s="15">
        <f t="shared" si="13"/>
        <v>0</v>
      </c>
      <c r="AQ73" s="14">
        <v>21270414.68</v>
      </c>
      <c r="AR73" s="14">
        <v>21270414.68</v>
      </c>
      <c r="AS73" s="14">
        <v>0</v>
      </c>
      <c r="AT73" s="14">
        <v>0</v>
      </c>
      <c r="AU73" s="16">
        <f t="shared" si="14"/>
        <v>0</v>
      </c>
      <c r="AV73" s="13" t="str">
        <f t="shared" si="15"/>
        <v>NÃO</v>
      </c>
      <c r="AW73" s="13" t="str">
        <f t="shared" si="16"/>
        <v>OK</v>
      </c>
      <c r="AX73" s="13" t="str">
        <f t="shared" si="17"/>
        <v>OK</v>
      </c>
    </row>
    <row r="74" spans="1:50" x14ac:dyDescent="0.3">
      <c r="A74" s="10" t="s">
        <v>330</v>
      </c>
      <c r="B74" t="s">
        <v>331</v>
      </c>
      <c r="C74" t="s">
        <v>332</v>
      </c>
      <c r="D74" t="s">
        <v>333</v>
      </c>
      <c r="E74" t="s">
        <v>70</v>
      </c>
      <c r="F74" t="s">
        <v>59</v>
      </c>
      <c r="G74" t="s">
        <v>48</v>
      </c>
      <c r="H74" t="s">
        <v>76</v>
      </c>
      <c r="I74" t="s">
        <v>50</v>
      </c>
      <c r="J74" t="s">
        <v>51</v>
      </c>
      <c r="K74" t="s">
        <v>51</v>
      </c>
      <c r="L74" t="s">
        <v>52</v>
      </c>
      <c r="M74">
        <v>5</v>
      </c>
      <c r="N74" s="11" t="str">
        <f t="shared" si="9"/>
        <v>OK</v>
      </c>
      <c r="O74" t="s">
        <v>54</v>
      </c>
      <c r="P74" t="s">
        <v>54</v>
      </c>
      <c r="Q74" t="s">
        <v>51</v>
      </c>
      <c r="R74" t="str">
        <f>VLOOKUP($D74,[1]Rascunho!$E$2:$S$296,15,FALSE)</f>
        <v>https://www.codeplan.df.gov.br/</v>
      </c>
      <c r="S74" s="12">
        <v>0</v>
      </c>
      <c r="T74" s="12">
        <v>148947.60999999999</v>
      </c>
      <c r="U74" s="13" t="str">
        <f t="shared" si="10"/>
        <v>OK</v>
      </c>
      <c r="V74" s="14">
        <v>220908.49</v>
      </c>
      <c r="W74" s="14">
        <v>0</v>
      </c>
      <c r="X74" t="s">
        <v>51</v>
      </c>
      <c r="Y74" s="14">
        <v>120480.9</v>
      </c>
      <c r="Z74" s="14">
        <v>0</v>
      </c>
      <c r="AA74" s="14">
        <v>112014.66</v>
      </c>
      <c r="AB74" s="14">
        <v>-11812145.619999999</v>
      </c>
      <c r="AC74" s="13" t="str">
        <f t="shared" si="11"/>
        <v>OK</v>
      </c>
      <c r="AD74" s="14">
        <v>454524.01</v>
      </c>
      <c r="AE74" s="14" t="e">
        <v>#VALUE!</v>
      </c>
      <c r="AF74" s="14">
        <v>0</v>
      </c>
      <c r="AG74" s="14">
        <v>237726.7</v>
      </c>
      <c r="AH74" s="14">
        <v>220908.5</v>
      </c>
      <c r="AI74" s="13" t="str">
        <f t="shared" si="12"/>
        <v>OK</v>
      </c>
      <c r="AJ74" s="14">
        <v>11099713.6</v>
      </c>
      <c r="AK74" s="14">
        <v>69761.27</v>
      </c>
      <c r="AL74" s="14">
        <v>32942.11</v>
      </c>
      <c r="AM74" s="14">
        <v>0</v>
      </c>
      <c r="AN74" s="14">
        <v>98826.55</v>
      </c>
      <c r="AO74" s="14">
        <v>99.65</v>
      </c>
      <c r="AP74" s="15">
        <f t="shared" si="13"/>
        <v>-98726.900000000009</v>
      </c>
      <c r="AQ74" s="14">
        <v>12233727.6</v>
      </c>
      <c r="AR74" s="14">
        <v>12266669.710000001</v>
      </c>
      <c r="AS74" s="14">
        <v>32942.11</v>
      </c>
      <c r="AT74" s="14">
        <v>0</v>
      </c>
      <c r="AU74" s="16">
        <f t="shared" si="14"/>
        <v>32942.110000001267</v>
      </c>
      <c r="AV74" s="13" t="str">
        <f t="shared" si="15"/>
        <v>SIM</v>
      </c>
      <c r="AW74" s="13" t="str">
        <f t="shared" si="16"/>
        <v>OK</v>
      </c>
      <c r="AX74" s="13" t="str">
        <f t="shared" si="17"/>
        <v>OK</v>
      </c>
    </row>
    <row r="75" spans="1:50" x14ac:dyDescent="0.3">
      <c r="A75" s="10" t="s">
        <v>330</v>
      </c>
      <c r="B75" t="s">
        <v>334</v>
      </c>
      <c r="C75" t="s">
        <v>335</v>
      </c>
      <c r="D75" t="s">
        <v>336</v>
      </c>
      <c r="E75" t="s">
        <v>46</v>
      </c>
      <c r="F75" t="s">
        <v>93</v>
      </c>
      <c r="G75" t="s">
        <v>48</v>
      </c>
      <c r="H75" t="s">
        <v>363</v>
      </c>
      <c r="I75" t="s">
        <v>50</v>
      </c>
      <c r="J75" t="s">
        <v>51</v>
      </c>
      <c r="K75" t="s">
        <v>51</v>
      </c>
      <c r="L75" t="s">
        <v>52</v>
      </c>
      <c r="M75">
        <v>410</v>
      </c>
      <c r="N75" s="11" t="str">
        <f t="shared" si="9"/>
        <v>OK</v>
      </c>
      <c r="O75" t="s">
        <v>54</v>
      </c>
      <c r="P75" t="s">
        <v>54</v>
      </c>
      <c r="Q75" t="s">
        <v>54</v>
      </c>
      <c r="R75" t="str">
        <f>VLOOKUP($D75,[1]Rascunho!$E$2:$S$296,15,FALSE)</f>
        <v>https://www.codhab.df.gov.br/pagina/452</v>
      </c>
      <c r="S75" s="12">
        <v>11443214.810000001</v>
      </c>
      <c r="T75" s="12">
        <v>20730865.670000002</v>
      </c>
      <c r="U75" s="13" t="str">
        <f t="shared" si="10"/>
        <v>OK</v>
      </c>
      <c r="V75" s="14">
        <v>89688230.989999995</v>
      </c>
      <c r="W75" s="14">
        <v>43555936.210000001</v>
      </c>
      <c r="X75" t="s">
        <v>51</v>
      </c>
      <c r="Y75" s="14">
        <v>217417.95</v>
      </c>
      <c r="Z75" s="14">
        <v>0</v>
      </c>
      <c r="AA75" s="14">
        <v>12175.45</v>
      </c>
      <c r="AB75" s="14">
        <v>-1082217.6599999999</v>
      </c>
      <c r="AC75" s="13" t="str">
        <f t="shared" si="11"/>
        <v>OK</v>
      </c>
      <c r="AD75" s="14">
        <v>-210563322.94999999</v>
      </c>
      <c r="AE75" s="14" t="e">
        <v>#VALUE!</v>
      </c>
      <c r="AF75" s="14">
        <v>0</v>
      </c>
      <c r="AG75" s="14">
        <v>55978270.090000004</v>
      </c>
      <c r="AH75" s="14">
        <v>85130645.370000005</v>
      </c>
      <c r="AI75" s="13" t="str">
        <f t="shared" si="12"/>
        <v>OK</v>
      </c>
      <c r="AJ75" s="14">
        <v>112758668.76000001</v>
      </c>
      <c r="AK75" s="14">
        <v>85130645.370000005</v>
      </c>
      <c r="AL75" s="14">
        <v>0</v>
      </c>
      <c r="AM75" s="14">
        <v>0</v>
      </c>
      <c r="AN75" s="14">
        <v>100078.46</v>
      </c>
      <c r="AO75" s="14">
        <v>100</v>
      </c>
      <c r="AP75" s="15">
        <f t="shared" si="13"/>
        <v>-99978.46</v>
      </c>
      <c r="AQ75" s="14">
        <v>37029931.619999997</v>
      </c>
      <c r="AR75" s="14">
        <v>75000000</v>
      </c>
      <c r="AS75" s="14">
        <v>37970068.380000003</v>
      </c>
      <c r="AT75" s="14">
        <v>37970068.380000003</v>
      </c>
      <c r="AU75" s="16">
        <f t="shared" si="14"/>
        <v>75940136.760000005</v>
      </c>
      <c r="AV75" s="13" t="str">
        <f t="shared" si="15"/>
        <v>SIM</v>
      </c>
      <c r="AW75" s="13" t="str">
        <f t="shared" si="16"/>
        <v>OK</v>
      </c>
      <c r="AX75" s="13" t="str">
        <f t="shared" si="17"/>
        <v>OK</v>
      </c>
    </row>
    <row r="76" spans="1:50" x14ac:dyDescent="0.3">
      <c r="A76" s="10" t="s">
        <v>330</v>
      </c>
      <c r="B76" t="s">
        <v>338</v>
      </c>
      <c r="C76" t="s">
        <v>339</v>
      </c>
      <c r="D76" t="s">
        <v>340</v>
      </c>
      <c r="E76" t="s">
        <v>46</v>
      </c>
      <c r="F76" t="s">
        <v>102</v>
      </c>
      <c r="G76" t="s">
        <v>48</v>
      </c>
      <c r="H76" t="s">
        <v>76</v>
      </c>
      <c r="I76" t="s">
        <v>373</v>
      </c>
      <c r="J76" t="s">
        <v>51</v>
      </c>
      <c r="K76" t="s">
        <v>51</v>
      </c>
      <c r="L76" t="s">
        <v>52</v>
      </c>
      <c r="M76">
        <v>343</v>
      </c>
      <c r="N76" s="11" t="str">
        <f t="shared" si="9"/>
        <v>OK</v>
      </c>
      <c r="O76" t="s">
        <v>54</v>
      </c>
      <c r="P76" t="s">
        <v>54</v>
      </c>
      <c r="Q76" t="s">
        <v>54</v>
      </c>
      <c r="R76" t="str">
        <f>VLOOKUP($D76,[1]Rascunho!$E$2:$S$296,15,FALSE)</f>
        <v>https://emater.df.gov.br/governanca-corporativa/</v>
      </c>
      <c r="S76" s="12">
        <v>169535.12</v>
      </c>
      <c r="T76" s="12">
        <v>145003186.09</v>
      </c>
      <c r="U76" s="13" t="str">
        <f t="shared" si="10"/>
        <v>OK</v>
      </c>
      <c r="V76" s="14">
        <v>172823326.43000001</v>
      </c>
      <c r="W76" s="14">
        <v>1040816.14</v>
      </c>
      <c r="X76" t="s">
        <v>51</v>
      </c>
      <c r="Y76" s="14">
        <v>946413.84</v>
      </c>
      <c r="Z76" s="14">
        <v>0</v>
      </c>
      <c r="AA76" s="14">
        <v>0</v>
      </c>
      <c r="AB76" s="14">
        <v>-21394028.530000001</v>
      </c>
      <c r="AC76" s="13" t="str">
        <f t="shared" si="11"/>
        <v>OK</v>
      </c>
      <c r="AD76" s="14">
        <v>-53793107.369999997</v>
      </c>
      <c r="AE76" s="14" t="e">
        <v>#VALUE!</v>
      </c>
      <c r="AF76" s="14">
        <v>0</v>
      </c>
      <c r="AG76" s="14">
        <v>131050245.36</v>
      </c>
      <c r="AH76" s="14">
        <v>133796149.77</v>
      </c>
      <c r="AI76" s="13" t="str">
        <f t="shared" si="12"/>
        <v>OK</v>
      </c>
      <c r="AJ76" s="14">
        <v>0</v>
      </c>
      <c r="AK76" s="14">
        <v>0</v>
      </c>
      <c r="AL76" s="14">
        <v>0</v>
      </c>
      <c r="AM76" s="14">
        <v>0</v>
      </c>
      <c r="AN76" s="14">
        <v>1</v>
      </c>
      <c r="AO76" s="14">
        <v>0</v>
      </c>
      <c r="AP76" s="15">
        <f t="shared" si="13"/>
        <v>-1</v>
      </c>
      <c r="AQ76" s="14">
        <v>677760.52</v>
      </c>
      <c r="AR76" s="14">
        <v>677760.52</v>
      </c>
      <c r="AS76" s="14">
        <v>0</v>
      </c>
      <c r="AT76" s="14">
        <v>0</v>
      </c>
      <c r="AU76" s="16">
        <f t="shared" si="14"/>
        <v>0</v>
      </c>
      <c r="AV76" s="13" t="str">
        <f t="shared" si="15"/>
        <v>NÃO</v>
      </c>
      <c r="AW76" s="13" t="str">
        <f t="shared" si="16"/>
        <v>OK</v>
      </c>
      <c r="AX76" s="13" t="str">
        <f t="shared" si="17"/>
        <v>OK</v>
      </c>
    </row>
    <row r="77" spans="1:50" x14ac:dyDescent="0.3">
      <c r="A77" s="10" t="s">
        <v>330</v>
      </c>
      <c r="B77" t="s">
        <v>343</v>
      </c>
      <c r="C77" t="s">
        <v>344</v>
      </c>
      <c r="D77" t="s">
        <v>345</v>
      </c>
      <c r="E77" t="s">
        <v>46</v>
      </c>
      <c r="F77" t="s">
        <v>133</v>
      </c>
      <c r="G77" t="s">
        <v>48</v>
      </c>
      <c r="H77" t="s">
        <v>49</v>
      </c>
      <c r="I77" t="s">
        <v>50</v>
      </c>
      <c r="J77" t="s">
        <v>51</v>
      </c>
      <c r="K77" t="s">
        <v>54</v>
      </c>
      <c r="L77" t="s">
        <v>52</v>
      </c>
      <c r="M77">
        <v>48</v>
      </c>
      <c r="N77" s="11" t="str">
        <f t="shared" si="9"/>
        <v>OK</v>
      </c>
      <c r="O77" t="s">
        <v>54</v>
      </c>
      <c r="P77" t="s">
        <v>54</v>
      </c>
      <c r="Q77" t="s">
        <v>51</v>
      </c>
      <c r="R77" t="str">
        <f>VLOOKUP($D77,[1]Rascunho!$E$2:$S$296,15,FALSE)</f>
        <v>https://www.etr.df.gov.br/</v>
      </c>
      <c r="S77" s="12">
        <v>5840466.29</v>
      </c>
      <c r="T77" s="12">
        <v>4864954.72</v>
      </c>
      <c r="U77" s="13" t="str">
        <f t="shared" si="10"/>
        <v>OK</v>
      </c>
      <c r="V77" s="14">
        <v>5817913</v>
      </c>
      <c r="W77" s="14">
        <v>0</v>
      </c>
      <c r="X77" t="s">
        <v>51</v>
      </c>
      <c r="Y77" s="14">
        <v>234343.62</v>
      </c>
      <c r="Z77" s="14">
        <v>0</v>
      </c>
      <c r="AA77" s="14">
        <v>0</v>
      </c>
      <c r="AB77" s="14">
        <v>27553</v>
      </c>
      <c r="AC77" s="13" t="str">
        <f t="shared" si="11"/>
        <v>OK</v>
      </c>
      <c r="AD77" s="14">
        <v>0</v>
      </c>
      <c r="AE77" s="14" t="e">
        <v>#VALUE!</v>
      </c>
      <c r="AF77" s="14">
        <v>0</v>
      </c>
      <c r="AG77" s="14">
        <v>0</v>
      </c>
      <c r="AH77" s="14">
        <v>0</v>
      </c>
      <c r="AI77" s="13" t="str">
        <f t="shared" si="12"/>
        <v>OK</v>
      </c>
      <c r="AJ77" s="14">
        <v>0</v>
      </c>
      <c r="AK77" s="14">
        <v>0</v>
      </c>
      <c r="AL77" s="14">
        <v>0</v>
      </c>
      <c r="AM77" s="14">
        <v>5840466.29</v>
      </c>
      <c r="AN77" s="14">
        <v>0</v>
      </c>
      <c r="AO77" s="14">
        <v>10</v>
      </c>
      <c r="AP77" s="15">
        <f t="shared" si="13"/>
        <v>10</v>
      </c>
      <c r="AQ77" s="14">
        <v>0</v>
      </c>
      <c r="AR77" s="14">
        <v>5000</v>
      </c>
      <c r="AS77" s="14">
        <v>0</v>
      </c>
      <c r="AT77" s="14">
        <v>45000</v>
      </c>
      <c r="AU77" s="16">
        <f t="shared" si="14"/>
        <v>50000</v>
      </c>
      <c r="AV77" s="13" t="str">
        <f t="shared" si="15"/>
        <v>SIM</v>
      </c>
      <c r="AW77" s="13" t="str">
        <f t="shared" si="16"/>
        <v>OK</v>
      </c>
      <c r="AX77" s="13" t="str">
        <f t="shared" si="17"/>
        <v>OK</v>
      </c>
    </row>
    <row r="78" spans="1:50" x14ac:dyDescent="0.3">
      <c r="A78" s="10" t="s">
        <v>330</v>
      </c>
      <c r="B78" t="s">
        <v>347</v>
      </c>
      <c r="C78" t="s">
        <v>348</v>
      </c>
      <c r="D78" t="s">
        <v>349</v>
      </c>
      <c r="E78" t="s">
        <v>46</v>
      </c>
      <c r="F78" t="s">
        <v>240</v>
      </c>
      <c r="G78" t="s">
        <v>48</v>
      </c>
      <c r="H78" t="s">
        <v>76</v>
      </c>
      <c r="I78" t="s">
        <v>50</v>
      </c>
      <c r="J78" t="s">
        <v>51</v>
      </c>
      <c r="K78" t="s">
        <v>51</v>
      </c>
      <c r="L78" t="s">
        <v>52</v>
      </c>
      <c r="M78">
        <v>1233</v>
      </c>
      <c r="N78" s="11" t="str">
        <f t="shared" si="9"/>
        <v>OK</v>
      </c>
      <c r="O78" t="s">
        <v>54</v>
      </c>
      <c r="P78" t="s">
        <v>54</v>
      </c>
      <c r="Q78" t="s">
        <v>51</v>
      </c>
      <c r="R78" t="str">
        <f>VLOOKUP($D78,[1]Rascunho!$E$2:$S$296,15,FALSE)</f>
        <v>https://metro.df.gov.br/?page_id=37077</v>
      </c>
      <c r="S78" s="12">
        <v>200542558.61000001</v>
      </c>
      <c r="T78" s="12">
        <v>282403350</v>
      </c>
      <c r="U78" s="13" t="str">
        <f t="shared" si="10"/>
        <v>OK</v>
      </c>
      <c r="V78" s="14">
        <v>553641888.00999999</v>
      </c>
      <c r="W78" s="14">
        <v>13475701.060000001</v>
      </c>
      <c r="X78" t="s">
        <v>51</v>
      </c>
      <c r="Y78" s="14">
        <v>714411.22</v>
      </c>
      <c r="Z78" s="14">
        <v>0</v>
      </c>
      <c r="AA78" s="14">
        <v>37163.279999999999</v>
      </c>
      <c r="AB78" s="14">
        <v>87374621.189999998</v>
      </c>
      <c r="AC78" s="13" t="str">
        <f t="shared" si="11"/>
        <v>OK</v>
      </c>
      <c r="AD78" s="14">
        <v>1836600786.1700001</v>
      </c>
      <c r="AE78" s="14" t="e">
        <v>#VALUE!</v>
      </c>
      <c r="AF78" s="14">
        <v>0</v>
      </c>
      <c r="AG78" s="14">
        <v>320131388.44</v>
      </c>
      <c r="AH78" s="14">
        <v>369615946.13</v>
      </c>
      <c r="AI78" s="13" t="str">
        <f t="shared" si="12"/>
        <v>OK</v>
      </c>
      <c r="AJ78" s="14">
        <v>0</v>
      </c>
      <c r="AK78" s="14">
        <v>0</v>
      </c>
      <c r="AL78" s="14">
        <v>21495086.09</v>
      </c>
      <c r="AM78" s="14">
        <v>2233538.6</v>
      </c>
      <c r="AN78" s="14">
        <v>30461700</v>
      </c>
      <c r="AO78" s="14">
        <v>30689692</v>
      </c>
      <c r="AP78" s="15">
        <f t="shared" si="13"/>
        <v>227992</v>
      </c>
      <c r="AQ78" s="14">
        <v>2871929076</v>
      </c>
      <c r="AR78" s="14">
        <v>2893424161.7600002</v>
      </c>
      <c r="AS78" s="14">
        <v>21495086.09</v>
      </c>
      <c r="AT78" s="14">
        <v>2233538.6</v>
      </c>
      <c r="AU78" s="16">
        <f t="shared" si="14"/>
        <v>23728624.36000023</v>
      </c>
      <c r="AV78" s="13" t="str">
        <f t="shared" si="15"/>
        <v>SIM</v>
      </c>
      <c r="AW78" s="13" t="str">
        <f t="shared" si="16"/>
        <v>OK</v>
      </c>
      <c r="AX78" s="13" t="str">
        <f t="shared" si="17"/>
        <v>OK</v>
      </c>
    </row>
    <row r="79" spans="1:50" x14ac:dyDescent="0.3">
      <c r="A79" s="10" t="s">
        <v>330</v>
      </c>
      <c r="B79" t="s">
        <v>352</v>
      </c>
      <c r="C79" t="s">
        <v>353</v>
      </c>
      <c r="D79" t="s">
        <v>354</v>
      </c>
      <c r="E79" t="s">
        <v>46</v>
      </c>
      <c r="F79" t="s">
        <v>93</v>
      </c>
      <c r="G79" t="s">
        <v>48</v>
      </c>
      <c r="H79" t="s">
        <v>49</v>
      </c>
      <c r="I79" t="s">
        <v>50</v>
      </c>
      <c r="J79" t="s">
        <v>51</v>
      </c>
      <c r="K79" t="s">
        <v>51</v>
      </c>
      <c r="L79" t="s">
        <v>52</v>
      </c>
      <c r="M79">
        <v>1736</v>
      </c>
      <c r="N79" s="11" t="str">
        <f t="shared" si="9"/>
        <v>OK</v>
      </c>
      <c r="O79" t="s">
        <v>54</v>
      </c>
      <c r="P79" t="s">
        <v>54</v>
      </c>
      <c r="Q79" t="s">
        <v>54</v>
      </c>
      <c r="R79" t="str">
        <f>VLOOKUP($D79,[1]Rascunho!$E$2:$S$296,15,FALSE)</f>
        <v>https://www.novacap.df.gov.br/?s=carta+anual+de+politicas</v>
      </c>
      <c r="S79" s="12">
        <v>0</v>
      </c>
      <c r="T79" s="12">
        <v>340941411.88999999</v>
      </c>
      <c r="U79" s="13" t="str">
        <f t="shared" si="10"/>
        <v>OK</v>
      </c>
      <c r="V79" s="14">
        <v>1510513199.5599999</v>
      </c>
      <c r="W79" s="14">
        <v>0</v>
      </c>
      <c r="X79" t="s">
        <v>51</v>
      </c>
      <c r="Y79" s="14">
        <v>442568.56</v>
      </c>
      <c r="Z79" s="14">
        <v>0</v>
      </c>
      <c r="AA79" s="14">
        <v>14149.6</v>
      </c>
      <c r="AB79" s="14">
        <v>14201543.51</v>
      </c>
      <c r="AC79" s="13" t="str">
        <f t="shared" si="11"/>
        <v>OK</v>
      </c>
      <c r="AD79" s="14">
        <v>637285737.40999997</v>
      </c>
      <c r="AE79" s="14" t="e">
        <v>#VALUE!</v>
      </c>
      <c r="AF79" s="14">
        <v>0</v>
      </c>
      <c r="AG79" s="14">
        <v>1039034444.78</v>
      </c>
      <c r="AH79" s="14">
        <v>1404573152.3399999</v>
      </c>
      <c r="AI79" s="13" t="str">
        <f t="shared" si="12"/>
        <v>OK</v>
      </c>
      <c r="AJ79" s="14">
        <v>0</v>
      </c>
      <c r="AK79" s="14">
        <v>0</v>
      </c>
      <c r="AL79" s="14">
        <v>0</v>
      </c>
      <c r="AM79" s="14">
        <v>0</v>
      </c>
      <c r="AN79" s="14">
        <v>280600</v>
      </c>
      <c r="AO79" s="14">
        <v>280600</v>
      </c>
      <c r="AP79" s="15">
        <f t="shared" si="13"/>
        <v>0</v>
      </c>
      <c r="AQ79" s="14">
        <v>26713076.280000001</v>
      </c>
      <c r="AR79" s="14">
        <v>26713076.280000001</v>
      </c>
      <c r="AS79" s="14">
        <v>0</v>
      </c>
      <c r="AT79" s="14">
        <v>0</v>
      </c>
      <c r="AU79" s="16">
        <f t="shared" si="14"/>
        <v>0</v>
      </c>
      <c r="AV79" s="13" t="str">
        <f t="shared" si="15"/>
        <v>NÃO</v>
      </c>
      <c r="AW79" s="13" t="str">
        <f t="shared" si="16"/>
        <v>OK</v>
      </c>
      <c r="AX79" s="13" t="str">
        <f t="shared" si="17"/>
        <v>OK</v>
      </c>
    </row>
    <row r="80" spans="1:50" x14ac:dyDescent="0.3">
      <c r="A80" s="10" t="s">
        <v>330</v>
      </c>
      <c r="B80" t="s">
        <v>431</v>
      </c>
      <c r="C80" t="s">
        <v>431</v>
      </c>
      <c r="D80" t="s">
        <v>432</v>
      </c>
      <c r="E80" t="s">
        <v>70</v>
      </c>
      <c r="F80" t="s">
        <v>59</v>
      </c>
      <c r="G80" t="s">
        <v>60</v>
      </c>
      <c r="H80" t="s">
        <v>49</v>
      </c>
      <c r="I80" t="s">
        <v>50</v>
      </c>
      <c r="J80" t="s">
        <v>51</v>
      </c>
      <c r="K80" t="s">
        <v>51</v>
      </c>
      <c r="L80" t="s">
        <v>134</v>
      </c>
      <c r="M80">
        <v>7</v>
      </c>
      <c r="N80" s="11" t="str">
        <f t="shared" si="9"/>
        <v>OK</v>
      </c>
      <c r="O80" t="s">
        <v>54</v>
      </c>
      <c r="P80" t="s">
        <v>54</v>
      </c>
      <c r="Q80" t="s">
        <v>51</v>
      </c>
      <c r="R80" t="str">
        <f>VLOOKUP($D80,[1]Rascunho!$E$2:$S$296,15,FALSE)</f>
        <v>Site não disponível</v>
      </c>
      <c r="S80" s="12">
        <v>2688357.05</v>
      </c>
      <c r="T80" s="12">
        <v>1277415.42</v>
      </c>
      <c r="U80" s="13" t="str">
        <f t="shared" si="10"/>
        <v>OK</v>
      </c>
      <c r="V80" s="14">
        <v>3254746.43</v>
      </c>
      <c r="W80" s="14">
        <v>0</v>
      </c>
      <c r="X80" t="s">
        <v>51</v>
      </c>
      <c r="Y80" s="14">
        <v>165657.31</v>
      </c>
      <c r="Z80" s="14">
        <v>0</v>
      </c>
      <c r="AA80" s="14">
        <v>0</v>
      </c>
      <c r="AB80" s="14">
        <v>-516928.28</v>
      </c>
      <c r="AC80" s="13" t="str">
        <f t="shared" si="11"/>
        <v>OK</v>
      </c>
      <c r="AD80" s="14">
        <v>8296258.2400000002</v>
      </c>
      <c r="AE80" s="14" t="e">
        <v>#VALUE!</v>
      </c>
      <c r="AF80" s="14">
        <v>0</v>
      </c>
      <c r="AG80" s="14">
        <v>0</v>
      </c>
      <c r="AH80" s="14">
        <v>0</v>
      </c>
      <c r="AI80" s="13" t="str">
        <f t="shared" si="12"/>
        <v>OK</v>
      </c>
      <c r="AJ80" s="14">
        <v>0</v>
      </c>
      <c r="AK80" s="14">
        <v>0</v>
      </c>
      <c r="AL80" s="14">
        <v>0</v>
      </c>
      <c r="AM80" s="14">
        <v>0</v>
      </c>
      <c r="AN80" s="14">
        <v>4024.42</v>
      </c>
      <c r="AO80" s="14">
        <v>4024.42</v>
      </c>
      <c r="AP80" s="15">
        <f t="shared" si="13"/>
        <v>0</v>
      </c>
      <c r="AQ80" s="14">
        <v>4024.42</v>
      </c>
      <c r="AR80" s="14">
        <v>4024.42</v>
      </c>
      <c r="AS80" s="14">
        <v>0</v>
      </c>
      <c r="AT80" s="14">
        <v>0</v>
      </c>
      <c r="AU80" s="16">
        <f t="shared" si="14"/>
        <v>0</v>
      </c>
      <c r="AV80" s="13" t="str">
        <f t="shared" si="15"/>
        <v>NÃO</v>
      </c>
      <c r="AW80" s="13" t="str">
        <f t="shared" si="16"/>
        <v>OK</v>
      </c>
      <c r="AX80" s="13" t="str">
        <f t="shared" si="17"/>
        <v>OK</v>
      </c>
    </row>
    <row r="81" spans="1:50" ht="43.2" x14ac:dyDescent="0.3">
      <c r="A81" s="10" t="s">
        <v>330</v>
      </c>
      <c r="B81" t="s">
        <v>356</v>
      </c>
      <c r="C81" t="s">
        <v>357</v>
      </c>
      <c r="D81" t="s">
        <v>358</v>
      </c>
      <c r="E81" t="s">
        <v>70</v>
      </c>
      <c r="F81" s="6" t="s">
        <v>75</v>
      </c>
      <c r="G81" t="s">
        <v>48</v>
      </c>
      <c r="H81" t="s">
        <v>49</v>
      </c>
      <c r="I81" t="s">
        <v>50</v>
      </c>
      <c r="J81" t="s">
        <v>51</v>
      </c>
      <c r="K81" t="s">
        <v>51</v>
      </c>
      <c r="L81" t="s">
        <v>52</v>
      </c>
      <c r="M81">
        <v>111</v>
      </c>
      <c r="N81" s="11" t="str">
        <f t="shared" si="9"/>
        <v>OK</v>
      </c>
      <c r="O81" t="s">
        <v>54</v>
      </c>
      <c r="P81" t="s">
        <v>54</v>
      </c>
      <c r="Q81" t="s">
        <v>51</v>
      </c>
      <c r="R81" t="str">
        <f>VLOOKUP($D81,[1]Rascunho!$E$2:$S$296,15,FALSE)</f>
        <v>Site não disponível</v>
      </c>
      <c r="S81" s="12">
        <v>17847508.870000001</v>
      </c>
      <c r="T81" s="12">
        <v>21006545.370000001</v>
      </c>
      <c r="U81" s="13" t="str">
        <f t="shared" si="10"/>
        <v>OK</v>
      </c>
      <c r="V81" s="14">
        <v>21113987.66</v>
      </c>
      <c r="W81" s="14">
        <v>0</v>
      </c>
      <c r="X81" t="s">
        <v>51</v>
      </c>
      <c r="Y81" s="14">
        <v>272023.83</v>
      </c>
      <c r="Z81" s="14">
        <v>0</v>
      </c>
      <c r="AA81" s="14">
        <v>0</v>
      </c>
      <c r="AB81" s="14">
        <v>-27521.87</v>
      </c>
      <c r="AC81" s="13" t="str">
        <f t="shared" si="11"/>
        <v>OK</v>
      </c>
      <c r="AD81" s="14">
        <v>220883.76</v>
      </c>
      <c r="AE81" s="14" t="e">
        <v>#VALUE!</v>
      </c>
      <c r="AF81" s="14">
        <v>0</v>
      </c>
      <c r="AG81" s="14">
        <v>20609264</v>
      </c>
      <c r="AH81" s="14">
        <v>17847508.870000001</v>
      </c>
      <c r="AI81" s="13" t="str">
        <f t="shared" si="12"/>
        <v>OK</v>
      </c>
      <c r="AJ81" s="14">
        <v>0</v>
      </c>
      <c r="AK81" s="14">
        <v>0</v>
      </c>
      <c r="AL81" s="14">
        <v>0</v>
      </c>
      <c r="AM81" s="14">
        <v>22.3</v>
      </c>
      <c r="AN81" s="14">
        <v>1636885749</v>
      </c>
      <c r="AO81" s="14">
        <v>1636885749</v>
      </c>
      <c r="AP81" s="15">
        <f t="shared" si="13"/>
        <v>0</v>
      </c>
      <c r="AQ81" s="14">
        <v>16368857.49</v>
      </c>
      <c r="AR81" s="14">
        <v>16368857.49</v>
      </c>
      <c r="AS81" s="14">
        <v>0</v>
      </c>
      <c r="AT81" s="14">
        <v>0</v>
      </c>
      <c r="AU81" s="16">
        <f t="shared" si="14"/>
        <v>0</v>
      </c>
      <c r="AV81" s="13" t="str">
        <f t="shared" si="15"/>
        <v>NÃO</v>
      </c>
      <c r="AW81" s="13" t="str">
        <f t="shared" si="16"/>
        <v>OK</v>
      </c>
      <c r="AX81" s="13" t="str">
        <f t="shared" si="17"/>
        <v>OK</v>
      </c>
    </row>
    <row r="82" spans="1:50" x14ac:dyDescent="0.3">
      <c r="A82" s="10" t="s">
        <v>330</v>
      </c>
      <c r="B82" t="s">
        <v>360</v>
      </c>
      <c r="C82" t="s">
        <v>361</v>
      </c>
      <c r="D82" t="s">
        <v>362</v>
      </c>
      <c r="E82" t="s">
        <v>46</v>
      </c>
      <c r="F82" t="s">
        <v>240</v>
      </c>
      <c r="G82" t="s">
        <v>48</v>
      </c>
      <c r="H82" t="s">
        <v>363</v>
      </c>
      <c r="I82" t="s">
        <v>50</v>
      </c>
      <c r="J82" t="s">
        <v>51</v>
      </c>
      <c r="K82" t="s">
        <v>51</v>
      </c>
      <c r="L82" t="s">
        <v>52</v>
      </c>
      <c r="M82">
        <v>588</v>
      </c>
      <c r="N82" s="11" t="str">
        <f t="shared" si="9"/>
        <v>OK</v>
      </c>
      <c r="O82" t="s">
        <v>54</v>
      </c>
      <c r="P82" t="s">
        <v>54</v>
      </c>
      <c r="Q82" t="s">
        <v>51</v>
      </c>
      <c r="R82" t="str">
        <f>VLOOKUP($D82,[1]Rascunho!$E$2:$S$296,15,FALSE)</f>
        <v>https://www.tcb.df.gov.br/carta-anual-de-politicas-publicas-e-governanca-corporativa/</v>
      </c>
      <c r="S82" s="12">
        <v>6469053.9900000002</v>
      </c>
      <c r="T82" s="12">
        <v>10230743.41</v>
      </c>
      <c r="U82" s="13" t="str">
        <f t="shared" si="10"/>
        <v>OK</v>
      </c>
      <c r="V82" s="14">
        <v>25749121.899999999</v>
      </c>
      <c r="W82" s="14">
        <v>0</v>
      </c>
      <c r="X82" t="s">
        <v>51</v>
      </c>
      <c r="Y82" s="14">
        <v>331624.15000000002</v>
      </c>
      <c r="Z82" s="14">
        <v>0</v>
      </c>
      <c r="AA82" s="14">
        <v>0</v>
      </c>
      <c r="AB82" s="14">
        <v>-1052684.46</v>
      </c>
      <c r="AC82" s="13" t="str">
        <f t="shared" si="11"/>
        <v>OK</v>
      </c>
      <c r="AD82" s="14">
        <v>64880522.649999999</v>
      </c>
      <c r="AE82" s="14" t="e">
        <v>#VALUE!</v>
      </c>
      <c r="AF82" s="14">
        <v>0</v>
      </c>
      <c r="AG82" s="14">
        <v>125385384</v>
      </c>
      <c r="AH82" s="14">
        <v>215123905.25999999</v>
      </c>
      <c r="AI82" s="13" t="str">
        <f t="shared" si="12"/>
        <v>OK</v>
      </c>
      <c r="AJ82" s="14">
        <v>72059182.709999993</v>
      </c>
      <c r="AK82" s="14">
        <v>75022398.670000002</v>
      </c>
      <c r="AL82" s="14">
        <v>0</v>
      </c>
      <c r="AM82" s="14">
        <v>0</v>
      </c>
      <c r="AN82" s="14">
        <v>37722.75</v>
      </c>
      <c r="AO82" s="14">
        <v>43886200</v>
      </c>
      <c r="AP82" s="15">
        <f t="shared" si="13"/>
        <v>43848477.25</v>
      </c>
      <c r="AQ82" s="14">
        <v>38386200</v>
      </c>
      <c r="AR82" s="14">
        <v>43886200</v>
      </c>
      <c r="AS82" s="14">
        <v>0</v>
      </c>
      <c r="AT82" s="14">
        <v>0</v>
      </c>
      <c r="AU82" s="16">
        <f t="shared" si="14"/>
        <v>5500000</v>
      </c>
      <c r="AV82" s="13" t="str">
        <f t="shared" si="15"/>
        <v>SIM</v>
      </c>
      <c r="AW82" s="13" t="str">
        <f t="shared" si="16"/>
        <v>OK</v>
      </c>
      <c r="AX82" s="13" t="str">
        <f t="shared" si="17"/>
        <v>OK</v>
      </c>
    </row>
    <row r="83" spans="1:50" x14ac:dyDescent="0.3">
      <c r="A83" s="10" t="s">
        <v>330</v>
      </c>
      <c r="B83" t="s">
        <v>434</v>
      </c>
      <c r="C83" t="s">
        <v>435</v>
      </c>
      <c r="D83" t="s">
        <v>436</v>
      </c>
      <c r="E83" t="s">
        <v>46</v>
      </c>
      <c r="F83" t="s">
        <v>93</v>
      </c>
      <c r="G83" t="s">
        <v>48</v>
      </c>
      <c r="H83" t="s">
        <v>49</v>
      </c>
      <c r="I83" t="s">
        <v>50</v>
      </c>
      <c r="J83" t="s">
        <v>51</v>
      </c>
      <c r="K83" t="s">
        <v>51</v>
      </c>
      <c r="L83" t="s">
        <v>134</v>
      </c>
      <c r="M83">
        <v>1049</v>
      </c>
      <c r="N83" s="11" t="str">
        <f t="shared" si="9"/>
        <v>OK</v>
      </c>
      <c r="O83" t="s">
        <v>54</v>
      </c>
      <c r="P83" t="s">
        <v>54</v>
      </c>
      <c r="Q83" t="s">
        <v>54</v>
      </c>
      <c r="R83" t="str">
        <f>VLOOKUP($D83,[1]Rascunho!$E$2:$S$296,15,FALSE)</f>
        <v>https://www.terracap.df.gov.br/index.php/acesso-informacao/normas-manuais-e-politicas</v>
      </c>
      <c r="S83" s="12">
        <v>620803664.61000001</v>
      </c>
      <c r="T83" s="12">
        <v>288886729.49000001</v>
      </c>
      <c r="U83" s="13" t="str">
        <f t="shared" si="10"/>
        <v>OK</v>
      </c>
      <c r="V83" s="14">
        <v>870021756.79999995</v>
      </c>
      <c r="W83" s="14">
        <v>0</v>
      </c>
      <c r="X83" t="s">
        <v>54</v>
      </c>
      <c r="Y83" s="14">
        <v>898760.53</v>
      </c>
      <c r="Z83" s="14">
        <v>24585.279999999999</v>
      </c>
      <c r="AA83" s="14">
        <v>21460.560000000001</v>
      </c>
      <c r="AB83" s="14">
        <v>362990597.68000001</v>
      </c>
      <c r="AC83" s="13" t="str">
        <f t="shared" si="11"/>
        <v>OK</v>
      </c>
      <c r="AD83" s="14">
        <v>5452260367.6400003</v>
      </c>
      <c r="AE83" s="14" t="e">
        <v>#VALUE!</v>
      </c>
      <c r="AF83" s="14">
        <v>0</v>
      </c>
      <c r="AG83" s="14">
        <v>0</v>
      </c>
      <c r="AH83" s="14">
        <v>0</v>
      </c>
      <c r="AI83" s="13" t="str">
        <f t="shared" si="12"/>
        <v>OK</v>
      </c>
      <c r="AJ83" s="14">
        <v>0</v>
      </c>
      <c r="AK83" s="14">
        <v>0</v>
      </c>
      <c r="AL83" s="14">
        <v>0</v>
      </c>
      <c r="AM83" s="14">
        <v>0</v>
      </c>
      <c r="AN83" s="14">
        <v>251000</v>
      </c>
      <c r="AO83" s="14">
        <v>255000000</v>
      </c>
      <c r="AP83" s="15">
        <f t="shared" si="13"/>
        <v>254749000</v>
      </c>
      <c r="AQ83" s="14">
        <v>1851078531</v>
      </c>
      <c r="AR83" s="14">
        <v>1851078531</v>
      </c>
      <c r="AS83" s="14">
        <v>0</v>
      </c>
      <c r="AT83" s="14">
        <v>0</v>
      </c>
      <c r="AU83" s="16">
        <f t="shared" si="14"/>
        <v>0</v>
      </c>
      <c r="AV83" s="13" t="str">
        <f t="shared" si="15"/>
        <v>SIM</v>
      </c>
      <c r="AW83" s="13" t="str">
        <f t="shared" si="16"/>
        <v>OK</v>
      </c>
      <c r="AX83" s="13" t="str">
        <f t="shared" si="17"/>
        <v>OK</v>
      </c>
    </row>
    <row r="84" spans="1:50" x14ac:dyDescent="0.3">
      <c r="A84" s="10" t="s">
        <v>439</v>
      </c>
      <c r="B84" t="s">
        <v>1430</v>
      </c>
      <c r="C84" t="s">
        <v>445</v>
      </c>
      <c r="D84" t="s">
        <v>446</v>
      </c>
      <c r="E84" t="s">
        <v>46</v>
      </c>
      <c r="F84" t="s">
        <v>71</v>
      </c>
      <c r="G84" t="s">
        <v>60</v>
      </c>
      <c r="H84" t="s">
        <v>49</v>
      </c>
      <c r="I84" t="s">
        <v>50</v>
      </c>
      <c r="J84" t="s">
        <v>51</v>
      </c>
      <c r="K84" t="s">
        <v>51</v>
      </c>
      <c r="L84" t="s">
        <v>134</v>
      </c>
      <c r="M84">
        <v>161</v>
      </c>
      <c r="N84" s="11" t="str">
        <f t="shared" si="9"/>
        <v>OK</v>
      </c>
      <c r="O84" t="s">
        <v>54</v>
      </c>
      <c r="P84" t="s">
        <v>54</v>
      </c>
      <c r="Q84" t="s">
        <v>54</v>
      </c>
      <c r="R84" t="str">
        <f>VLOOKUP($D84,[1]Rascunho!$E$2:$S$296,15,FALSE)</f>
        <v>https://www.bandes.com.br/Site/Dinamico/Show/933/Governanca-Corporativa</v>
      </c>
      <c r="S84" s="12">
        <v>278354000</v>
      </c>
      <c r="T84" s="12">
        <v>46608858.840000004</v>
      </c>
      <c r="U84" s="13" t="str">
        <f t="shared" si="10"/>
        <v>OK</v>
      </c>
      <c r="V84" s="14">
        <v>183184012</v>
      </c>
      <c r="W84" s="14">
        <v>6186937.3399999999</v>
      </c>
      <c r="X84" t="s">
        <v>54</v>
      </c>
      <c r="Y84" s="14">
        <v>252762.34</v>
      </c>
      <c r="Z84" s="14">
        <v>44339.23</v>
      </c>
      <c r="AA84" s="14">
        <v>0</v>
      </c>
      <c r="AB84" s="14">
        <v>75969518.140000001</v>
      </c>
      <c r="AC84" s="13" t="str">
        <f t="shared" si="11"/>
        <v>OK</v>
      </c>
      <c r="AD84" s="14">
        <v>435218407.47000003</v>
      </c>
      <c r="AE84" s="14">
        <v>435218407.47000003</v>
      </c>
      <c r="AF84" s="14">
        <v>0</v>
      </c>
      <c r="AG84" s="14">
        <v>0</v>
      </c>
      <c r="AH84" s="14">
        <v>0</v>
      </c>
      <c r="AI84" s="13" t="str">
        <f t="shared" si="12"/>
        <v>OK</v>
      </c>
      <c r="AJ84" s="14">
        <v>0</v>
      </c>
      <c r="AK84" s="14">
        <v>0</v>
      </c>
      <c r="AL84" s="14">
        <v>0</v>
      </c>
      <c r="AM84" s="14">
        <v>0</v>
      </c>
      <c r="AN84" s="14">
        <v>25246979553</v>
      </c>
      <c r="AO84" s="14">
        <v>25246979553</v>
      </c>
      <c r="AP84" s="15">
        <f t="shared" si="13"/>
        <v>0</v>
      </c>
      <c r="AQ84" s="14">
        <v>439371000</v>
      </c>
      <c r="AR84" s="14">
        <v>439371000</v>
      </c>
      <c r="AS84" s="14">
        <v>0</v>
      </c>
      <c r="AT84" s="14">
        <v>0</v>
      </c>
      <c r="AU84" s="16">
        <f t="shared" si="14"/>
        <v>0</v>
      </c>
      <c r="AV84" s="13" t="str">
        <f t="shared" si="15"/>
        <v>NÃO</v>
      </c>
      <c r="AW84" s="13" t="str">
        <f t="shared" si="16"/>
        <v>OK</v>
      </c>
      <c r="AX84" s="13" t="str">
        <f t="shared" si="17"/>
        <v>OK</v>
      </c>
    </row>
    <row r="85" spans="1:50" x14ac:dyDescent="0.3">
      <c r="A85" s="10" t="s">
        <v>439</v>
      </c>
      <c r="B85" t="s">
        <v>1431</v>
      </c>
      <c r="C85" t="s">
        <v>450</v>
      </c>
      <c r="D85" t="s">
        <v>451</v>
      </c>
      <c r="E85" t="s">
        <v>46</v>
      </c>
      <c r="F85" t="s">
        <v>71</v>
      </c>
      <c r="G85" t="s">
        <v>60</v>
      </c>
      <c r="H85" t="s">
        <v>49</v>
      </c>
      <c r="I85" t="s">
        <v>373</v>
      </c>
      <c r="J85" t="s">
        <v>54</v>
      </c>
      <c r="K85" t="s">
        <v>51</v>
      </c>
      <c r="L85" t="s">
        <v>134</v>
      </c>
      <c r="M85">
        <v>2049</v>
      </c>
      <c r="N85" s="11" t="str">
        <f t="shared" si="9"/>
        <v>OK</v>
      </c>
      <c r="O85" t="s">
        <v>54</v>
      </c>
      <c r="P85" t="s">
        <v>54</v>
      </c>
      <c r="Q85" t="s">
        <v>54</v>
      </c>
      <c r="R85" t="str">
        <f>VLOOKUP($D85,[1]Rascunho!$E$2:$S$296,15,FALSE)</f>
        <v>https://ri.banestes.com.br/docs/Relatorio-de-Sustentabilidade-banestes-2023-12-31-KB8g9N78.pdf</v>
      </c>
      <c r="S85" s="12">
        <v>5871312116.21</v>
      </c>
      <c r="T85" s="12">
        <v>450600322.39999998</v>
      </c>
      <c r="U85" s="13" t="str">
        <f t="shared" si="10"/>
        <v>OK</v>
      </c>
      <c r="V85" s="14">
        <v>5500692170.3199997</v>
      </c>
      <c r="W85" s="14">
        <v>110647839.56999999</v>
      </c>
      <c r="X85" t="s">
        <v>54</v>
      </c>
      <c r="Y85" s="14">
        <v>719633.64</v>
      </c>
      <c r="Z85" s="14">
        <v>155142.6</v>
      </c>
      <c r="AA85" s="14">
        <v>0</v>
      </c>
      <c r="AB85" s="14">
        <v>370619945.88999999</v>
      </c>
      <c r="AC85" s="13" t="str">
        <f t="shared" si="11"/>
        <v>OK</v>
      </c>
      <c r="AD85" s="14">
        <v>2216351284.6500001</v>
      </c>
      <c r="AE85" s="14">
        <v>3058197397.4000001</v>
      </c>
      <c r="AF85" s="14">
        <v>185951623.80000001</v>
      </c>
      <c r="AG85" s="14">
        <v>1158208.4099999999</v>
      </c>
      <c r="AH85" s="14">
        <v>214214.89</v>
      </c>
      <c r="AI85" s="13" t="str">
        <f t="shared" si="12"/>
        <v>INDÍCIO DE DEPENDÊNCIA POR SUBVENÇÃO</v>
      </c>
      <c r="AJ85" s="14">
        <v>0</v>
      </c>
      <c r="AK85" s="14">
        <v>0</v>
      </c>
      <c r="AL85" s="14">
        <v>0</v>
      </c>
      <c r="AM85" s="14">
        <v>0</v>
      </c>
      <c r="AN85" s="14">
        <v>291793529</v>
      </c>
      <c r="AO85" s="14">
        <v>291793529</v>
      </c>
      <c r="AP85" s="15">
        <f t="shared" si="13"/>
        <v>0</v>
      </c>
      <c r="AQ85" s="14">
        <v>1477920000</v>
      </c>
      <c r="AR85" s="14">
        <v>1477920000</v>
      </c>
      <c r="AS85" s="14">
        <v>0</v>
      </c>
      <c r="AT85" s="14">
        <v>0</v>
      </c>
      <c r="AU85" s="16">
        <f t="shared" si="14"/>
        <v>0</v>
      </c>
      <c r="AV85" s="13" t="str">
        <f t="shared" si="15"/>
        <v>NÃO</v>
      </c>
      <c r="AW85" s="13" t="str">
        <f t="shared" si="16"/>
        <v>OK</v>
      </c>
      <c r="AX85" s="13" t="str">
        <f t="shared" si="17"/>
        <v>OK</v>
      </c>
    </row>
    <row r="86" spans="1:50" x14ac:dyDescent="0.3">
      <c r="A86" s="10" t="s">
        <v>439</v>
      </c>
      <c r="B86" t="s">
        <v>1432</v>
      </c>
      <c r="C86" t="s">
        <v>1433</v>
      </c>
      <c r="D86" t="s">
        <v>441</v>
      </c>
      <c r="E86" t="s">
        <v>46</v>
      </c>
      <c r="F86" t="s">
        <v>75</v>
      </c>
      <c r="G86" t="s">
        <v>60</v>
      </c>
      <c r="H86" t="s">
        <v>49</v>
      </c>
      <c r="I86" t="s">
        <v>373</v>
      </c>
      <c r="J86" t="s">
        <v>51</v>
      </c>
      <c r="K86" t="s">
        <v>51</v>
      </c>
      <c r="L86" t="s">
        <v>52</v>
      </c>
      <c r="M86">
        <v>56</v>
      </c>
      <c r="N86" s="11" t="str">
        <f t="shared" si="9"/>
        <v>OK</v>
      </c>
      <c r="O86" t="s">
        <v>54</v>
      </c>
      <c r="P86" t="s">
        <v>54</v>
      </c>
      <c r="Q86" t="s">
        <v>51</v>
      </c>
      <c r="R86" t="str">
        <f>VLOOKUP($D86,[1]Rascunho!$E$2:$S$296,15,FALSE)</f>
        <v>https://ceasa.es.gov.br/governanca-corporativa</v>
      </c>
      <c r="S86" s="12">
        <v>15147312.93</v>
      </c>
      <c r="T86" s="12">
        <v>4693072.1900000004</v>
      </c>
      <c r="U86" s="13" t="str">
        <f t="shared" si="10"/>
        <v>OK</v>
      </c>
      <c r="V86" s="14">
        <v>19468514.460000001</v>
      </c>
      <c r="W86" s="14">
        <v>17198</v>
      </c>
      <c r="X86" t="s">
        <v>51</v>
      </c>
      <c r="Y86" s="14">
        <v>261960.86</v>
      </c>
      <c r="Z86" s="14">
        <v>0</v>
      </c>
      <c r="AA86" s="14">
        <v>0</v>
      </c>
      <c r="AB86" s="14">
        <v>0</v>
      </c>
      <c r="AC86" s="13" t="str">
        <f t="shared" si="11"/>
        <v>OK</v>
      </c>
      <c r="AD86" s="14">
        <v>13797743.41</v>
      </c>
      <c r="AE86" s="14">
        <v>0</v>
      </c>
      <c r="AF86" s="14">
        <v>0</v>
      </c>
      <c r="AG86" s="14">
        <v>0</v>
      </c>
      <c r="AH86" s="14">
        <v>0</v>
      </c>
      <c r="AI86" s="13" t="str">
        <f t="shared" si="12"/>
        <v>OK</v>
      </c>
      <c r="AJ86" s="14">
        <v>0</v>
      </c>
      <c r="AK86" s="14">
        <v>0</v>
      </c>
      <c r="AL86" s="14">
        <v>0</v>
      </c>
      <c r="AM86" s="14">
        <v>0</v>
      </c>
      <c r="AN86" s="14">
        <v>3159556</v>
      </c>
      <c r="AO86" s="14">
        <v>3159556</v>
      </c>
      <c r="AP86" s="15">
        <f t="shared" si="13"/>
        <v>0</v>
      </c>
      <c r="AQ86" s="14">
        <v>3159556.67</v>
      </c>
      <c r="AR86" s="14">
        <v>3159556</v>
      </c>
      <c r="AS86" s="14">
        <v>0</v>
      </c>
      <c r="AT86" s="14">
        <v>0</v>
      </c>
      <c r="AU86" s="16">
        <f t="shared" si="14"/>
        <v>-0.66999999992549419</v>
      </c>
      <c r="AV86" s="13" t="str">
        <f t="shared" si="15"/>
        <v>NÃO</v>
      </c>
      <c r="AW86" s="13" t="str">
        <f t="shared" si="16"/>
        <v>OK</v>
      </c>
      <c r="AX86" s="13" t="str">
        <f t="shared" si="17"/>
        <v>OK</v>
      </c>
    </row>
    <row r="87" spans="1:50" x14ac:dyDescent="0.3">
      <c r="A87" s="10" t="s">
        <v>439</v>
      </c>
      <c r="B87" t="s">
        <v>1434</v>
      </c>
      <c r="C87" t="s">
        <v>455</v>
      </c>
      <c r="D87" t="s">
        <v>456</v>
      </c>
      <c r="E87" t="s">
        <v>46</v>
      </c>
      <c r="F87" t="s">
        <v>107</v>
      </c>
      <c r="G87" t="s">
        <v>60</v>
      </c>
      <c r="H87" t="s">
        <v>49</v>
      </c>
      <c r="I87" t="s">
        <v>50</v>
      </c>
      <c r="J87" t="s">
        <v>51</v>
      </c>
      <c r="K87" t="s">
        <v>51</v>
      </c>
      <c r="L87" t="s">
        <v>134</v>
      </c>
      <c r="M87">
        <v>1291</v>
      </c>
      <c r="N87" s="11" t="str">
        <f t="shared" si="9"/>
        <v>OK</v>
      </c>
      <c r="O87" t="s">
        <v>54</v>
      </c>
      <c r="P87" t="s">
        <v>54</v>
      </c>
      <c r="Q87" t="s">
        <v>54</v>
      </c>
      <c r="R87" t="str">
        <f>VLOOKUP($D87,[1]Rascunho!$E$2:$S$296,15,FALSE)</f>
        <v>https://www.cesan.com.br/a-cesan/</v>
      </c>
      <c r="S87" s="12">
        <v>1172245478</v>
      </c>
      <c r="T87" s="12">
        <v>276894151.52999997</v>
      </c>
      <c r="U87" s="13" t="str">
        <f t="shared" si="10"/>
        <v>OK</v>
      </c>
      <c r="V87" s="14">
        <v>1668649829.49</v>
      </c>
      <c r="W87" s="14">
        <v>841819749</v>
      </c>
      <c r="X87" t="s">
        <v>54</v>
      </c>
      <c r="Y87" s="14">
        <v>455441.59</v>
      </c>
      <c r="Z87" s="14">
        <v>37556.44</v>
      </c>
      <c r="AA87" s="14">
        <v>18594.939999999999</v>
      </c>
      <c r="AB87" s="14">
        <v>173544718</v>
      </c>
      <c r="AC87" s="13" t="str">
        <f t="shared" si="11"/>
        <v>OK</v>
      </c>
      <c r="AD87" s="14">
        <v>3756600682</v>
      </c>
      <c r="AE87" s="14">
        <v>0</v>
      </c>
      <c r="AF87" s="14">
        <v>0</v>
      </c>
      <c r="AG87" s="14">
        <v>0</v>
      </c>
      <c r="AH87" s="14">
        <v>0</v>
      </c>
      <c r="AI87" s="13" t="str">
        <f t="shared" si="12"/>
        <v>OK</v>
      </c>
      <c r="AJ87" s="14">
        <v>0</v>
      </c>
      <c r="AK87" s="14">
        <v>0</v>
      </c>
      <c r="AL87" s="14">
        <v>82234466.739999995</v>
      </c>
      <c r="AM87" s="14">
        <v>249281000</v>
      </c>
      <c r="AN87" s="14">
        <v>3051099567</v>
      </c>
      <c r="AO87" s="14">
        <v>3015250810</v>
      </c>
      <c r="AP87" s="15">
        <f t="shared" si="13"/>
        <v>-35848757</v>
      </c>
      <c r="AQ87" s="14">
        <v>3057006000</v>
      </c>
      <c r="AR87" s="14">
        <v>3015250810</v>
      </c>
      <c r="AS87" s="14">
        <v>0</v>
      </c>
      <c r="AT87" s="14">
        <v>0</v>
      </c>
      <c r="AU87" s="16">
        <f t="shared" si="14"/>
        <v>-41755190</v>
      </c>
      <c r="AV87" s="13" t="str">
        <f t="shared" si="15"/>
        <v>NÃO</v>
      </c>
      <c r="AW87" s="13" t="str">
        <f t="shared" si="16"/>
        <v>VER CAPITAL</v>
      </c>
      <c r="AX87" s="13" t="str">
        <f t="shared" si="17"/>
        <v>INDÍCIO DE DEPENDÊNCIA POR CAPITAL</v>
      </c>
    </row>
    <row r="88" spans="1:50" x14ac:dyDescent="0.3">
      <c r="A88" s="10" t="s">
        <v>439</v>
      </c>
      <c r="B88" t="s">
        <v>1435</v>
      </c>
      <c r="C88" t="s">
        <v>460</v>
      </c>
      <c r="D88" t="s">
        <v>461</v>
      </c>
      <c r="E88" t="s">
        <v>46</v>
      </c>
      <c r="F88" t="s">
        <v>240</v>
      </c>
      <c r="G88" t="s">
        <v>48</v>
      </c>
      <c r="H88" t="s">
        <v>49</v>
      </c>
      <c r="I88" t="s">
        <v>50</v>
      </c>
      <c r="J88" t="s">
        <v>51</v>
      </c>
      <c r="K88" t="s">
        <v>51</v>
      </c>
      <c r="L88" t="s">
        <v>134</v>
      </c>
      <c r="M88">
        <v>210</v>
      </c>
      <c r="N88" s="11" t="str">
        <f t="shared" si="9"/>
        <v>OK</v>
      </c>
      <c r="O88" t="s">
        <v>54</v>
      </c>
      <c r="P88" t="s">
        <v>54</v>
      </c>
      <c r="Q88" t="s">
        <v>51</v>
      </c>
      <c r="R88" t="str">
        <f>VLOOKUP($D88,[1]Rascunho!$E$2:$S$296,15,FALSE)</f>
        <v>https://ceturb.es.gov.br/missao-visao-e-valores</v>
      </c>
      <c r="S88" s="12">
        <v>72800697.409999996</v>
      </c>
      <c r="T88" s="12">
        <v>46074763.990000002</v>
      </c>
      <c r="U88" s="13" t="str">
        <f t="shared" si="10"/>
        <v>OK</v>
      </c>
      <c r="V88" s="14">
        <v>68739182.549999997</v>
      </c>
      <c r="W88" s="14">
        <v>250459.42</v>
      </c>
      <c r="X88" t="s">
        <v>51</v>
      </c>
      <c r="Y88" s="14">
        <v>415970.78</v>
      </c>
      <c r="Z88" s="14">
        <v>0</v>
      </c>
      <c r="AA88" s="14">
        <v>0</v>
      </c>
      <c r="AB88" s="14">
        <v>6911299.5700000003</v>
      </c>
      <c r="AC88" s="13" t="str">
        <f t="shared" si="11"/>
        <v>OK</v>
      </c>
      <c r="AD88" s="14">
        <v>18312337.600000001</v>
      </c>
      <c r="AE88" s="14">
        <v>0</v>
      </c>
      <c r="AF88" s="14">
        <v>0</v>
      </c>
      <c r="AG88" s="14">
        <v>11560853.08</v>
      </c>
      <c r="AH88" s="14">
        <v>14353807.380000001</v>
      </c>
      <c r="AI88" s="13" t="str">
        <f t="shared" si="12"/>
        <v>INDÍCIO DE DEPENDÊNCIA POR SUBVENÇÃO</v>
      </c>
      <c r="AJ88" s="14">
        <v>0</v>
      </c>
      <c r="AK88" s="14">
        <v>0</v>
      </c>
      <c r="AL88" s="14">
        <v>0</v>
      </c>
      <c r="AM88" s="14">
        <v>0</v>
      </c>
      <c r="AN88" s="14">
        <v>93473015</v>
      </c>
      <c r="AO88" s="14">
        <v>93473015</v>
      </c>
      <c r="AP88" s="15">
        <f t="shared" si="13"/>
        <v>0</v>
      </c>
      <c r="AQ88" s="14">
        <v>93473015.359999999</v>
      </c>
      <c r="AR88" s="14">
        <v>93473015.359999999</v>
      </c>
      <c r="AS88" s="14">
        <v>106526984.64</v>
      </c>
      <c r="AT88" s="14">
        <v>106526984.64</v>
      </c>
      <c r="AU88" s="16">
        <f t="shared" si="14"/>
        <v>106526984.64</v>
      </c>
      <c r="AV88" s="13" t="str">
        <f t="shared" si="15"/>
        <v>SIM</v>
      </c>
      <c r="AW88" s="13" t="str">
        <f t="shared" si="16"/>
        <v>OK</v>
      </c>
      <c r="AX88" s="13" t="str">
        <f t="shared" si="17"/>
        <v>OK</v>
      </c>
    </row>
    <row r="89" spans="1:50" x14ac:dyDescent="0.3">
      <c r="A89" s="10" t="s">
        <v>439</v>
      </c>
      <c r="B89" t="s">
        <v>1436</v>
      </c>
      <c r="C89" t="s">
        <v>1437</v>
      </c>
      <c r="D89" t="s">
        <v>465</v>
      </c>
      <c r="E89" t="s">
        <v>70</v>
      </c>
      <c r="F89" t="s">
        <v>93</v>
      </c>
      <c r="G89" t="s">
        <v>60</v>
      </c>
      <c r="H89" t="s">
        <v>49</v>
      </c>
      <c r="I89" t="s">
        <v>50</v>
      </c>
      <c r="J89" t="s">
        <v>51</v>
      </c>
      <c r="K89" t="s">
        <v>51</v>
      </c>
      <c r="L89" t="s">
        <v>134</v>
      </c>
      <c r="M89">
        <v>20</v>
      </c>
      <c r="N89" s="11" t="str">
        <f t="shared" si="9"/>
        <v>OK</v>
      </c>
      <c r="O89" t="s">
        <v>51</v>
      </c>
      <c r="P89" t="s">
        <v>54</v>
      </c>
      <c r="Q89" t="s">
        <v>54</v>
      </c>
      <c r="R89" t="str">
        <f>VLOOKUP($D89,[1]Rascunho!$E$2:$S$296,15,FALSE)</f>
        <v>https://seger.es.gov.br/autarquias</v>
      </c>
      <c r="S89" s="12">
        <v>3413560.3</v>
      </c>
      <c r="T89" s="12">
        <v>1312304</v>
      </c>
      <c r="U89" s="13" t="str">
        <f t="shared" si="10"/>
        <v>OK</v>
      </c>
      <c r="V89" s="14">
        <v>3458170.6</v>
      </c>
      <c r="W89" s="14">
        <v>0</v>
      </c>
      <c r="X89" t="s">
        <v>51</v>
      </c>
      <c r="Y89" s="14">
        <v>85661.67</v>
      </c>
      <c r="Z89" s="14">
        <v>0</v>
      </c>
      <c r="AA89" s="14">
        <v>0</v>
      </c>
      <c r="AB89" s="14">
        <v>44610.3</v>
      </c>
      <c r="AC89" s="13" t="str">
        <f t="shared" si="11"/>
        <v>OK</v>
      </c>
      <c r="AD89" s="14">
        <v>14909258.26</v>
      </c>
      <c r="AE89" s="14">
        <v>0</v>
      </c>
      <c r="AF89" s="14">
        <v>0</v>
      </c>
      <c r="AG89" s="14">
        <v>0</v>
      </c>
      <c r="AH89" s="14">
        <v>0</v>
      </c>
      <c r="AI89" s="13" t="str">
        <f t="shared" si="12"/>
        <v>OK</v>
      </c>
      <c r="AJ89" s="14">
        <v>0</v>
      </c>
      <c r="AK89" s="14">
        <v>0</v>
      </c>
      <c r="AL89" s="14">
        <v>0</v>
      </c>
      <c r="AM89" s="14">
        <v>0</v>
      </c>
      <c r="AN89" s="14">
        <v>68602271495</v>
      </c>
      <c r="AO89" s="14">
        <v>68602271495</v>
      </c>
      <c r="AP89" s="15">
        <f t="shared" si="13"/>
        <v>0</v>
      </c>
      <c r="AQ89" s="14">
        <v>4525000</v>
      </c>
      <c r="AR89" s="14">
        <v>4525000</v>
      </c>
      <c r="AS89" s="14">
        <v>0</v>
      </c>
      <c r="AT89" s="14">
        <v>0</v>
      </c>
      <c r="AU89" s="16">
        <f t="shared" si="14"/>
        <v>0</v>
      </c>
      <c r="AV89" s="13" t="str">
        <f t="shared" si="15"/>
        <v>NÃO</v>
      </c>
      <c r="AW89" s="13" t="str">
        <f t="shared" si="16"/>
        <v>OK</v>
      </c>
      <c r="AX89" s="13" t="str">
        <f t="shared" si="17"/>
        <v>OK</v>
      </c>
    </row>
    <row r="90" spans="1:50" x14ac:dyDescent="0.3">
      <c r="A90" s="10" t="s">
        <v>473</v>
      </c>
      <c r="B90" t="s">
        <v>474</v>
      </c>
      <c r="C90" t="s">
        <v>475</v>
      </c>
      <c r="D90" t="s">
        <v>476</v>
      </c>
      <c r="E90" t="s">
        <v>46</v>
      </c>
      <c r="F90" t="s">
        <v>93</v>
      </c>
      <c r="G90" t="s">
        <v>60</v>
      </c>
      <c r="H90" t="s">
        <v>49</v>
      </c>
      <c r="I90" t="s">
        <v>50</v>
      </c>
      <c r="J90" t="s">
        <v>51</v>
      </c>
      <c r="K90" t="s">
        <v>51</v>
      </c>
      <c r="L90" t="s">
        <v>52</v>
      </c>
      <c r="M90">
        <v>406</v>
      </c>
      <c r="N90" s="11" t="str">
        <f t="shared" si="9"/>
        <v>OK</v>
      </c>
      <c r="O90" t="s">
        <v>54</v>
      </c>
      <c r="P90" t="s">
        <v>54</v>
      </c>
      <c r="Q90" t="s">
        <v>54</v>
      </c>
      <c r="R90" t="str">
        <f>VLOOKUP($D90,[1]Rascunho!$E$2:$S$296,15,FALSE)</f>
        <v>https://goias.gov.br/agehab/carta-anual-de-governanca-corporativa/</v>
      </c>
      <c r="S90" s="12">
        <v>488399211.5</v>
      </c>
      <c r="T90" s="12">
        <v>61538915.359999999</v>
      </c>
      <c r="U90" s="13" t="str">
        <f t="shared" si="10"/>
        <v>OK</v>
      </c>
      <c r="V90" s="14">
        <v>492858576.45999998</v>
      </c>
      <c r="W90" s="14">
        <v>251617168.5</v>
      </c>
      <c r="X90" t="s">
        <v>51</v>
      </c>
      <c r="Y90" s="14">
        <v>419636.49</v>
      </c>
      <c r="Z90" s="14">
        <v>0</v>
      </c>
      <c r="AA90" s="14">
        <v>55520.639999999999</v>
      </c>
      <c r="AB90" s="14">
        <v>244352232.86000001</v>
      </c>
      <c r="AC90" s="13" t="str">
        <f t="shared" si="11"/>
        <v>OK</v>
      </c>
      <c r="AD90" s="14">
        <v>375255264.16000003</v>
      </c>
      <c r="AE90" s="14">
        <v>0</v>
      </c>
      <c r="AF90" s="14">
        <v>0</v>
      </c>
      <c r="AG90" s="14">
        <v>54322312.039999999</v>
      </c>
      <c r="AH90" s="14">
        <v>351858350.23000002</v>
      </c>
      <c r="AI90" s="13" t="str">
        <f t="shared" si="12"/>
        <v>OK</v>
      </c>
      <c r="AJ90" s="14">
        <v>0</v>
      </c>
      <c r="AK90" s="14">
        <v>0</v>
      </c>
      <c r="AL90" s="14">
        <v>0</v>
      </c>
      <c r="AM90" s="14">
        <v>0</v>
      </c>
      <c r="AN90" s="14">
        <v>196040923.41999999</v>
      </c>
      <c r="AO90" s="14">
        <v>196040923.41999999</v>
      </c>
      <c r="AP90" s="15">
        <f t="shared" si="13"/>
        <v>0</v>
      </c>
      <c r="AQ90" s="14">
        <v>187163774.28999999</v>
      </c>
      <c r="AR90" s="14">
        <v>187163774.28999999</v>
      </c>
      <c r="AS90" s="14">
        <v>8877149.1300000008</v>
      </c>
      <c r="AT90" s="14">
        <v>8877149.1300000008</v>
      </c>
      <c r="AU90" s="16">
        <f t="shared" si="14"/>
        <v>8877149.1300000008</v>
      </c>
      <c r="AV90" s="13" t="str">
        <f t="shared" si="15"/>
        <v>SIM</v>
      </c>
      <c r="AW90" s="13" t="str">
        <f t="shared" si="16"/>
        <v>OK</v>
      </c>
      <c r="AX90" s="13" t="str">
        <f t="shared" si="17"/>
        <v>OK</v>
      </c>
    </row>
    <row r="91" spans="1:50" x14ac:dyDescent="0.3">
      <c r="A91" s="10" t="s">
        <v>473</v>
      </c>
      <c r="B91" t="s">
        <v>493</v>
      </c>
      <c r="C91" t="s">
        <v>494</v>
      </c>
      <c r="D91" t="s">
        <v>495</v>
      </c>
      <c r="E91" t="s">
        <v>70</v>
      </c>
      <c r="F91" t="s">
        <v>71</v>
      </c>
      <c r="G91" t="s">
        <v>48</v>
      </c>
      <c r="H91" t="s">
        <v>76</v>
      </c>
      <c r="I91" t="s">
        <v>50</v>
      </c>
      <c r="J91" t="s">
        <v>51</v>
      </c>
      <c r="K91" t="s">
        <v>51</v>
      </c>
      <c r="L91" t="s">
        <v>134</v>
      </c>
      <c r="M91">
        <v>0</v>
      </c>
      <c r="N91" s="11" t="str">
        <f t="shared" si="9"/>
        <v>OK</v>
      </c>
      <c r="O91" t="s">
        <v>51</v>
      </c>
      <c r="P91" t="s">
        <v>51</v>
      </c>
      <c r="Q91" t="s">
        <v>51</v>
      </c>
      <c r="R91" t="str">
        <f>VLOOKUP($D91,[1]Rascunho!$E$2:$S$296,15,FALSE)</f>
        <v>http://www.administracao.go.gov.br</v>
      </c>
      <c r="S91" s="12">
        <v>0</v>
      </c>
      <c r="T91" s="12">
        <v>0</v>
      </c>
      <c r="U91" s="13" t="str">
        <f t="shared" si="10"/>
        <v>OK</v>
      </c>
      <c r="V91" s="14">
        <v>0</v>
      </c>
      <c r="W91" s="14">
        <v>0</v>
      </c>
      <c r="X91" t="s">
        <v>51</v>
      </c>
      <c r="Y91" s="14">
        <v>0</v>
      </c>
      <c r="Z91" s="14">
        <v>0</v>
      </c>
      <c r="AA91" s="14">
        <v>0</v>
      </c>
      <c r="AB91" s="14">
        <v>0</v>
      </c>
      <c r="AC91" s="13" t="str">
        <f t="shared" si="11"/>
        <v>OK</v>
      </c>
      <c r="AD91" s="14">
        <v>-425197217.69999999</v>
      </c>
      <c r="AE91" s="14">
        <v>0</v>
      </c>
      <c r="AF91" s="14">
        <v>0</v>
      </c>
      <c r="AG91" s="14">
        <v>0</v>
      </c>
      <c r="AH91" s="14">
        <v>0</v>
      </c>
      <c r="AI91" s="13" t="str">
        <f t="shared" si="12"/>
        <v>OK</v>
      </c>
      <c r="AJ91" s="14">
        <v>0</v>
      </c>
      <c r="AK91" s="14">
        <v>0</v>
      </c>
      <c r="AL91" s="14">
        <v>0</v>
      </c>
      <c r="AM91" s="14">
        <v>0</v>
      </c>
      <c r="AN91" s="14">
        <v>1</v>
      </c>
      <c r="AO91" s="14">
        <v>1</v>
      </c>
      <c r="AP91" s="15">
        <f t="shared" si="13"/>
        <v>0</v>
      </c>
      <c r="AQ91" s="14">
        <v>1.24</v>
      </c>
      <c r="AR91" s="14">
        <v>1.24</v>
      </c>
      <c r="AS91" s="14">
        <v>0</v>
      </c>
      <c r="AT91" s="14">
        <v>0</v>
      </c>
      <c r="AU91" s="16">
        <f t="shared" si="14"/>
        <v>0</v>
      </c>
      <c r="AV91" s="13" t="str">
        <f t="shared" si="15"/>
        <v>NÃO</v>
      </c>
      <c r="AW91" s="13" t="str">
        <f t="shared" si="16"/>
        <v>OK</v>
      </c>
      <c r="AX91" s="13" t="str">
        <f t="shared" si="17"/>
        <v>OK</v>
      </c>
    </row>
    <row r="92" spans="1:50" x14ac:dyDescent="0.3">
      <c r="A92" s="10" t="s">
        <v>473</v>
      </c>
      <c r="B92" t="s">
        <v>496</v>
      </c>
      <c r="C92" t="s">
        <v>497</v>
      </c>
      <c r="D92" t="s">
        <v>498</v>
      </c>
      <c r="E92" t="s">
        <v>46</v>
      </c>
      <c r="F92" t="s">
        <v>75</v>
      </c>
      <c r="G92" t="s">
        <v>60</v>
      </c>
      <c r="H92" t="s">
        <v>49</v>
      </c>
      <c r="I92" t="s">
        <v>50</v>
      </c>
      <c r="J92" t="s">
        <v>51</v>
      </c>
      <c r="K92" t="s">
        <v>51</v>
      </c>
      <c r="L92" t="s">
        <v>134</v>
      </c>
      <c r="M92">
        <v>105</v>
      </c>
      <c r="N92" s="11" t="str">
        <f t="shared" si="9"/>
        <v>OK</v>
      </c>
      <c r="O92" t="s">
        <v>54</v>
      </c>
      <c r="P92" t="s">
        <v>54</v>
      </c>
      <c r="Q92" t="s">
        <v>51</v>
      </c>
      <c r="R92" t="str">
        <f>VLOOKUP($D92,[1]Rascunho!$E$2:$S$296,15,FALSE)</f>
        <v>https://goias.gov.br/ceasa/carta-anual-de-governanca-corporativa/</v>
      </c>
      <c r="S92" s="12">
        <v>31292230.32</v>
      </c>
      <c r="T92" s="12">
        <v>14721150.84</v>
      </c>
      <c r="U92" s="13" t="str">
        <f t="shared" si="10"/>
        <v>OK</v>
      </c>
      <c r="V92" s="14">
        <v>31192921.940000001</v>
      </c>
      <c r="W92" s="14">
        <v>3290524.05</v>
      </c>
      <c r="X92" t="s">
        <v>51</v>
      </c>
      <c r="Y92" s="14">
        <v>409585.77</v>
      </c>
      <c r="Z92" s="14">
        <v>0</v>
      </c>
      <c r="AA92" s="14">
        <v>66509.490000000005</v>
      </c>
      <c r="AB92" s="14">
        <v>99308.38</v>
      </c>
      <c r="AC92" s="13" t="str">
        <f t="shared" si="11"/>
        <v>OK</v>
      </c>
      <c r="AD92" s="14">
        <v>257378483.63</v>
      </c>
      <c r="AE92" s="14">
        <v>0</v>
      </c>
      <c r="AF92" s="14">
        <v>0</v>
      </c>
      <c r="AG92" s="14">
        <v>0</v>
      </c>
      <c r="AH92" s="14">
        <v>0</v>
      </c>
      <c r="AI92" s="13" t="str">
        <f t="shared" si="12"/>
        <v>OK</v>
      </c>
      <c r="AJ92" s="14">
        <v>0</v>
      </c>
      <c r="AK92" s="14">
        <v>0</v>
      </c>
      <c r="AL92" s="14">
        <v>0</v>
      </c>
      <c r="AM92" s="14">
        <v>0</v>
      </c>
      <c r="AN92" s="14">
        <v>23435689.940000001</v>
      </c>
      <c r="AO92" s="14">
        <v>23435689.940000001</v>
      </c>
      <c r="AP92" s="15">
        <f t="shared" si="13"/>
        <v>0</v>
      </c>
      <c r="AQ92" s="14">
        <v>23435689.940000001</v>
      </c>
      <c r="AR92" s="14">
        <v>23435689.940000001</v>
      </c>
      <c r="AS92" s="14">
        <v>0</v>
      </c>
      <c r="AT92" s="14">
        <v>0</v>
      </c>
      <c r="AU92" s="16">
        <f t="shared" si="14"/>
        <v>0</v>
      </c>
      <c r="AV92" s="13" t="str">
        <f t="shared" si="15"/>
        <v>NÃO</v>
      </c>
      <c r="AW92" s="13" t="str">
        <f t="shared" si="16"/>
        <v>OK</v>
      </c>
      <c r="AX92" s="13" t="str">
        <f t="shared" si="17"/>
        <v>OK</v>
      </c>
    </row>
    <row r="93" spans="1:50" x14ac:dyDescent="0.3">
      <c r="A93" s="10" t="s">
        <v>473</v>
      </c>
      <c r="B93" t="s">
        <v>501</v>
      </c>
      <c r="C93" t="s">
        <v>502</v>
      </c>
      <c r="D93" t="s">
        <v>503</v>
      </c>
      <c r="E93" t="s">
        <v>46</v>
      </c>
      <c r="F93" t="s">
        <v>409</v>
      </c>
      <c r="G93" t="s">
        <v>60</v>
      </c>
      <c r="H93" t="s">
        <v>49</v>
      </c>
      <c r="I93" t="s">
        <v>373</v>
      </c>
      <c r="J93" t="s">
        <v>54</v>
      </c>
      <c r="K93" t="s">
        <v>51</v>
      </c>
      <c r="L93" t="s">
        <v>134</v>
      </c>
      <c r="M93">
        <v>112</v>
      </c>
      <c r="N93" s="11" t="str">
        <f t="shared" si="9"/>
        <v>OK</v>
      </c>
      <c r="O93" t="s">
        <v>54</v>
      </c>
      <c r="P93" t="s">
        <v>54</v>
      </c>
      <c r="Q93" t="s">
        <v>54</v>
      </c>
      <c r="R93" t="str">
        <f>VLOOKUP($D93,[1]Rascunho!$E$2:$S$296,15,FALSE)</f>
        <v>https://celgpar.com/AcessoItem.aspx?100</v>
      </c>
      <c r="S93" s="12">
        <v>14179676.77</v>
      </c>
      <c r="T93" s="12">
        <v>24329776.93</v>
      </c>
      <c r="U93" s="13" t="str">
        <f t="shared" si="10"/>
        <v>OK</v>
      </c>
      <c r="V93" s="14">
        <v>71595875.489999995</v>
      </c>
      <c r="W93" s="14">
        <v>39303354.719999999</v>
      </c>
      <c r="X93" t="s">
        <v>51</v>
      </c>
      <c r="Y93" s="14">
        <v>537630.73</v>
      </c>
      <c r="Z93" s="14">
        <v>0</v>
      </c>
      <c r="AA93" s="14">
        <v>0</v>
      </c>
      <c r="AB93" s="14">
        <v>48730589.049999997</v>
      </c>
      <c r="AC93" s="13" t="str">
        <f t="shared" si="11"/>
        <v>OK</v>
      </c>
      <c r="AD93" s="14">
        <v>746070958.35000002</v>
      </c>
      <c r="AE93" s="14">
        <v>0</v>
      </c>
      <c r="AF93" s="14">
        <v>0</v>
      </c>
      <c r="AG93" s="14">
        <v>0</v>
      </c>
      <c r="AH93" s="14">
        <v>0</v>
      </c>
      <c r="AI93" s="13" t="str">
        <f t="shared" si="12"/>
        <v>OK</v>
      </c>
      <c r="AJ93" s="14">
        <v>0</v>
      </c>
      <c r="AK93" s="14">
        <v>0</v>
      </c>
      <c r="AL93" s="14">
        <v>0</v>
      </c>
      <c r="AM93" s="14">
        <v>0</v>
      </c>
      <c r="AN93" s="14">
        <v>77850603</v>
      </c>
      <c r="AO93" s="14">
        <v>79676502</v>
      </c>
      <c r="AP93" s="15">
        <f t="shared" si="13"/>
        <v>1825899</v>
      </c>
      <c r="AQ93" s="14">
        <v>522568747.06999999</v>
      </c>
      <c r="AR93" s="14">
        <v>602350701.85000002</v>
      </c>
      <c r="AS93" s="14">
        <v>0</v>
      </c>
      <c r="AT93" s="14">
        <v>0</v>
      </c>
      <c r="AU93" s="16">
        <f t="shared" si="14"/>
        <v>79781954.780000031</v>
      </c>
      <c r="AV93" s="13" t="str">
        <f t="shared" si="15"/>
        <v>SIM</v>
      </c>
      <c r="AW93" s="13" t="str">
        <f t="shared" si="16"/>
        <v>OK</v>
      </c>
      <c r="AX93" s="13" t="str">
        <f t="shared" si="17"/>
        <v>OK</v>
      </c>
    </row>
    <row r="94" spans="1:50" x14ac:dyDescent="0.3">
      <c r="A94" s="10" t="s">
        <v>473</v>
      </c>
      <c r="B94" t="s">
        <v>510</v>
      </c>
      <c r="C94" t="s">
        <v>511</v>
      </c>
      <c r="D94" t="s">
        <v>512</v>
      </c>
      <c r="E94" t="s">
        <v>46</v>
      </c>
      <c r="F94" t="s">
        <v>65</v>
      </c>
      <c r="G94" t="s">
        <v>60</v>
      </c>
      <c r="H94" t="s">
        <v>49</v>
      </c>
      <c r="I94" t="s">
        <v>50</v>
      </c>
      <c r="J94" t="s">
        <v>51</v>
      </c>
      <c r="K94" t="s">
        <v>54</v>
      </c>
      <c r="L94" t="s">
        <v>134</v>
      </c>
      <c r="M94">
        <v>386</v>
      </c>
      <c r="N94" s="11" t="str">
        <f t="shared" si="9"/>
        <v>OK</v>
      </c>
      <c r="O94" t="s">
        <v>54</v>
      </c>
      <c r="P94" t="s">
        <v>54</v>
      </c>
      <c r="Q94" t="s">
        <v>54</v>
      </c>
      <c r="R94" t="str">
        <f>VLOOKUP($D94,[1]Rascunho!$E$2:$S$296,15,FALSE)</f>
        <v>https://www.codego.com.br/acesso-a-informacao/carta-anual-de-politicas-publicas-e-governanca-corporativa/</v>
      </c>
      <c r="S94" s="12">
        <v>59441812</v>
      </c>
      <c r="T94" s="12">
        <v>44521854</v>
      </c>
      <c r="U94" s="13" t="str">
        <f t="shared" si="10"/>
        <v>OK</v>
      </c>
      <c r="V94" s="14">
        <v>65331485</v>
      </c>
      <c r="W94" s="14">
        <v>0</v>
      </c>
      <c r="X94" t="s">
        <v>51</v>
      </c>
      <c r="Y94" s="14">
        <v>256419.57</v>
      </c>
      <c r="Z94" s="14">
        <v>0</v>
      </c>
      <c r="AA94" s="14">
        <v>17290</v>
      </c>
      <c r="AB94" s="14">
        <v>4153718</v>
      </c>
      <c r="AC94" s="13" t="str">
        <f t="shared" si="11"/>
        <v>OK</v>
      </c>
      <c r="AD94" s="14">
        <v>335095483</v>
      </c>
      <c r="AE94" s="14">
        <v>0</v>
      </c>
      <c r="AF94" s="14">
        <v>0</v>
      </c>
      <c r="AG94" s="14">
        <v>0</v>
      </c>
      <c r="AH94" s="14">
        <v>0</v>
      </c>
      <c r="AI94" s="13" t="str">
        <f t="shared" si="12"/>
        <v>OK</v>
      </c>
      <c r="AJ94" s="14">
        <v>0</v>
      </c>
      <c r="AK94" s="14">
        <v>0</v>
      </c>
      <c r="AL94" s="14">
        <v>0</v>
      </c>
      <c r="AM94" s="14">
        <v>0</v>
      </c>
      <c r="AN94" s="14">
        <v>291333390</v>
      </c>
      <c r="AO94" s="14">
        <v>285854692</v>
      </c>
      <c r="AP94" s="15">
        <f t="shared" si="13"/>
        <v>-5478698</v>
      </c>
      <c r="AQ94" s="14">
        <v>420447038.10000002</v>
      </c>
      <c r="AR94" s="14">
        <v>420447038.10000002</v>
      </c>
      <c r="AS94" s="14">
        <v>0</v>
      </c>
      <c r="AT94" s="14">
        <v>0</v>
      </c>
      <c r="AU94" s="16">
        <f t="shared" si="14"/>
        <v>0</v>
      </c>
      <c r="AV94" s="13" t="str">
        <f t="shared" si="15"/>
        <v>NÃO</v>
      </c>
      <c r="AW94" s="13" t="str">
        <f t="shared" si="16"/>
        <v>OK</v>
      </c>
      <c r="AX94" s="13" t="str">
        <f t="shared" si="17"/>
        <v>OK</v>
      </c>
    </row>
    <row r="95" spans="1:50" x14ac:dyDescent="0.3">
      <c r="A95" s="10" t="s">
        <v>473</v>
      </c>
      <c r="B95" t="s">
        <v>1438</v>
      </c>
      <c r="C95" t="s">
        <v>516</v>
      </c>
      <c r="D95" t="s">
        <v>517</v>
      </c>
      <c r="E95" t="s">
        <v>46</v>
      </c>
      <c r="F95" t="s">
        <v>409</v>
      </c>
      <c r="G95" t="s">
        <v>60</v>
      </c>
      <c r="H95" t="s">
        <v>49</v>
      </c>
      <c r="I95" t="s">
        <v>50</v>
      </c>
      <c r="J95" t="s">
        <v>51</v>
      </c>
      <c r="K95" t="s">
        <v>54</v>
      </c>
      <c r="L95" t="s">
        <v>134</v>
      </c>
      <c r="M95">
        <v>7</v>
      </c>
      <c r="N95" s="11" t="str">
        <f t="shared" si="9"/>
        <v>OK</v>
      </c>
      <c r="O95" t="s">
        <v>51</v>
      </c>
      <c r="P95" t="s">
        <v>54</v>
      </c>
      <c r="Q95" t="s">
        <v>51</v>
      </c>
      <c r="R95" t="str">
        <f>VLOOKUP($D95,[1]Rascunho!$E$2:$S$296,15,FALSE)</f>
        <v>https://ri.celgpar.com/BuscaPagina.aspx?ID={41799EC4-9CB4-4F81-BC75-64087B8BE678}</v>
      </c>
      <c r="S95" s="12">
        <v>10767731.300000001</v>
      </c>
      <c r="T95" s="12">
        <v>162508.10999999999</v>
      </c>
      <c r="U95" s="13" t="str">
        <f t="shared" si="10"/>
        <v>OK</v>
      </c>
      <c r="V95" s="14">
        <v>3030337.75</v>
      </c>
      <c r="W95" s="14">
        <v>30000</v>
      </c>
      <c r="X95" t="s">
        <v>51</v>
      </c>
      <c r="Y95" s="14">
        <v>11960.09</v>
      </c>
      <c r="Z95" s="14">
        <v>0</v>
      </c>
      <c r="AA95" s="14">
        <v>0</v>
      </c>
      <c r="AB95" s="14">
        <v>6339054.4000000004</v>
      </c>
      <c r="AC95" s="13" t="str">
        <f t="shared" si="11"/>
        <v>OK</v>
      </c>
      <c r="AD95" s="14">
        <v>72701166.420000002</v>
      </c>
      <c r="AE95" s="14">
        <v>0</v>
      </c>
      <c r="AF95" s="14">
        <v>0</v>
      </c>
      <c r="AG95" s="14">
        <v>0</v>
      </c>
      <c r="AH95" s="14">
        <v>0</v>
      </c>
      <c r="AI95" s="13" t="str">
        <f t="shared" si="12"/>
        <v>OK</v>
      </c>
      <c r="AJ95" s="14">
        <v>0</v>
      </c>
      <c r="AK95" s="14">
        <v>0</v>
      </c>
      <c r="AL95" s="14">
        <v>0</v>
      </c>
      <c r="AM95" s="14">
        <v>0</v>
      </c>
      <c r="AN95" s="14">
        <v>34696000</v>
      </c>
      <c r="AO95" s="14">
        <v>34696000</v>
      </c>
      <c r="AP95" s="15">
        <f t="shared" si="13"/>
        <v>0</v>
      </c>
      <c r="AQ95" s="14">
        <v>34696000</v>
      </c>
      <c r="AR95" s="14">
        <v>34696000</v>
      </c>
      <c r="AS95" s="14">
        <v>0</v>
      </c>
      <c r="AT95" s="14">
        <v>0</v>
      </c>
      <c r="AU95" s="16">
        <f t="shared" si="14"/>
        <v>0</v>
      </c>
      <c r="AV95" s="13" t="str">
        <f t="shared" si="15"/>
        <v>NÃO</v>
      </c>
      <c r="AW95" s="13" t="str">
        <f t="shared" si="16"/>
        <v>OK</v>
      </c>
      <c r="AX95" s="13" t="str">
        <f t="shared" si="17"/>
        <v>OK</v>
      </c>
    </row>
    <row r="96" spans="1:50" x14ac:dyDescent="0.3">
      <c r="A96" s="10" t="s">
        <v>473</v>
      </c>
      <c r="B96" t="s">
        <v>1439</v>
      </c>
      <c r="C96" t="s">
        <v>480</v>
      </c>
      <c r="D96" t="s">
        <v>481</v>
      </c>
      <c r="E96" t="s">
        <v>46</v>
      </c>
      <c r="F96" t="s">
        <v>47</v>
      </c>
      <c r="G96" t="s">
        <v>60</v>
      </c>
      <c r="H96" t="s">
        <v>49</v>
      </c>
      <c r="I96" t="s">
        <v>50</v>
      </c>
      <c r="J96" t="s">
        <v>51</v>
      </c>
      <c r="K96" t="s">
        <v>51</v>
      </c>
      <c r="L96" t="s">
        <v>52</v>
      </c>
      <c r="M96">
        <v>30</v>
      </c>
      <c r="N96" s="11" t="str">
        <f t="shared" si="9"/>
        <v>OK</v>
      </c>
      <c r="O96" t="s">
        <v>54</v>
      </c>
      <c r="P96" t="s">
        <v>54</v>
      </c>
      <c r="Q96" t="s">
        <v>54</v>
      </c>
      <c r="R96" t="str">
        <f>VLOOKUP($D96,[1]Rascunho!$E$2:$S$296,15,FALSE)</f>
        <v>https://goias.gov.br/goiastelecom/carta-anual-de-governanca/</v>
      </c>
      <c r="S96" s="12">
        <v>765987.17</v>
      </c>
      <c r="T96" s="12">
        <v>4038675.44</v>
      </c>
      <c r="U96" s="13" t="str">
        <f t="shared" si="10"/>
        <v>OK</v>
      </c>
      <c r="V96" s="14">
        <v>4916417.2699999996</v>
      </c>
      <c r="W96" s="14">
        <v>37531.82</v>
      </c>
      <c r="X96" t="s">
        <v>51</v>
      </c>
      <c r="Y96" s="14">
        <v>528928.59</v>
      </c>
      <c r="Z96" s="14">
        <v>0</v>
      </c>
      <c r="AA96" s="14">
        <v>4000</v>
      </c>
      <c r="AB96" s="14">
        <v>413333.92</v>
      </c>
      <c r="AC96" s="13" t="str">
        <f t="shared" si="11"/>
        <v>OK</v>
      </c>
      <c r="AD96" s="14">
        <v>648911.43000000005</v>
      </c>
      <c r="AE96" s="14">
        <v>1</v>
      </c>
      <c r="AF96" s="14">
        <v>0</v>
      </c>
      <c r="AG96" s="14">
        <v>3564133.34</v>
      </c>
      <c r="AH96" s="14">
        <v>4558969.2</v>
      </c>
      <c r="AI96" s="13" t="str">
        <f t="shared" si="12"/>
        <v>OK</v>
      </c>
      <c r="AJ96" s="14">
        <v>0</v>
      </c>
      <c r="AK96" s="14">
        <v>0</v>
      </c>
      <c r="AL96" s="14">
        <v>0</v>
      </c>
      <c r="AM96" s="14">
        <v>0</v>
      </c>
      <c r="AN96" s="14">
        <v>9000000</v>
      </c>
      <c r="AO96" s="14">
        <v>9000000</v>
      </c>
      <c r="AP96" s="15">
        <f t="shared" si="13"/>
        <v>0</v>
      </c>
      <c r="AQ96" s="14">
        <v>8999950</v>
      </c>
      <c r="AR96" s="14">
        <v>9000000</v>
      </c>
      <c r="AS96" s="14">
        <v>50</v>
      </c>
      <c r="AT96" s="14">
        <v>0</v>
      </c>
      <c r="AU96" s="16">
        <f t="shared" si="14"/>
        <v>50</v>
      </c>
      <c r="AV96" s="13" t="str">
        <f t="shared" si="15"/>
        <v>SIM</v>
      </c>
      <c r="AW96" s="13" t="str">
        <f t="shared" si="16"/>
        <v>OK</v>
      </c>
      <c r="AX96" s="13" t="str">
        <f t="shared" si="17"/>
        <v>OK</v>
      </c>
    </row>
    <row r="97" spans="1:50" x14ac:dyDescent="0.3">
      <c r="A97" s="10" t="s">
        <v>473</v>
      </c>
      <c r="B97" t="s">
        <v>519</v>
      </c>
      <c r="C97" t="s">
        <v>520</v>
      </c>
      <c r="D97" t="s">
        <v>521</v>
      </c>
      <c r="E97" t="s">
        <v>46</v>
      </c>
      <c r="F97" t="s">
        <v>71</v>
      </c>
      <c r="G97" t="s">
        <v>60</v>
      </c>
      <c r="H97" t="s">
        <v>49</v>
      </c>
      <c r="I97" t="s">
        <v>50</v>
      </c>
      <c r="J97" t="s">
        <v>51</v>
      </c>
      <c r="K97" t="s">
        <v>51</v>
      </c>
      <c r="L97" t="s">
        <v>134</v>
      </c>
      <c r="M97">
        <v>127</v>
      </c>
      <c r="N97" s="11" t="str">
        <f t="shared" si="9"/>
        <v>OK</v>
      </c>
      <c r="O97" t="s">
        <v>54</v>
      </c>
      <c r="P97" t="s">
        <v>54</v>
      </c>
      <c r="Q97" t="s">
        <v>51</v>
      </c>
      <c r="R97" t="str">
        <f>VLOOKUP($D97,[1]Rascunho!$E$2:$S$296,15,FALSE)</f>
        <v>https://www.goiasfomento.com/acesso-a-informacao/carta-anual-de-governanca-corporativa/</v>
      </c>
      <c r="S97" s="12">
        <v>75204371.150000006</v>
      </c>
      <c r="T97" s="12">
        <v>31914271.359999999</v>
      </c>
      <c r="U97" s="13" t="str">
        <f t="shared" si="10"/>
        <v>OK</v>
      </c>
      <c r="V97" s="14">
        <v>71119074.75</v>
      </c>
      <c r="W97" s="14">
        <v>0</v>
      </c>
      <c r="X97" t="s">
        <v>54</v>
      </c>
      <c r="Y97" s="14">
        <v>386609.94</v>
      </c>
      <c r="Z97" s="14">
        <v>6031.67</v>
      </c>
      <c r="AA97" s="14">
        <v>0</v>
      </c>
      <c r="AB97" s="14">
        <v>4085296.4</v>
      </c>
      <c r="AC97" s="13" t="str">
        <f t="shared" si="11"/>
        <v>OK</v>
      </c>
      <c r="AD97" s="14">
        <v>197979414.77000001</v>
      </c>
      <c r="AE97" s="14">
        <v>197979414.77000001</v>
      </c>
      <c r="AF97" s="14">
        <v>0</v>
      </c>
      <c r="AG97" s="14">
        <v>0</v>
      </c>
      <c r="AH97" s="14">
        <v>0</v>
      </c>
      <c r="AI97" s="13" t="str">
        <f t="shared" si="12"/>
        <v>OK</v>
      </c>
      <c r="AJ97" s="14">
        <v>0</v>
      </c>
      <c r="AK97" s="14">
        <v>0</v>
      </c>
      <c r="AL97" s="14">
        <v>0</v>
      </c>
      <c r="AM97" s="14">
        <v>0</v>
      </c>
      <c r="AN97" s="14">
        <v>186394380</v>
      </c>
      <c r="AO97" s="14">
        <v>186394380</v>
      </c>
      <c r="AP97" s="15">
        <f t="shared" si="13"/>
        <v>0</v>
      </c>
      <c r="AQ97" s="14">
        <v>186394379.58000001</v>
      </c>
      <c r="AR97" s="14">
        <v>186394379.58000001</v>
      </c>
      <c r="AS97" s="14">
        <v>0</v>
      </c>
      <c r="AT97" s="14">
        <v>3199176.39</v>
      </c>
      <c r="AU97" s="16">
        <f t="shared" si="14"/>
        <v>3199176.39</v>
      </c>
      <c r="AV97" s="13" t="str">
        <f t="shared" si="15"/>
        <v>SIM</v>
      </c>
      <c r="AW97" s="13" t="str">
        <f t="shared" si="16"/>
        <v>OK</v>
      </c>
      <c r="AX97" s="13" t="str">
        <f t="shared" si="17"/>
        <v>OK</v>
      </c>
    </row>
    <row r="98" spans="1:50" x14ac:dyDescent="0.3">
      <c r="A98" s="10" t="s">
        <v>473</v>
      </c>
      <c r="B98" t="s">
        <v>524</v>
      </c>
      <c r="C98" t="s">
        <v>525</v>
      </c>
      <c r="D98" t="s">
        <v>526</v>
      </c>
      <c r="E98" t="s">
        <v>46</v>
      </c>
      <c r="F98" t="s">
        <v>139</v>
      </c>
      <c r="G98" t="s">
        <v>60</v>
      </c>
      <c r="H98" t="s">
        <v>49</v>
      </c>
      <c r="I98" t="s">
        <v>50</v>
      </c>
      <c r="J98" t="s">
        <v>51</v>
      </c>
      <c r="K98" t="s">
        <v>51</v>
      </c>
      <c r="L98" t="s">
        <v>134</v>
      </c>
      <c r="M98">
        <v>10</v>
      </c>
      <c r="N98" s="11" t="str">
        <f t="shared" si="9"/>
        <v>OK</v>
      </c>
      <c r="O98" t="s">
        <v>54</v>
      </c>
      <c r="P98" t="s">
        <v>54</v>
      </c>
      <c r="Q98" t="s">
        <v>51</v>
      </c>
      <c r="R98" t="str">
        <f>VLOOKUP($D98,[1]Rascunho!$E$2:$S$296,15,FALSE)</f>
        <v>https://www.goiasgas.com.br/acesso-a-informacao/governanca/carta-anual-de-governanca</v>
      </c>
      <c r="S98" s="12">
        <v>0</v>
      </c>
      <c r="T98" s="12">
        <v>511941.8</v>
      </c>
      <c r="U98" s="13" t="str">
        <f t="shared" si="10"/>
        <v>OK</v>
      </c>
      <c r="V98" s="14">
        <v>882531.03</v>
      </c>
      <c r="W98" s="14">
        <v>1876.1</v>
      </c>
      <c r="X98" t="s">
        <v>51</v>
      </c>
      <c r="Y98" s="14">
        <v>201435.68</v>
      </c>
      <c r="Z98" s="14">
        <v>0</v>
      </c>
      <c r="AA98" s="14">
        <v>21120</v>
      </c>
      <c r="AB98" s="14">
        <v>-880774.49</v>
      </c>
      <c r="AC98" s="13" t="str">
        <f t="shared" si="11"/>
        <v>OK</v>
      </c>
      <c r="AD98" s="14">
        <v>380206.17</v>
      </c>
      <c r="AE98" s="14">
        <v>0</v>
      </c>
      <c r="AF98" s="14">
        <v>0</v>
      </c>
      <c r="AG98" s="14">
        <v>0</v>
      </c>
      <c r="AH98" s="14">
        <v>0</v>
      </c>
      <c r="AI98" s="13" t="str">
        <f t="shared" si="12"/>
        <v>OK</v>
      </c>
      <c r="AJ98" s="14">
        <v>0</v>
      </c>
      <c r="AK98" s="14">
        <v>0</v>
      </c>
      <c r="AL98" s="14">
        <v>0</v>
      </c>
      <c r="AM98" s="14">
        <v>0</v>
      </c>
      <c r="AN98" s="14">
        <v>1511301</v>
      </c>
      <c r="AO98" s="14">
        <v>1511301</v>
      </c>
      <c r="AP98" s="15">
        <f t="shared" si="13"/>
        <v>0</v>
      </c>
      <c r="AQ98" s="14">
        <v>1256301</v>
      </c>
      <c r="AR98" s="14">
        <v>8870000</v>
      </c>
      <c r="AS98" s="14">
        <v>0</v>
      </c>
      <c r="AT98" s="14">
        <v>0</v>
      </c>
      <c r="AU98" s="16">
        <f t="shared" si="14"/>
        <v>7613699</v>
      </c>
      <c r="AV98" s="13" t="str">
        <f t="shared" si="15"/>
        <v>SIM</v>
      </c>
      <c r="AW98" s="13" t="str">
        <f t="shared" si="16"/>
        <v>OK</v>
      </c>
      <c r="AX98" s="13" t="str">
        <f t="shared" si="17"/>
        <v>OK</v>
      </c>
    </row>
    <row r="99" spans="1:50" x14ac:dyDescent="0.3">
      <c r="A99" s="10" t="s">
        <v>473</v>
      </c>
      <c r="B99" t="s">
        <v>528</v>
      </c>
      <c r="C99" t="s">
        <v>529</v>
      </c>
      <c r="D99" t="s">
        <v>530</v>
      </c>
      <c r="E99" t="s">
        <v>46</v>
      </c>
      <c r="F99" t="s">
        <v>133</v>
      </c>
      <c r="G99" t="s">
        <v>60</v>
      </c>
      <c r="H99" t="s">
        <v>49</v>
      </c>
      <c r="I99" t="s">
        <v>50</v>
      </c>
      <c r="J99" t="s">
        <v>51</v>
      </c>
      <c r="K99" t="s">
        <v>51</v>
      </c>
      <c r="L99" t="s">
        <v>134</v>
      </c>
      <c r="M99">
        <v>53</v>
      </c>
      <c r="N99" s="11" t="str">
        <f t="shared" si="9"/>
        <v>OK</v>
      </c>
      <c r="O99" t="s">
        <v>54</v>
      </c>
      <c r="P99" t="s">
        <v>54</v>
      </c>
      <c r="Q99" t="s">
        <v>54</v>
      </c>
      <c r="R99" t="str">
        <f>VLOOKUP($D99,[1]Rascunho!$E$2:$S$296,15,FALSE)</f>
        <v>https://goias.gov.br/goiasparcerias/carta-anual-de-governanca-corporativa/</v>
      </c>
      <c r="S99" s="12">
        <v>7775799.1600000001</v>
      </c>
      <c r="T99" s="12">
        <v>9650526.3900000006</v>
      </c>
      <c r="U99" s="13" t="str">
        <f t="shared" si="10"/>
        <v>OK</v>
      </c>
      <c r="V99" s="14">
        <v>10322904.32</v>
      </c>
      <c r="W99" s="14">
        <v>0</v>
      </c>
      <c r="X99" t="s">
        <v>51</v>
      </c>
      <c r="Y99" s="14">
        <v>348667</v>
      </c>
      <c r="Z99" s="14">
        <v>117648</v>
      </c>
      <c r="AA99" s="14">
        <v>0</v>
      </c>
      <c r="AB99" s="14">
        <v>-2547105.16</v>
      </c>
      <c r="AC99" s="13" t="str">
        <f t="shared" si="11"/>
        <v>OK</v>
      </c>
      <c r="AD99" s="14">
        <v>225098317.00999999</v>
      </c>
      <c r="AE99" s="14">
        <v>0</v>
      </c>
      <c r="AF99" s="14">
        <v>0</v>
      </c>
      <c r="AG99" s="14">
        <v>0</v>
      </c>
      <c r="AH99" s="14">
        <v>0</v>
      </c>
      <c r="AI99" s="13" t="str">
        <f t="shared" si="12"/>
        <v>OK</v>
      </c>
      <c r="AJ99" s="14">
        <v>0</v>
      </c>
      <c r="AK99" s="14">
        <v>0</v>
      </c>
      <c r="AL99" s="14">
        <v>0</v>
      </c>
      <c r="AM99" s="14">
        <v>0</v>
      </c>
      <c r="AN99" s="14">
        <v>388343079.02999997</v>
      </c>
      <c r="AO99" s="14">
        <v>388343079.02999997</v>
      </c>
      <c r="AP99" s="15">
        <f t="shared" si="13"/>
        <v>0</v>
      </c>
      <c r="AQ99" s="14">
        <v>347607531.64999998</v>
      </c>
      <c r="AR99" s="14">
        <v>347607531.64999998</v>
      </c>
      <c r="AS99" s="14">
        <v>40735547.380000003</v>
      </c>
      <c r="AT99" s="14">
        <v>40735547.380000003</v>
      </c>
      <c r="AU99" s="16">
        <f t="shared" si="14"/>
        <v>40735547.380000003</v>
      </c>
      <c r="AV99" s="13" t="str">
        <f t="shared" si="15"/>
        <v>SIM</v>
      </c>
      <c r="AW99" s="13" t="str">
        <f t="shared" si="16"/>
        <v>OK</v>
      </c>
      <c r="AX99" s="13" t="str">
        <f t="shared" si="17"/>
        <v>OK</v>
      </c>
    </row>
    <row r="100" spans="1:50" x14ac:dyDescent="0.3">
      <c r="A100" s="10" t="s">
        <v>473</v>
      </c>
      <c r="B100" t="s">
        <v>484</v>
      </c>
      <c r="C100" t="s">
        <v>485</v>
      </c>
      <c r="D100" t="s">
        <v>486</v>
      </c>
      <c r="E100" t="s">
        <v>46</v>
      </c>
      <c r="F100" t="s">
        <v>121</v>
      </c>
      <c r="G100" t="s">
        <v>60</v>
      </c>
      <c r="H100" t="s">
        <v>49</v>
      </c>
      <c r="I100" t="s">
        <v>50</v>
      </c>
      <c r="J100" t="s">
        <v>51</v>
      </c>
      <c r="K100" t="s">
        <v>51</v>
      </c>
      <c r="L100" t="s">
        <v>52</v>
      </c>
      <c r="M100">
        <v>244</v>
      </c>
      <c r="N100" s="11" t="str">
        <f t="shared" si="9"/>
        <v>OK</v>
      </c>
      <c r="O100" t="s">
        <v>54</v>
      </c>
      <c r="P100" t="s">
        <v>54</v>
      </c>
      <c r="Q100" t="s">
        <v>54</v>
      </c>
      <c r="R100" t="str">
        <f>VLOOKUP($D100,[1]Rascunho!$E$2:$S$296,15,FALSE)</f>
        <v>https://goias.gov.br/iquego/carta-anual-de-governanca-corporativa-2/</v>
      </c>
      <c r="S100" s="12">
        <v>5888264.9000000004</v>
      </c>
      <c r="T100" s="12">
        <v>17912425.129999999</v>
      </c>
      <c r="U100" s="13" t="str">
        <f t="shared" si="10"/>
        <v>OK</v>
      </c>
      <c r="V100" s="14">
        <v>65618678.039999999</v>
      </c>
      <c r="W100" s="14">
        <v>689095.62</v>
      </c>
      <c r="X100" t="s">
        <v>51</v>
      </c>
      <c r="Y100" s="14">
        <v>376847.48</v>
      </c>
      <c r="Z100" s="14">
        <v>0</v>
      </c>
      <c r="AA100" s="14">
        <v>4890234.09</v>
      </c>
      <c r="AB100" s="14">
        <v>-9891446.1899999995</v>
      </c>
      <c r="AC100" s="13" t="str">
        <f t="shared" si="11"/>
        <v>OK</v>
      </c>
      <c r="AD100" s="14">
        <v>-32098452.780000001</v>
      </c>
      <c r="AE100" s="14">
        <v>0</v>
      </c>
      <c r="AF100" s="14">
        <v>0</v>
      </c>
      <c r="AG100" s="14">
        <v>14493490.050000001</v>
      </c>
      <c r="AH100" s="14">
        <v>27650145.390000001</v>
      </c>
      <c r="AI100" s="13" t="str">
        <f t="shared" si="12"/>
        <v>OK</v>
      </c>
      <c r="AJ100" s="14">
        <v>0</v>
      </c>
      <c r="AK100" s="14">
        <v>0</v>
      </c>
      <c r="AL100" s="14">
        <v>0</v>
      </c>
      <c r="AM100" s="14">
        <v>0</v>
      </c>
      <c r="AN100" s="14">
        <v>239994409</v>
      </c>
      <c r="AO100" s="14">
        <v>239994409</v>
      </c>
      <c r="AP100" s="15">
        <f t="shared" si="13"/>
        <v>0</v>
      </c>
      <c r="AQ100" s="14">
        <v>240000000</v>
      </c>
      <c r="AR100" s="14">
        <v>240000000</v>
      </c>
      <c r="AS100" s="14">
        <v>16516253.32</v>
      </c>
      <c r="AT100" s="14">
        <v>16516253.32</v>
      </c>
      <c r="AU100" s="16">
        <f t="shared" si="14"/>
        <v>16516253.32</v>
      </c>
      <c r="AV100" s="13" t="str">
        <f t="shared" si="15"/>
        <v>SIM</v>
      </c>
      <c r="AW100" s="13" t="str">
        <f t="shared" si="16"/>
        <v>OK</v>
      </c>
      <c r="AX100" s="13" t="str">
        <f t="shared" si="17"/>
        <v>OK</v>
      </c>
    </row>
    <row r="101" spans="1:50" x14ac:dyDescent="0.3">
      <c r="A101" s="10" t="s">
        <v>473</v>
      </c>
      <c r="B101" t="s">
        <v>1440</v>
      </c>
      <c r="C101" t="s">
        <v>534</v>
      </c>
      <c r="D101" t="s">
        <v>535</v>
      </c>
      <c r="E101" t="s">
        <v>46</v>
      </c>
      <c r="F101" t="s">
        <v>409</v>
      </c>
      <c r="G101" t="s">
        <v>60</v>
      </c>
      <c r="H101" t="s">
        <v>49</v>
      </c>
      <c r="I101" t="s">
        <v>50</v>
      </c>
      <c r="J101" t="s">
        <v>51</v>
      </c>
      <c r="K101" t="s">
        <v>51</v>
      </c>
      <c r="L101" t="s">
        <v>134</v>
      </c>
      <c r="M101">
        <v>6</v>
      </c>
      <c r="N101" s="11" t="str">
        <f t="shared" si="9"/>
        <v>OK</v>
      </c>
      <c r="O101" t="s">
        <v>54</v>
      </c>
      <c r="P101" t="s">
        <v>54</v>
      </c>
      <c r="Q101" t="s">
        <v>51</v>
      </c>
      <c r="R101" t="str">
        <f>VLOOKUP($D101,[1]Rascunho!$E$2:$S$296,15,FALSE)</f>
        <v>https://laztrans.com.br/AcessoItem.aspx?39</v>
      </c>
      <c r="S101" s="12">
        <v>5488652.1699999999</v>
      </c>
      <c r="T101" s="12">
        <v>989824.32</v>
      </c>
      <c r="U101" s="13" t="str">
        <f t="shared" si="10"/>
        <v>OK</v>
      </c>
      <c r="V101" s="14">
        <v>3534851.84</v>
      </c>
      <c r="W101" s="14">
        <v>936460</v>
      </c>
      <c r="X101" t="s">
        <v>51</v>
      </c>
      <c r="Y101" s="14">
        <v>237486.86</v>
      </c>
      <c r="Z101" s="14">
        <v>0</v>
      </c>
      <c r="AA101" s="14">
        <v>0</v>
      </c>
      <c r="AB101" s="14">
        <v>1893100.41</v>
      </c>
      <c r="AC101" s="13" t="str">
        <f t="shared" si="11"/>
        <v>OK</v>
      </c>
      <c r="AD101" s="14">
        <v>50056381.759999998</v>
      </c>
      <c r="AE101" s="14">
        <v>0</v>
      </c>
      <c r="AF101" s="14">
        <v>0</v>
      </c>
      <c r="AG101" s="14">
        <v>0</v>
      </c>
      <c r="AH101" s="14">
        <v>0</v>
      </c>
      <c r="AI101" s="13" t="str">
        <f t="shared" si="12"/>
        <v>OK</v>
      </c>
      <c r="AJ101" s="14">
        <v>0</v>
      </c>
      <c r="AK101" s="14">
        <v>0</v>
      </c>
      <c r="AL101" s="14">
        <v>0</v>
      </c>
      <c r="AM101" s="14">
        <v>0</v>
      </c>
      <c r="AN101" s="14">
        <v>35156000</v>
      </c>
      <c r="AO101" s="14">
        <v>35156000</v>
      </c>
      <c r="AP101" s="15">
        <f t="shared" si="13"/>
        <v>0</v>
      </c>
      <c r="AQ101" s="14">
        <v>35156000</v>
      </c>
      <c r="AR101" s="14">
        <v>35156000</v>
      </c>
      <c r="AS101" s="14">
        <v>0</v>
      </c>
      <c r="AT101" s="14">
        <v>0</v>
      </c>
      <c r="AU101" s="16">
        <f t="shared" si="14"/>
        <v>0</v>
      </c>
      <c r="AV101" s="13" t="str">
        <f t="shared" si="15"/>
        <v>NÃO</v>
      </c>
      <c r="AW101" s="13" t="str">
        <f t="shared" si="16"/>
        <v>OK</v>
      </c>
      <c r="AX101" s="13" t="str">
        <f t="shared" si="17"/>
        <v>OK</v>
      </c>
    </row>
    <row r="102" spans="1:50" x14ac:dyDescent="0.3">
      <c r="A102" s="10" t="s">
        <v>473</v>
      </c>
      <c r="B102" t="s">
        <v>488</v>
      </c>
      <c r="C102" t="s">
        <v>489</v>
      </c>
      <c r="D102" t="s">
        <v>490</v>
      </c>
      <c r="E102" t="s">
        <v>46</v>
      </c>
      <c r="F102" t="s">
        <v>240</v>
      </c>
      <c r="G102" t="s">
        <v>60</v>
      </c>
      <c r="H102" t="s">
        <v>49</v>
      </c>
      <c r="I102" t="s">
        <v>50</v>
      </c>
      <c r="J102" t="s">
        <v>51</v>
      </c>
      <c r="K102" t="s">
        <v>51</v>
      </c>
      <c r="L102" t="s">
        <v>52</v>
      </c>
      <c r="M102">
        <v>682</v>
      </c>
      <c r="N102" s="11" t="str">
        <f t="shared" si="9"/>
        <v>OK</v>
      </c>
      <c r="O102" t="s">
        <v>54</v>
      </c>
      <c r="P102" t="s">
        <v>54</v>
      </c>
      <c r="Q102" t="s">
        <v>51</v>
      </c>
      <c r="R102" t="str">
        <f>VLOOKUP($D102,[1]Rascunho!$E$2:$S$296,15,FALSE)</f>
        <v>https://goias.gov.br/metrobus/carta-anual-de-governanca-corporativa/</v>
      </c>
      <c r="S102" s="12">
        <v>58968001.469999999</v>
      </c>
      <c r="T102" s="12">
        <v>44644562.909999996</v>
      </c>
      <c r="U102" s="13" t="str">
        <f t="shared" si="10"/>
        <v>OK</v>
      </c>
      <c r="V102" s="14">
        <v>69273887.969999999</v>
      </c>
      <c r="W102" s="14">
        <v>0</v>
      </c>
      <c r="X102" t="s">
        <v>51</v>
      </c>
      <c r="Y102" s="14">
        <v>419455.36</v>
      </c>
      <c r="Z102" s="14">
        <v>0</v>
      </c>
      <c r="AA102" s="14">
        <v>0</v>
      </c>
      <c r="AB102" s="14">
        <v>7755375.9000000004</v>
      </c>
      <c r="AC102" s="13" t="str">
        <f t="shared" si="11"/>
        <v>OK</v>
      </c>
      <c r="AD102" s="14">
        <v>10722252.59</v>
      </c>
      <c r="AE102" s="14">
        <v>10722252.59</v>
      </c>
      <c r="AF102" s="14">
        <v>0</v>
      </c>
      <c r="AG102" s="14">
        <v>38064605.32</v>
      </c>
      <c r="AH102" s="14">
        <v>23951018.329999998</v>
      </c>
      <c r="AI102" s="13" t="str">
        <f t="shared" si="12"/>
        <v>OK</v>
      </c>
      <c r="AJ102" s="14">
        <v>0</v>
      </c>
      <c r="AK102" s="14">
        <v>0</v>
      </c>
      <c r="AL102" s="14">
        <v>0</v>
      </c>
      <c r="AM102" s="14">
        <v>0</v>
      </c>
      <c r="AN102" s="14">
        <v>221702474.55000001</v>
      </c>
      <c r="AO102" s="14">
        <v>221702474.55000001</v>
      </c>
      <c r="AP102" s="15">
        <f t="shared" si="13"/>
        <v>0</v>
      </c>
      <c r="AQ102" s="14">
        <v>221702474.55000001</v>
      </c>
      <c r="AR102" s="14">
        <v>221702474.55000001</v>
      </c>
      <c r="AS102" s="14">
        <v>0</v>
      </c>
      <c r="AT102" s="14">
        <v>0</v>
      </c>
      <c r="AU102" s="16">
        <f t="shared" si="14"/>
        <v>0</v>
      </c>
      <c r="AV102" s="13" t="str">
        <f t="shared" si="15"/>
        <v>NÃO</v>
      </c>
      <c r="AW102" s="13" t="str">
        <f t="shared" si="16"/>
        <v>OK</v>
      </c>
      <c r="AX102" s="13" t="str">
        <f t="shared" si="17"/>
        <v>OK</v>
      </c>
    </row>
    <row r="103" spans="1:50" ht="43.2" x14ac:dyDescent="0.3">
      <c r="A103" s="10" t="s">
        <v>473</v>
      </c>
      <c r="B103" t="s">
        <v>537</v>
      </c>
      <c r="C103" t="s">
        <v>538</v>
      </c>
      <c r="D103" t="s">
        <v>539</v>
      </c>
      <c r="E103" t="s">
        <v>70</v>
      </c>
      <c r="F103" s="6" t="s">
        <v>47</v>
      </c>
      <c r="G103" t="s">
        <v>48</v>
      </c>
      <c r="H103" t="s">
        <v>76</v>
      </c>
      <c r="I103" t="s">
        <v>50</v>
      </c>
      <c r="J103" t="s">
        <v>51</v>
      </c>
      <c r="K103" t="s">
        <v>51</v>
      </c>
      <c r="L103" t="s">
        <v>134</v>
      </c>
      <c r="M103">
        <v>14</v>
      </c>
      <c r="N103" s="11" t="str">
        <f t="shared" si="9"/>
        <v>OK</v>
      </c>
      <c r="O103" t="s">
        <v>51</v>
      </c>
      <c r="P103" t="s">
        <v>54</v>
      </c>
      <c r="Q103" t="s">
        <v>51</v>
      </c>
      <c r="R103" t="str">
        <f>VLOOKUP($D103,[1]Rascunho!$E$2:$S$296,15,FALSE)</f>
        <v>http://www.administracao.go.gov.br</v>
      </c>
      <c r="S103" s="12">
        <v>30437538.940000001</v>
      </c>
      <c r="T103" s="12">
        <v>2228899.5699999998</v>
      </c>
      <c r="U103" s="13" t="str">
        <f t="shared" si="10"/>
        <v>OK</v>
      </c>
      <c r="V103" s="14">
        <v>60921145.100000001</v>
      </c>
      <c r="W103" s="14">
        <v>0</v>
      </c>
      <c r="X103" t="s">
        <v>51</v>
      </c>
      <c r="Y103" s="14">
        <v>275017.44</v>
      </c>
      <c r="Z103" s="14">
        <v>0</v>
      </c>
      <c r="AA103" s="14">
        <v>0</v>
      </c>
      <c r="AB103" s="14">
        <v>7012876.7199999997</v>
      </c>
      <c r="AC103" s="13" t="str">
        <f t="shared" si="11"/>
        <v>OK</v>
      </c>
      <c r="AD103" s="14">
        <v>-228817891.25999999</v>
      </c>
      <c r="AE103" s="14">
        <v>0</v>
      </c>
      <c r="AF103" s="14">
        <v>0</v>
      </c>
      <c r="AG103" s="14">
        <v>3095445.01</v>
      </c>
      <c r="AH103" s="14">
        <v>3673590.97</v>
      </c>
      <c r="AI103" s="13" t="str">
        <f t="shared" si="12"/>
        <v>INDÍCIO DE DEPENDÊNCIA POR SUBVENÇÃO</v>
      </c>
      <c r="AJ103" s="14">
        <v>0</v>
      </c>
      <c r="AK103" s="14">
        <v>0</v>
      </c>
      <c r="AL103" s="14">
        <v>18000000</v>
      </c>
      <c r="AM103" s="14">
        <v>50000000</v>
      </c>
      <c r="AN103" s="14">
        <v>50000000</v>
      </c>
      <c r="AO103" s="14">
        <v>100000000</v>
      </c>
      <c r="AP103" s="15">
        <f t="shared" si="13"/>
        <v>50000000</v>
      </c>
      <c r="AQ103" s="14">
        <v>41238721.380000003</v>
      </c>
      <c r="AR103" s="14">
        <v>25782441.329999998</v>
      </c>
      <c r="AS103" s="14">
        <v>8761278.6199999992</v>
      </c>
      <c r="AT103" s="14">
        <v>32978837.289999999</v>
      </c>
      <c r="AU103" s="16">
        <f t="shared" si="14"/>
        <v>17522557.239999995</v>
      </c>
      <c r="AV103" s="13" t="str">
        <f t="shared" si="15"/>
        <v>SIM</v>
      </c>
      <c r="AW103" s="13" t="str">
        <f t="shared" si="16"/>
        <v>VER CAPITAL</v>
      </c>
      <c r="AX103" s="13" t="str">
        <f t="shared" si="17"/>
        <v>OK</v>
      </c>
    </row>
    <row r="104" spans="1:50" x14ac:dyDescent="0.3">
      <c r="A104" s="10" t="s">
        <v>473</v>
      </c>
      <c r="B104" t="s">
        <v>542</v>
      </c>
      <c r="C104" t="s">
        <v>543</v>
      </c>
      <c r="D104" t="s">
        <v>544</v>
      </c>
      <c r="E104" t="s">
        <v>46</v>
      </c>
      <c r="F104" t="s">
        <v>107</v>
      </c>
      <c r="G104" t="s">
        <v>60</v>
      </c>
      <c r="H104" t="s">
        <v>49</v>
      </c>
      <c r="I104" t="s">
        <v>373</v>
      </c>
      <c r="J104" t="s">
        <v>51</v>
      </c>
      <c r="K104" t="s">
        <v>51</v>
      </c>
      <c r="L104" t="s">
        <v>134</v>
      </c>
      <c r="M104">
        <v>6374</v>
      </c>
      <c r="N104" s="11" t="str">
        <f t="shared" si="9"/>
        <v>OK</v>
      </c>
      <c r="O104" t="s">
        <v>54</v>
      </c>
      <c r="P104" t="s">
        <v>54</v>
      </c>
      <c r="Q104" t="s">
        <v>54</v>
      </c>
      <c r="R104" t="str">
        <f>VLOOKUP($D104,[1]Rascunho!$E$2:$S$296,15,FALSE)</f>
        <v>https://ri.saneago.com.br/relatorios-anuais</v>
      </c>
      <c r="S104" s="12">
        <v>3067873629.52</v>
      </c>
      <c r="T104" s="12">
        <v>1310818163.51</v>
      </c>
      <c r="U104" s="13" t="str">
        <f t="shared" si="10"/>
        <v>OK</v>
      </c>
      <c r="V104" s="14">
        <v>2484017331.8000002</v>
      </c>
      <c r="W104" s="14">
        <v>836375317.96000004</v>
      </c>
      <c r="X104" t="s">
        <v>54</v>
      </c>
      <c r="Y104" s="14">
        <v>1129613.8400000001</v>
      </c>
      <c r="Z104" s="14">
        <v>18508.830000000002</v>
      </c>
      <c r="AA104" s="14">
        <v>20169.939999999999</v>
      </c>
      <c r="AB104" s="14">
        <v>583856297.72000003</v>
      </c>
      <c r="AC104" s="13" t="str">
        <f t="shared" si="11"/>
        <v>OK</v>
      </c>
      <c r="AD104" s="14">
        <v>4084944768.4499998</v>
      </c>
      <c r="AE104" s="14">
        <v>0</v>
      </c>
      <c r="AF104" s="14">
        <v>63827447.369999997</v>
      </c>
      <c r="AG104" s="14">
        <v>0</v>
      </c>
      <c r="AH104" s="14">
        <v>0</v>
      </c>
      <c r="AI104" s="13" t="str">
        <f t="shared" si="12"/>
        <v>OK</v>
      </c>
      <c r="AJ104" s="14">
        <v>0</v>
      </c>
      <c r="AK104" s="14">
        <v>0</v>
      </c>
      <c r="AL104" s="14">
        <v>0</v>
      </c>
      <c r="AM104" s="14">
        <v>0</v>
      </c>
      <c r="AN104" s="14">
        <v>1691128.17</v>
      </c>
      <c r="AO104" s="14">
        <v>1691128.17</v>
      </c>
      <c r="AP104" s="15">
        <f t="shared" si="13"/>
        <v>0</v>
      </c>
      <c r="AQ104" s="14">
        <v>2515546367.7600002</v>
      </c>
      <c r="AR104" s="14">
        <v>2515546367.7600002</v>
      </c>
      <c r="AS104" s="14">
        <v>0</v>
      </c>
      <c r="AT104" s="14">
        <v>0</v>
      </c>
      <c r="AU104" s="16">
        <f t="shared" si="14"/>
        <v>0</v>
      </c>
      <c r="AV104" s="13" t="str">
        <f t="shared" si="15"/>
        <v>NÃO</v>
      </c>
      <c r="AW104" s="13" t="str">
        <f t="shared" si="16"/>
        <v>OK</v>
      </c>
      <c r="AX104" s="13" t="str">
        <f t="shared" si="17"/>
        <v>OK</v>
      </c>
    </row>
    <row r="105" spans="1:50" x14ac:dyDescent="0.3">
      <c r="A105" s="10" t="s">
        <v>547</v>
      </c>
      <c r="B105" t="s">
        <v>548</v>
      </c>
      <c r="C105" t="s">
        <v>549</v>
      </c>
      <c r="D105" t="s">
        <v>550</v>
      </c>
      <c r="E105" t="s">
        <v>46</v>
      </c>
      <c r="F105" t="s">
        <v>107</v>
      </c>
      <c r="G105" t="s">
        <v>60</v>
      </c>
      <c r="H105" t="s">
        <v>76</v>
      </c>
      <c r="I105" t="s">
        <v>50</v>
      </c>
      <c r="J105" t="s">
        <v>51</v>
      </c>
      <c r="K105" t="s">
        <v>51</v>
      </c>
      <c r="L105" t="s">
        <v>134</v>
      </c>
      <c r="M105">
        <v>2098</v>
      </c>
      <c r="N105" s="11" t="str">
        <f t="shared" si="9"/>
        <v>OK</v>
      </c>
      <c r="O105" t="s">
        <v>54</v>
      </c>
      <c r="P105" t="s">
        <v>54</v>
      </c>
      <c r="Q105" t="s">
        <v>54</v>
      </c>
      <c r="R105" t="str">
        <f>VLOOKUP($D105,[1]Rascunho!$E$2:$S$296,15,FALSE)</f>
        <v>https://www.caema.ma.gov.br/index.php/a-caema/governanca/carta-anual</v>
      </c>
      <c r="S105" s="12">
        <v>502084836.10000002</v>
      </c>
      <c r="T105" s="12">
        <v>302134813.18000001</v>
      </c>
      <c r="U105" s="13" t="str">
        <f t="shared" si="10"/>
        <v>OK</v>
      </c>
      <c r="V105" s="14">
        <v>1107239425.1600001</v>
      </c>
      <c r="W105" s="14">
        <v>41113135.270000003</v>
      </c>
      <c r="X105" t="s">
        <v>51</v>
      </c>
      <c r="Y105" s="14">
        <v>47350.720000000001</v>
      </c>
      <c r="Z105" s="14">
        <v>0</v>
      </c>
      <c r="AA105" s="14">
        <v>0</v>
      </c>
      <c r="AB105" s="14">
        <v>-197742000</v>
      </c>
      <c r="AC105" s="13" t="str">
        <f t="shared" si="11"/>
        <v>OK</v>
      </c>
      <c r="AD105" s="14">
        <v>862716485.75</v>
      </c>
      <c r="AE105" s="14">
        <v>0</v>
      </c>
      <c r="AF105" s="14">
        <v>0</v>
      </c>
      <c r="AG105" s="14">
        <v>0</v>
      </c>
      <c r="AH105" s="14">
        <v>0</v>
      </c>
      <c r="AI105" s="13" t="str">
        <f t="shared" si="12"/>
        <v>OK</v>
      </c>
      <c r="AJ105" s="14">
        <v>0</v>
      </c>
      <c r="AK105" s="14">
        <v>0</v>
      </c>
      <c r="AL105" s="14">
        <v>146572663.61000001</v>
      </c>
      <c r="AM105" s="14">
        <v>137950485.71000001</v>
      </c>
      <c r="AN105" s="14">
        <v>2249482402</v>
      </c>
      <c r="AO105" s="14">
        <v>2249482402</v>
      </c>
      <c r="AP105" s="15">
        <f t="shared" si="13"/>
        <v>0</v>
      </c>
      <c r="AQ105" s="14">
        <v>2249482402</v>
      </c>
      <c r="AR105" s="14">
        <v>2249482402</v>
      </c>
      <c r="AS105" s="14">
        <v>158168524.52000001</v>
      </c>
      <c r="AT105" s="14">
        <v>296119010.23000002</v>
      </c>
      <c r="AU105" s="16">
        <f t="shared" si="14"/>
        <v>296119010.23000002</v>
      </c>
      <c r="AV105" s="13" t="str">
        <f t="shared" si="15"/>
        <v>SIM</v>
      </c>
      <c r="AW105" s="13" t="str">
        <f t="shared" si="16"/>
        <v>VER CAPITAL</v>
      </c>
      <c r="AX105" s="13" t="str">
        <f t="shared" si="17"/>
        <v>OK</v>
      </c>
    </row>
    <row r="106" spans="1:50" x14ac:dyDescent="0.3">
      <c r="A106" s="10" t="s">
        <v>547</v>
      </c>
      <c r="B106" t="s">
        <v>553</v>
      </c>
      <c r="C106" t="s">
        <v>554</v>
      </c>
      <c r="D106" t="s">
        <v>555</v>
      </c>
      <c r="E106" t="s">
        <v>46</v>
      </c>
      <c r="F106" t="s">
        <v>314</v>
      </c>
      <c r="G106" t="s">
        <v>48</v>
      </c>
      <c r="H106" t="s">
        <v>76</v>
      </c>
      <c r="I106" t="s">
        <v>50</v>
      </c>
      <c r="J106" t="s">
        <v>51</v>
      </c>
      <c r="K106" t="s">
        <v>51</v>
      </c>
      <c r="L106" t="s">
        <v>134</v>
      </c>
      <c r="M106">
        <v>308</v>
      </c>
      <c r="N106" s="11" t="str">
        <f t="shared" si="9"/>
        <v>OK</v>
      </c>
      <c r="O106" t="s">
        <v>54</v>
      </c>
      <c r="P106" t="s">
        <v>54</v>
      </c>
      <c r="Q106" t="s">
        <v>54</v>
      </c>
      <c r="R106" t="str">
        <f>VLOOKUP($D106,[1]Rascunho!$E$2:$S$296,15,FALSE)</f>
        <v>https://www.portodoitaqui.com/emap/carta-anual</v>
      </c>
      <c r="S106" s="12">
        <v>440642988.62</v>
      </c>
      <c r="T106" s="12">
        <v>73563974.239999995</v>
      </c>
      <c r="U106" s="13" t="str">
        <f t="shared" si="10"/>
        <v>OK</v>
      </c>
      <c r="V106" s="14">
        <v>256439979.05000001</v>
      </c>
      <c r="W106" s="14">
        <v>46124740.460000001</v>
      </c>
      <c r="X106" t="s">
        <v>54</v>
      </c>
      <c r="Y106" s="14">
        <v>982409.09</v>
      </c>
      <c r="Z106" s="14">
        <v>169170.8</v>
      </c>
      <c r="AA106" s="14">
        <v>0</v>
      </c>
      <c r="AB106" s="14">
        <v>126169834.95</v>
      </c>
      <c r="AC106" s="13" t="str">
        <f t="shared" si="11"/>
        <v>OK</v>
      </c>
      <c r="AD106" s="14">
        <v>875356656.13999999</v>
      </c>
      <c r="AE106" s="14">
        <v>0</v>
      </c>
      <c r="AF106" s="14">
        <v>0</v>
      </c>
      <c r="AG106" s="14">
        <v>0</v>
      </c>
      <c r="AH106" s="14">
        <v>0</v>
      </c>
      <c r="AI106" s="13" t="str">
        <f t="shared" si="12"/>
        <v>OK</v>
      </c>
      <c r="AJ106" s="14">
        <v>0</v>
      </c>
      <c r="AK106" s="14">
        <v>0</v>
      </c>
      <c r="AL106" s="14">
        <v>0</v>
      </c>
      <c r="AM106" s="14">
        <v>0</v>
      </c>
      <c r="AN106" s="14">
        <v>375668391</v>
      </c>
      <c r="AO106" s="14">
        <v>375668391</v>
      </c>
      <c r="AP106" s="15">
        <f t="shared" si="13"/>
        <v>0</v>
      </c>
      <c r="AQ106" s="14">
        <v>370668392</v>
      </c>
      <c r="AR106" s="14">
        <v>370668392</v>
      </c>
      <c r="AS106" s="14">
        <v>5000000</v>
      </c>
      <c r="AT106" s="14">
        <v>5000000</v>
      </c>
      <c r="AU106" s="16">
        <f t="shared" si="14"/>
        <v>5000000</v>
      </c>
      <c r="AV106" s="13" t="str">
        <f t="shared" si="15"/>
        <v>SIM</v>
      </c>
      <c r="AW106" s="13" t="str">
        <f t="shared" si="16"/>
        <v>OK</v>
      </c>
      <c r="AX106" s="13" t="str">
        <f t="shared" si="17"/>
        <v>OK</v>
      </c>
    </row>
    <row r="107" spans="1:50" x14ac:dyDescent="0.3">
      <c r="A107" s="10" t="s">
        <v>547</v>
      </c>
      <c r="B107" t="s">
        <v>558</v>
      </c>
      <c r="C107" t="s">
        <v>559</v>
      </c>
      <c r="D107" t="s">
        <v>560</v>
      </c>
      <c r="E107" t="s">
        <v>46</v>
      </c>
      <c r="F107" t="s">
        <v>121</v>
      </c>
      <c r="G107" t="s">
        <v>48</v>
      </c>
      <c r="H107" t="s">
        <v>76</v>
      </c>
      <c r="I107" t="s">
        <v>50</v>
      </c>
      <c r="J107" t="s">
        <v>51</v>
      </c>
      <c r="K107" t="s">
        <v>51</v>
      </c>
      <c r="L107" t="s">
        <v>134</v>
      </c>
      <c r="M107">
        <v>17336</v>
      </c>
      <c r="N107" s="11" t="str">
        <f t="shared" si="9"/>
        <v>OK</v>
      </c>
      <c r="O107" t="s">
        <v>54</v>
      </c>
      <c r="P107" t="s">
        <v>54</v>
      </c>
      <c r="Q107" t="s">
        <v>54</v>
      </c>
      <c r="R107" t="str">
        <f>VLOOKUP($D107,[1]Rascunho!$E$2:$S$296,15,FALSE)</f>
        <v>https://www.emserh.ma.gov.br/carta-anual-de-politicas-publicas-e-governanca/</v>
      </c>
      <c r="S107" s="12">
        <v>2192749263.9400001</v>
      </c>
      <c r="T107" s="12">
        <v>763400570.21000004</v>
      </c>
      <c r="U107" s="13" t="str">
        <f t="shared" si="10"/>
        <v>OK</v>
      </c>
      <c r="V107" s="14">
        <v>2018346089.74</v>
      </c>
      <c r="W107" s="14">
        <v>2201141.15</v>
      </c>
      <c r="X107" t="s">
        <v>51</v>
      </c>
      <c r="Y107" s="14">
        <v>299828.64</v>
      </c>
      <c r="Z107" s="14">
        <v>0</v>
      </c>
      <c r="AA107" s="14">
        <v>0</v>
      </c>
      <c r="AB107" s="14">
        <v>163288235.47</v>
      </c>
      <c r="AC107" s="13" t="str">
        <f t="shared" si="11"/>
        <v>OK</v>
      </c>
      <c r="AD107" s="14">
        <v>772786896.99000001</v>
      </c>
      <c r="AE107" s="14">
        <v>0</v>
      </c>
      <c r="AF107" s="14">
        <v>0</v>
      </c>
      <c r="AG107" s="14">
        <v>0</v>
      </c>
      <c r="AH107" s="14">
        <v>0</v>
      </c>
      <c r="AI107" s="13" t="str">
        <f t="shared" si="12"/>
        <v>OK</v>
      </c>
      <c r="AJ107" s="14">
        <v>0</v>
      </c>
      <c r="AK107" s="14">
        <v>0</v>
      </c>
      <c r="AL107" s="14">
        <v>0</v>
      </c>
      <c r="AM107" s="14">
        <v>0</v>
      </c>
      <c r="AN107" s="14">
        <v>1000000</v>
      </c>
      <c r="AO107" s="14">
        <v>1000000</v>
      </c>
      <c r="AP107" s="15">
        <f t="shared" si="13"/>
        <v>0</v>
      </c>
      <c r="AQ107" s="14">
        <v>1000000</v>
      </c>
      <c r="AR107" s="14">
        <v>1000000</v>
      </c>
      <c r="AS107" s="14">
        <v>0</v>
      </c>
      <c r="AT107" s="14">
        <v>0</v>
      </c>
      <c r="AU107" s="16">
        <f t="shared" si="14"/>
        <v>0</v>
      </c>
      <c r="AV107" s="13" t="str">
        <f t="shared" si="15"/>
        <v>NÃO</v>
      </c>
      <c r="AW107" s="13" t="str">
        <f t="shared" si="16"/>
        <v>OK</v>
      </c>
      <c r="AX107" s="13" t="str">
        <f t="shared" si="17"/>
        <v>OK</v>
      </c>
    </row>
    <row r="108" spans="1:50" x14ac:dyDescent="0.3">
      <c r="A108" s="10" t="s">
        <v>547</v>
      </c>
      <c r="B108" t="s">
        <v>563</v>
      </c>
      <c r="C108" t="s">
        <v>564</v>
      </c>
      <c r="D108" t="s">
        <v>565</v>
      </c>
      <c r="E108" t="s">
        <v>46</v>
      </c>
      <c r="F108" t="s">
        <v>139</v>
      </c>
      <c r="G108" t="s">
        <v>60</v>
      </c>
      <c r="H108" t="s">
        <v>49</v>
      </c>
      <c r="I108" t="s">
        <v>50</v>
      </c>
      <c r="J108" t="s">
        <v>51</v>
      </c>
      <c r="K108" t="s">
        <v>51</v>
      </c>
      <c r="L108" t="s">
        <v>134</v>
      </c>
      <c r="M108">
        <v>61</v>
      </c>
      <c r="N108" s="11" t="str">
        <f t="shared" si="9"/>
        <v>OK</v>
      </c>
      <c r="O108" t="s">
        <v>54</v>
      </c>
      <c r="P108" t="s">
        <v>54</v>
      </c>
      <c r="Q108" t="s">
        <v>51</v>
      </c>
      <c r="R108" t="str">
        <f>VLOOKUP($D108,[1]Rascunho!$E$2:$S$296,15,FALSE)</f>
        <v>https://www.gasmar.com.br/carta-anual-de-governanca</v>
      </c>
      <c r="S108" s="12">
        <v>23600000</v>
      </c>
      <c r="T108" s="12">
        <v>7075429.9199999999</v>
      </c>
      <c r="U108" s="13" t="str">
        <f t="shared" si="10"/>
        <v>OK</v>
      </c>
      <c r="V108" s="14">
        <v>36241780.640000001</v>
      </c>
      <c r="W108" s="14">
        <v>0</v>
      </c>
      <c r="X108" t="s">
        <v>54</v>
      </c>
      <c r="Y108" s="14">
        <v>253501.44</v>
      </c>
      <c r="Z108" s="14">
        <v>33682.949999999997</v>
      </c>
      <c r="AA108" s="14">
        <v>0</v>
      </c>
      <c r="AB108" s="14">
        <v>5293000</v>
      </c>
      <c r="AC108" s="13" t="str">
        <f t="shared" si="11"/>
        <v>OK</v>
      </c>
      <c r="AD108" s="14">
        <v>10827000</v>
      </c>
      <c r="AE108" s="14">
        <v>10827000</v>
      </c>
      <c r="AF108" s="14">
        <v>1722691.25</v>
      </c>
      <c r="AG108" s="14">
        <v>0</v>
      </c>
      <c r="AH108" s="14">
        <v>0</v>
      </c>
      <c r="AI108" s="13" t="str">
        <f t="shared" si="12"/>
        <v>OK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5">
        <f t="shared" si="13"/>
        <v>0</v>
      </c>
      <c r="AQ108" s="14">
        <v>7920000</v>
      </c>
      <c r="AR108" s="14">
        <v>7920000</v>
      </c>
      <c r="AS108" s="14">
        <v>0</v>
      </c>
      <c r="AT108" s="14">
        <v>0</v>
      </c>
      <c r="AU108" s="16">
        <f t="shared" si="14"/>
        <v>0</v>
      </c>
      <c r="AV108" s="13" t="str">
        <f t="shared" si="15"/>
        <v>NÃO</v>
      </c>
      <c r="AW108" s="13" t="str">
        <f t="shared" si="16"/>
        <v>OK</v>
      </c>
      <c r="AX108" s="13" t="str">
        <f t="shared" si="17"/>
        <v>OK</v>
      </c>
    </row>
    <row r="109" spans="1:50" x14ac:dyDescent="0.3">
      <c r="A109" s="10" t="s">
        <v>547</v>
      </c>
      <c r="B109" t="s">
        <v>568</v>
      </c>
      <c r="C109" t="s">
        <v>569</v>
      </c>
      <c r="D109" t="s">
        <v>570</v>
      </c>
      <c r="E109" t="s">
        <v>46</v>
      </c>
      <c r="F109" t="s">
        <v>133</v>
      </c>
      <c r="G109" t="s">
        <v>60</v>
      </c>
      <c r="H109" t="s">
        <v>49</v>
      </c>
      <c r="I109" t="s">
        <v>50</v>
      </c>
      <c r="J109" t="s">
        <v>51</v>
      </c>
      <c r="K109" t="s">
        <v>51</v>
      </c>
      <c r="L109" t="s">
        <v>134</v>
      </c>
      <c r="M109">
        <v>458</v>
      </c>
      <c r="N109" s="11" t="str">
        <f t="shared" si="9"/>
        <v>OK</v>
      </c>
      <c r="O109" t="s">
        <v>54</v>
      </c>
      <c r="P109" t="s">
        <v>54</v>
      </c>
      <c r="Q109" t="s">
        <v>51</v>
      </c>
      <c r="R109" t="str">
        <f>VLOOKUP($D109,[1]Rascunho!$E$2:$S$296,15,FALSE)</f>
        <v>https://mapa.ma.gov.br/programas-ou-campanhas/carta-anual</v>
      </c>
      <c r="S109" s="12">
        <v>728474</v>
      </c>
      <c r="T109" s="12">
        <v>41302137</v>
      </c>
      <c r="U109" s="13" t="str">
        <f t="shared" si="10"/>
        <v>OK</v>
      </c>
      <c r="V109" s="14">
        <v>61135602</v>
      </c>
      <c r="W109" s="14">
        <v>0</v>
      </c>
      <c r="X109" t="s">
        <v>51</v>
      </c>
      <c r="Y109" s="14">
        <v>520298.69</v>
      </c>
      <c r="Z109" s="14">
        <v>0</v>
      </c>
      <c r="AA109" s="14">
        <v>0</v>
      </c>
      <c r="AB109" s="14">
        <v>56605674</v>
      </c>
      <c r="AC109" s="13" t="str">
        <f t="shared" si="11"/>
        <v>OK</v>
      </c>
      <c r="AD109" s="14">
        <v>60378259</v>
      </c>
      <c r="AE109" s="14">
        <v>0</v>
      </c>
      <c r="AF109" s="14">
        <v>0</v>
      </c>
      <c r="AG109" s="14">
        <v>0</v>
      </c>
      <c r="AH109" s="14">
        <v>0</v>
      </c>
      <c r="AI109" s="13" t="str">
        <f t="shared" si="12"/>
        <v>OK</v>
      </c>
      <c r="AJ109" s="14">
        <v>13380711.210000001</v>
      </c>
      <c r="AK109" s="14">
        <v>2535510.14</v>
      </c>
      <c r="AL109" s="14">
        <v>0</v>
      </c>
      <c r="AM109" s="14">
        <v>0</v>
      </c>
      <c r="AN109" s="14">
        <v>2532640561</v>
      </c>
      <c r="AO109" s="14">
        <v>2532640561</v>
      </c>
      <c r="AP109" s="15">
        <f t="shared" si="13"/>
        <v>0</v>
      </c>
      <c r="AQ109" s="14">
        <v>305846455</v>
      </c>
      <c r="AR109" s="14">
        <v>373652549</v>
      </c>
      <c r="AS109" s="14">
        <v>58282519</v>
      </c>
      <c r="AT109" s="14">
        <v>31378356.920000002</v>
      </c>
      <c r="AU109" s="16">
        <f t="shared" si="14"/>
        <v>99184450.920000002</v>
      </c>
      <c r="AV109" s="13" t="str">
        <f t="shared" si="15"/>
        <v>SIM</v>
      </c>
      <c r="AW109" s="13" t="str">
        <f t="shared" si="16"/>
        <v>OK</v>
      </c>
      <c r="AX109" s="13" t="str">
        <f t="shared" si="17"/>
        <v>OK</v>
      </c>
    </row>
    <row r="110" spans="1:50" x14ac:dyDescent="0.3">
      <c r="A110" s="10" t="s">
        <v>573</v>
      </c>
      <c r="B110" t="s">
        <v>1441</v>
      </c>
      <c r="C110" t="s">
        <v>590</v>
      </c>
      <c r="D110" t="s">
        <v>591</v>
      </c>
      <c r="E110" t="s">
        <v>46</v>
      </c>
      <c r="F110" t="s">
        <v>71</v>
      </c>
      <c r="G110" t="s">
        <v>48</v>
      </c>
      <c r="H110" t="s">
        <v>49</v>
      </c>
      <c r="I110" t="s">
        <v>50</v>
      </c>
      <c r="J110" t="s">
        <v>51</v>
      </c>
      <c r="K110" t="s">
        <v>51</v>
      </c>
      <c r="L110" t="s">
        <v>134</v>
      </c>
      <c r="M110">
        <v>544</v>
      </c>
      <c r="N110" s="11" t="str">
        <f t="shared" si="9"/>
        <v>OK</v>
      </c>
      <c r="O110" t="s">
        <v>54</v>
      </c>
      <c r="P110" t="s">
        <v>54</v>
      </c>
      <c r="Q110" t="s">
        <v>54</v>
      </c>
      <c r="R110" t="str">
        <f>VLOOKUP($D110,[1]Rascunho!$E$2:$S$296,15,FALSE)</f>
        <v>https://www.bdmg.mg.gov.br/wp-content/uploads/2023/05/230303_Carta_Anual_Politicas_Publicas_e_Gov_Corporativa_BDMG_2022.pdf</v>
      </c>
      <c r="S110" s="12">
        <v>1304616040.47</v>
      </c>
      <c r="T110" s="12">
        <v>145127688.22</v>
      </c>
      <c r="U110" s="13" t="str">
        <f t="shared" si="10"/>
        <v>OK</v>
      </c>
      <c r="V110" s="14">
        <v>2034199409.96</v>
      </c>
      <c r="W110" s="14">
        <v>16824035.539999999</v>
      </c>
      <c r="X110" t="s">
        <v>54</v>
      </c>
      <c r="Y110" s="14">
        <v>719294.16</v>
      </c>
      <c r="Z110" s="14">
        <v>72978.75</v>
      </c>
      <c r="AA110" s="14">
        <v>24382.91</v>
      </c>
      <c r="AB110" s="14">
        <v>97485812.540000007</v>
      </c>
      <c r="AC110" s="13" t="str">
        <f t="shared" si="11"/>
        <v>OK</v>
      </c>
      <c r="AD110" s="14">
        <v>2128792228.8199999</v>
      </c>
      <c r="AE110" s="14">
        <v>0</v>
      </c>
      <c r="AF110" s="14">
        <v>133636534.17</v>
      </c>
      <c r="AG110" s="14">
        <v>0</v>
      </c>
      <c r="AH110" s="14">
        <v>0</v>
      </c>
      <c r="AI110" s="13" t="str">
        <f t="shared" si="12"/>
        <v>OK</v>
      </c>
      <c r="AJ110" s="14">
        <v>0</v>
      </c>
      <c r="AK110" s="14">
        <v>0</v>
      </c>
      <c r="AL110" s="14">
        <v>0</v>
      </c>
      <c r="AM110" s="14">
        <v>0</v>
      </c>
      <c r="AN110" s="14">
        <v>74173276182</v>
      </c>
      <c r="AO110" s="14">
        <v>74173276182</v>
      </c>
      <c r="AP110" s="15">
        <f t="shared" si="13"/>
        <v>0</v>
      </c>
      <c r="AQ110" s="14">
        <v>2199586881.8299999</v>
      </c>
      <c r="AR110" s="14">
        <v>2199586881.8299999</v>
      </c>
      <c r="AS110" s="14">
        <v>0</v>
      </c>
      <c r="AT110" s="14">
        <v>0</v>
      </c>
      <c r="AU110" s="16">
        <f t="shared" si="14"/>
        <v>0</v>
      </c>
      <c r="AV110" s="13" t="str">
        <f t="shared" si="15"/>
        <v>NÃO</v>
      </c>
      <c r="AW110" s="13" t="str">
        <f t="shared" si="16"/>
        <v>OK</v>
      </c>
      <c r="AX110" s="13" t="str">
        <f t="shared" si="17"/>
        <v>OK</v>
      </c>
    </row>
    <row r="111" spans="1:50" x14ac:dyDescent="0.3">
      <c r="A111" s="10" t="s">
        <v>573</v>
      </c>
      <c r="B111" t="s">
        <v>1442</v>
      </c>
      <c r="C111" t="s">
        <v>595</v>
      </c>
      <c r="D111" t="s">
        <v>596</v>
      </c>
      <c r="E111" t="s">
        <v>46</v>
      </c>
      <c r="F111" t="s">
        <v>409</v>
      </c>
      <c r="G111" t="s">
        <v>60</v>
      </c>
      <c r="H111" t="s">
        <v>49</v>
      </c>
      <c r="I111" t="s">
        <v>373</v>
      </c>
      <c r="J111" t="s">
        <v>54</v>
      </c>
      <c r="K111" t="s">
        <v>51</v>
      </c>
      <c r="L111" t="s">
        <v>134</v>
      </c>
      <c r="M111">
        <v>28128</v>
      </c>
      <c r="N111" s="11" t="str">
        <f t="shared" si="9"/>
        <v>OK</v>
      </c>
      <c r="O111" t="s">
        <v>54</v>
      </c>
      <c r="P111" t="s">
        <v>54</v>
      </c>
      <c r="Q111" t="s">
        <v>54</v>
      </c>
      <c r="R111" t="str">
        <f>VLOOKUP($D111,[1]Rascunho!$E$2:$S$296,15,FALSE)</f>
        <v>https://www.cemig.com.br/search/carta+anual</v>
      </c>
      <c r="S111" s="12">
        <v>36849769000</v>
      </c>
      <c r="T111" s="12">
        <v>4824028000</v>
      </c>
      <c r="U111" s="13" t="str">
        <f t="shared" si="10"/>
        <v>OK</v>
      </c>
      <c r="V111" s="14">
        <v>35228407000</v>
      </c>
      <c r="W111" s="14">
        <v>5167633000</v>
      </c>
      <c r="X111" t="s">
        <v>54</v>
      </c>
      <c r="Y111" s="14">
        <v>1513647.04</v>
      </c>
      <c r="Z111" s="14">
        <v>986500</v>
      </c>
      <c r="AA111" s="14">
        <v>0</v>
      </c>
      <c r="AB111" s="14">
        <v>5766835000</v>
      </c>
      <c r="AC111" s="13" t="str">
        <f t="shared" si="11"/>
        <v>OK</v>
      </c>
      <c r="AD111" s="14">
        <v>24655193000</v>
      </c>
      <c r="AE111" s="14">
        <v>27949872000</v>
      </c>
      <c r="AF111" s="14">
        <v>338735053.42000002</v>
      </c>
      <c r="AG111" s="14">
        <v>0</v>
      </c>
      <c r="AH111" s="14">
        <v>0</v>
      </c>
      <c r="AI111" s="13" t="str">
        <f t="shared" si="12"/>
        <v>OK</v>
      </c>
      <c r="AJ111" s="14">
        <v>0</v>
      </c>
      <c r="AK111" s="14">
        <v>0</v>
      </c>
      <c r="AL111" s="14">
        <v>0</v>
      </c>
      <c r="AM111" s="14">
        <v>0</v>
      </c>
      <c r="AN111" s="14">
        <v>375048387</v>
      </c>
      <c r="AO111" s="14">
        <v>375048387</v>
      </c>
      <c r="AP111" s="15">
        <f t="shared" si="13"/>
        <v>0</v>
      </c>
      <c r="AQ111" s="14">
        <v>11006853000</v>
      </c>
      <c r="AR111" s="14">
        <v>11006853000</v>
      </c>
      <c r="AS111" s="14">
        <v>0</v>
      </c>
      <c r="AT111" s="14">
        <v>0</v>
      </c>
      <c r="AU111" s="16">
        <f t="shared" si="14"/>
        <v>0</v>
      </c>
      <c r="AV111" s="13" t="str">
        <f t="shared" si="15"/>
        <v>NÃO</v>
      </c>
      <c r="AW111" s="13" t="str">
        <f t="shared" si="16"/>
        <v>OK</v>
      </c>
      <c r="AX111" s="13" t="str">
        <f t="shared" si="17"/>
        <v>OK</v>
      </c>
    </row>
    <row r="112" spans="1:50" x14ac:dyDescent="0.3">
      <c r="A112" s="10" t="s">
        <v>573</v>
      </c>
      <c r="B112" t="s">
        <v>1443</v>
      </c>
      <c r="C112" t="s">
        <v>600</v>
      </c>
      <c r="D112" t="s">
        <v>601</v>
      </c>
      <c r="E112" t="s">
        <v>46</v>
      </c>
      <c r="F112" t="s">
        <v>65</v>
      </c>
      <c r="G112" t="s">
        <v>48</v>
      </c>
      <c r="H112" t="s">
        <v>49</v>
      </c>
      <c r="I112" t="s">
        <v>50</v>
      </c>
      <c r="J112" t="s">
        <v>51</v>
      </c>
      <c r="K112" t="s">
        <v>51</v>
      </c>
      <c r="L112" t="s">
        <v>134</v>
      </c>
      <c r="M112">
        <v>434</v>
      </c>
      <c r="N112" s="11" t="str">
        <f t="shared" si="9"/>
        <v>OK</v>
      </c>
      <c r="O112" t="s">
        <v>54</v>
      </c>
      <c r="P112" t="s">
        <v>54</v>
      </c>
      <c r="Q112" t="s">
        <v>54</v>
      </c>
      <c r="R112" t="str">
        <f>VLOOKUP($D112,[1]Rascunho!$E$2:$S$296,15,FALSE)</f>
        <v>http://www.codemge.com.br/a-codemge/governanca/</v>
      </c>
      <c r="S112" s="12">
        <v>63592983.140000001</v>
      </c>
      <c r="T112" s="12">
        <v>99773171.840000004</v>
      </c>
      <c r="U112" s="13" t="str">
        <f t="shared" si="10"/>
        <v>OK</v>
      </c>
      <c r="V112" s="14">
        <v>207961827.78</v>
      </c>
      <c r="W112" s="14">
        <v>10111596.15</v>
      </c>
      <c r="X112" t="s">
        <v>54</v>
      </c>
      <c r="Y112" s="14">
        <v>963179.61</v>
      </c>
      <c r="Z112" s="14">
        <v>137953.59</v>
      </c>
      <c r="AA112" s="14">
        <v>25972.17</v>
      </c>
      <c r="AB112" s="14">
        <v>888440846.53999996</v>
      </c>
      <c r="AC112" s="13" t="str">
        <f t="shared" si="11"/>
        <v>OK</v>
      </c>
      <c r="AD112" s="14">
        <v>1905121248.53</v>
      </c>
      <c r="AE112" s="14">
        <v>0</v>
      </c>
      <c r="AF112" s="14">
        <v>584706433.19000006</v>
      </c>
      <c r="AG112" s="14">
        <v>0</v>
      </c>
      <c r="AH112" s="14">
        <v>0</v>
      </c>
      <c r="AI112" s="13" t="str">
        <f t="shared" si="12"/>
        <v>OK</v>
      </c>
      <c r="AJ112" s="14">
        <v>0</v>
      </c>
      <c r="AK112" s="14">
        <v>0</v>
      </c>
      <c r="AL112" s="14">
        <v>0</v>
      </c>
      <c r="AM112" s="14">
        <v>0</v>
      </c>
      <c r="AN112" s="14">
        <v>205219</v>
      </c>
      <c r="AO112" s="14">
        <v>205219</v>
      </c>
      <c r="AP112" s="15">
        <f t="shared" si="13"/>
        <v>0</v>
      </c>
      <c r="AQ112" s="14">
        <v>574392847.02999997</v>
      </c>
      <c r="AR112" s="14">
        <v>574392847.02999997</v>
      </c>
      <c r="AS112" s="14">
        <v>0</v>
      </c>
      <c r="AT112" s="14">
        <v>0</v>
      </c>
      <c r="AU112" s="16">
        <f t="shared" si="14"/>
        <v>0</v>
      </c>
      <c r="AV112" s="13" t="str">
        <f t="shared" si="15"/>
        <v>NÃO</v>
      </c>
      <c r="AW112" s="13" t="str">
        <f t="shared" si="16"/>
        <v>OK</v>
      </c>
      <c r="AX112" s="13" t="str">
        <f t="shared" si="17"/>
        <v>OK</v>
      </c>
    </row>
    <row r="113" spans="1:50" x14ac:dyDescent="0.3">
      <c r="A113" s="10" t="s">
        <v>573</v>
      </c>
      <c r="B113" t="s">
        <v>1444</v>
      </c>
      <c r="C113" t="s">
        <v>605</v>
      </c>
      <c r="D113" t="s">
        <v>606</v>
      </c>
      <c r="E113" t="s">
        <v>46</v>
      </c>
      <c r="F113" t="s">
        <v>65</v>
      </c>
      <c r="G113" t="s">
        <v>60</v>
      </c>
      <c r="H113" t="s">
        <v>49</v>
      </c>
      <c r="I113" t="s">
        <v>50</v>
      </c>
      <c r="J113" t="s">
        <v>51</v>
      </c>
      <c r="K113" t="s">
        <v>54</v>
      </c>
      <c r="L113" t="s">
        <v>134</v>
      </c>
      <c r="M113">
        <v>0</v>
      </c>
      <c r="N113" s="11" t="str">
        <f t="shared" si="9"/>
        <v>VERIFICAR</v>
      </c>
      <c r="O113" t="s">
        <v>54</v>
      </c>
      <c r="P113" t="s">
        <v>54</v>
      </c>
      <c r="Q113" t="s">
        <v>54</v>
      </c>
      <c r="R113" t="str">
        <f>VLOOKUP($D113,[1]Rascunho!$E$2:$S$296,15,FALSE)</f>
        <v>http://www.codemig.com.br/a-codemig/governanca/</v>
      </c>
      <c r="S113" s="12">
        <v>1438922226.22</v>
      </c>
      <c r="T113" s="12">
        <v>7270515.5</v>
      </c>
      <c r="U113" s="13" t="str">
        <f t="shared" si="10"/>
        <v>VERIFICAR</v>
      </c>
      <c r="V113" s="14">
        <v>49863582.890000001</v>
      </c>
      <c r="W113" s="14">
        <v>0</v>
      </c>
      <c r="X113" t="s">
        <v>51</v>
      </c>
      <c r="Y113" s="14">
        <v>0</v>
      </c>
      <c r="Z113" s="14">
        <v>0</v>
      </c>
      <c r="AA113" s="14">
        <v>0</v>
      </c>
      <c r="AB113" s="14">
        <v>1586358191.05</v>
      </c>
      <c r="AC113" s="13" t="str">
        <f t="shared" si="11"/>
        <v>OK</v>
      </c>
      <c r="AD113" s="14">
        <v>648679691.38</v>
      </c>
      <c r="AE113" s="14">
        <v>0</v>
      </c>
      <c r="AF113" s="14">
        <v>0</v>
      </c>
      <c r="AG113" s="14">
        <v>0</v>
      </c>
      <c r="AH113" s="14">
        <v>0</v>
      </c>
      <c r="AI113" s="13" t="str">
        <f t="shared" si="12"/>
        <v>OK</v>
      </c>
      <c r="AJ113" s="14">
        <v>0</v>
      </c>
      <c r="AK113" s="14">
        <v>0</v>
      </c>
      <c r="AL113" s="14">
        <v>0</v>
      </c>
      <c r="AM113" s="14">
        <v>0</v>
      </c>
      <c r="AN113" s="14">
        <v>176825</v>
      </c>
      <c r="AO113" s="14">
        <v>176825</v>
      </c>
      <c r="AP113" s="15">
        <f t="shared" si="13"/>
        <v>0</v>
      </c>
      <c r="AQ113" s="14">
        <v>5028066.57</v>
      </c>
      <c r="AR113" s="14">
        <v>5028066.57</v>
      </c>
      <c r="AS113" s="14">
        <v>0</v>
      </c>
      <c r="AT113" s="14">
        <v>0</v>
      </c>
      <c r="AU113" s="16">
        <f t="shared" si="14"/>
        <v>0</v>
      </c>
      <c r="AV113" s="13" t="str">
        <f t="shared" si="15"/>
        <v>NÃO</v>
      </c>
      <c r="AW113" s="13" t="str">
        <f t="shared" si="16"/>
        <v>OK</v>
      </c>
      <c r="AX113" s="13" t="str">
        <f t="shared" si="17"/>
        <v>OK</v>
      </c>
    </row>
    <row r="114" spans="1:50" x14ac:dyDescent="0.3">
      <c r="A114" s="10" t="s">
        <v>573</v>
      </c>
      <c r="B114" t="s">
        <v>1445</v>
      </c>
      <c r="C114" t="s">
        <v>609</v>
      </c>
      <c r="D114" t="s">
        <v>610</v>
      </c>
      <c r="E114" t="s">
        <v>46</v>
      </c>
      <c r="F114" t="s">
        <v>93</v>
      </c>
      <c r="G114" t="s">
        <v>60</v>
      </c>
      <c r="H114" t="s">
        <v>49</v>
      </c>
      <c r="I114" t="s">
        <v>50</v>
      </c>
      <c r="J114" t="s">
        <v>51</v>
      </c>
      <c r="K114" t="s">
        <v>51</v>
      </c>
      <c r="L114" t="s">
        <v>134</v>
      </c>
      <c r="M114">
        <v>199</v>
      </c>
      <c r="N114" s="11" t="str">
        <f t="shared" si="9"/>
        <v>OK</v>
      </c>
      <c r="O114" t="s">
        <v>54</v>
      </c>
      <c r="P114" t="s">
        <v>54</v>
      </c>
      <c r="Q114" t="s">
        <v>51</v>
      </c>
      <c r="R114" t="str">
        <f>VLOOKUP($D114,[1]Rascunho!$E$2:$S$296,15,FALSE)</f>
        <v>http://www.cohab.mg.gov.br/carta-anual-de-politicas-publicas-e-governanca-corporativa/</v>
      </c>
      <c r="S114" s="12">
        <v>27938000</v>
      </c>
      <c r="T114" s="12">
        <v>45447000</v>
      </c>
      <c r="U114" s="13" t="str">
        <f t="shared" si="10"/>
        <v>OK</v>
      </c>
      <c r="V114" s="14">
        <v>181324000</v>
      </c>
      <c r="W114" s="14">
        <v>0</v>
      </c>
      <c r="X114" t="s">
        <v>51</v>
      </c>
      <c r="Y114" s="14">
        <v>416002.7</v>
      </c>
      <c r="Z114" s="14">
        <v>0</v>
      </c>
      <c r="AA114" s="14">
        <v>11746.16</v>
      </c>
      <c r="AB114" s="14">
        <v>-153388000</v>
      </c>
      <c r="AC114" s="13" t="str">
        <f t="shared" si="11"/>
        <v>OK</v>
      </c>
      <c r="AD114" s="14">
        <v>-358006366.66000003</v>
      </c>
      <c r="AE114" s="14">
        <v>0</v>
      </c>
      <c r="AF114" s="14">
        <v>0</v>
      </c>
      <c r="AG114" s="14">
        <v>0</v>
      </c>
      <c r="AH114" s="14">
        <v>0</v>
      </c>
      <c r="AI114" s="13" t="str">
        <f t="shared" si="12"/>
        <v>OK</v>
      </c>
      <c r="AJ114" s="14">
        <v>0</v>
      </c>
      <c r="AK114" s="14">
        <v>0</v>
      </c>
      <c r="AL114" s="14">
        <v>7767493.7699999996</v>
      </c>
      <c r="AM114" s="14">
        <v>16673866.23</v>
      </c>
      <c r="AN114" s="14">
        <v>85752918</v>
      </c>
      <c r="AO114" s="14">
        <v>102426784</v>
      </c>
      <c r="AP114" s="15">
        <f t="shared" si="13"/>
        <v>16673866</v>
      </c>
      <c r="AQ114" s="14">
        <v>85753383.120000005</v>
      </c>
      <c r="AR114" s="14">
        <v>102427249.34999999</v>
      </c>
      <c r="AS114" s="14">
        <v>144246616.88</v>
      </c>
      <c r="AT114" s="14">
        <v>127572750.65000001</v>
      </c>
      <c r="AU114" s="16">
        <f t="shared" si="14"/>
        <v>144246616.88</v>
      </c>
      <c r="AV114" s="13" t="str">
        <f t="shared" si="15"/>
        <v>SIM</v>
      </c>
      <c r="AW114" s="13" t="str">
        <f t="shared" si="16"/>
        <v>VER CAPITAL</v>
      </c>
      <c r="AX114" s="13" t="str">
        <f t="shared" si="17"/>
        <v>OK</v>
      </c>
    </row>
    <row r="115" spans="1:50" x14ac:dyDescent="0.3">
      <c r="A115" s="10" t="s">
        <v>573</v>
      </c>
      <c r="B115" t="s">
        <v>1446</v>
      </c>
      <c r="C115" t="s">
        <v>614</v>
      </c>
      <c r="D115" t="s">
        <v>615</v>
      </c>
      <c r="E115" t="s">
        <v>46</v>
      </c>
      <c r="F115" t="s">
        <v>107</v>
      </c>
      <c r="G115" t="s">
        <v>60</v>
      </c>
      <c r="H115" t="s">
        <v>49</v>
      </c>
      <c r="I115" t="s">
        <v>50</v>
      </c>
      <c r="J115" t="s">
        <v>51</v>
      </c>
      <c r="K115" t="s">
        <v>54</v>
      </c>
      <c r="L115" t="s">
        <v>134</v>
      </c>
      <c r="M115">
        <v>460</v>
      </c>
      <c r="N115" s="11" t="str">
        <f t="shared" si="9"/>
        <v>OK</v>
      </c>
      <c r="O115" t="s">
        <v>51</v>
      </c>
      <c r="P115" t="s">
        <v>54</v>
      </c>
      <c r="Q115" t="s">
        <v>51</v>
      </c>
      <c r="R115" t="str">
        <f>VLOOKUP($D115,[1]Rascunho!$E$2:$S$296,15,FALSE)</f>
        <v>https://api.mziq.com/mzfilemanager/v2/d/8bdb3906-0618-4e78-bbe3-a0be9f02d8cc/22725bd1-70b7-6e6c-bec8-490914f29c7c?origin=2</v>
      </c>
      <c r="S115" s="12">
        <v>78664049.010000005</v>
      </c>
      <c r="T115" s="12">
        <v>25443585.309999999</v>
      </c>
      <c r="U115" s="13" t="str">
        <f t="shared" si="10"/>
        <v>OK</v>
      </c>
      <c r="V115" s="14">
        <v>96821920.430000007</v>
      </c>
      <c r="W115" s="14">
        <v>27462391.780000001</v>
      </c>
      <c r="X115" t="s">
        <v>51</v>
      </c>
      <c r="Y115" s="14">
        <v>103317.72</v>
      </c>
      <c r="Z115" s="14">
        <v>0</v>
      </c>
      <c r="AA115" s="14">
        <v>10730.2</v>
      </c>
      <c r="AB115" s="14">
        <v>-18348301.420000002</v>
      </c>
      <c r="AC115" s="13" t="str">
        <f t="shared" si="11"/>
        <v>OK</v>
      </c>
      <c r="AD115" s="14">
        <v>274439471.92000002</v>
      </c>
      <c r="AE115" s="14">
        <v>0</v>
      </c>
      <c r="AF115" s="14">
        <v>0</v>
      </c>
      <c r="AG115" s="14">
        <v>0</v>
      </c>
      <c r="AH115" s="14">
        <v>0</v>
      </c>
      <c r="AI115" s="13" t="str">
        <f t="shared" si="12"/>
        <v>OK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5">
        <f t="shared" si="13"/>
        <v>0</v>
      </c>
      <c r="AQ115" s="14">
        <v>0</v>
      </c>
      <c r="AR115" s="14">
        <v>0</v>
      </c>
      <c r="AS115" s="14">
        <v>0</v>
      </c>
      <c r="AT115" s="14">
        <v>0</v>
      </c>
      <c r="AU115" s="16">
        <f t="shared" si="14"/>
        <v>0</v>
      </c>
      <c r="AV115" s="13" t="str">
        <f t="shared" si="15"/>
        <v>NÃO</v>
      </c>
      <c r="AW115" s="13" t="str">
        <f t="shared" si="16"/>
        <v>OK</v>
      </c>
      <c r="AX115" s="13" t="str">
        <f t="shared" si="17"/>
        <v>OK</v>
      </c>
    </row>
    <row r="116" spans="1:50" x14ac:dyDescent="0.3">
      <c r="A116" s="10" t="s">
        <v>573</v>
      </c>
      <c r="B116" t="s">
        <v>1447</v>
      </c>
      <c r="C116" t="s">
        <v>619</v>
      </c>
      <c r="D116" t="s">
        <v>620</v>
      </c>
      <c r="E116" t="s">
        <v>46</v>
      </c>
      <c r="F116" t="s">
        <v>107</v>
      </c>
      <c r="G116" t="s">
        <v>60</v>
      </c>
      <c r="H116" t="s">
        <v>49</v>
      </c>
      <c r="I116" t="s">
        <v>373</v>
      </c>
      <c r="J116" t="s">
        <v>54</v>
      </c>
      <c r="K116" t="s">
        <v>51</v>
      </c>
      <c r="L116" t="s">
        <v>134</v>
      </c>
      <c r="M116">
        <v>9542</v>
      </c>
      <c r="N116" s="11" t="str">
        <f t="shared" si="9"/>
        <v>OK</v>
      </c>
      <c r="O116" t="s">
        <v>54</v>
      </c>
      <c r="P116" t="s">
        <v>54</v>
      </c>
      <c r="Q116" t="s">
        <v>54</v>
      </c>
      <c r="R116" t="str">
        <f>VLOOKUP($D116,[1]Rascunho!$E$2:$S$296,15,FALSE)</f>
        <v>https://api.mziq.com/mzfilemanager/v2/d/8bdb3906-0618-4e78-bbe3-a0be9f02d8cc/22725bd1-70b7-6e6c-bec8-490914f29c7c?origin=2</v>
      </c>
      <c r="S116" s="12">
        <v>7325715875.1999998</v>
      </c>
      <c r="T116" s="12">
        <v>1747036688.03</v>
      </c>
      <c r="U116" s="13" t="str">
        <f t="shared" si="10"/>
        <v>OK</v>
      </c>
      <c r="V116" s="14">
        <v>5604415629.04</v>
      </c>
      <c r="W116" s="14">
        <v>1456047379.23</v>
      </c>
      <c r="X116" t="s">
        <v>54</v>
      </c>
      <c r="Y116" s="14">
        <v>1163153.3899999999</v>
      </c>
      <c r="Z116" s="14">
        <v>253652.61</v>
      </c>
      <c r="AA116" s="14">
        <v>129050.09</v>
      </c>
      <c r="AB116" s="14">
        <v>1379345576.1400001</v>
      </c>
      <c r="AC116" s="13" t="str">
        <f t="shared" si="11"/>
        <v>OK</v>
      </c>
      <c r="AD116" s="14">
        <v>7573824338.5200005</v>
      </c>
      <c r="AE116" s="14">
        <v>7787582853.1199999</v>
      </c>
      <c r="AF116" s="14">
        <v>317549386.30000001</v>
      </c>
      <c r="AG116" s="14">
        <v>0</v>
      </c>
      <c r="AH116" s="14">
        <v>0</v>
      </c>
      <c r="AI116" s="13" t="str">
        <f t="shared" si="12"/>
        <v>OK</v>
      </c>
      <c r="AJ116" s="14">
        <v>0</v>
      </c>
      <c r="AK116" s="14">
        <v>0</v>
      </c>
      <c r="AL116" s="14">
        <v>0</v>
      </c>
      <c r="AM116" s="14">
        <v>0</v>
      </c>
      <c r="AN116" s="14">
        <v>190248304</v>
      </c>
      <c r="AO116" s="14">
        <v>190249612</v>
      </c>
      <c r="AP116" s="15">
        <f t="shared" si="13"/>
        <v>1308</v>
      </c>
      <c r="AQ116" s="14">
        <v>1702282360.1600001</v>
      </c>
      <c r="AR116" s="14">
        <v>1702294063.74</v>
      </c>
      <c r="AS116" s="14">
        <v>0</v>
      </c>
      <c r="AT116" s="14">
        <v>0</v>
      </c>
      <c r="AU116" s="16">
        <f t="shared" si="14"/>
        <v>11703.579999923706</v>
      </c>
      <c r="AV116" s="13" t="str">
        <f t="shared" si="15"/>
        <v>SIM</v>
      </c>
      <c r="AW116" s="13" t="str">
        <f t="shared" si="16"/>
        <v>OK</v>
      </c>
      <c r="AX116" s="13" t="str">
        <f t="shared" si="17"/>
        <v>OK</v>
      </c>
    </row>
    <row r="117" spans="1:50" x14ac:dyDescent="0.3">
      <c r="A117" s="10" t="s">
        <v>573</v>
      </c>
      <c r="B117" t="s">
        <v>1448</v>
      </c>
      <c r="C117" t="s">
        <v>575</v>
      </c>
      <c r="D117" t="s">
        <v>576</v>
      </c>
      <c r="E117" t="s">
        <v>46</v>
      </c>
      <c r="F117" t="s">
        <v>102</v>
      </c>
      <c r="G117" t="s">
        <v>48</v>
      </c>
      <c r="H117" t="s">
        <v>363</v>
      </c>
      <c r="I117" t="s">
        <v>50</v>
      </c>
      <c r="J117" t="s">
        <v>51</v>
      </c>
      <c r="K117" t="s">
        <v>51</v>
      </c>
      <c r="L117" t="s">
        <v>52</v>
      </c>
      <c r="M117">
        <v>1850</v>
      </c>
      <c r="N117" s="11" t="str">
        <f t="shared" si="9"/>
        <v>OK</v>
      </c>
      <c r="O117" t="s">
        <v>54</v>
      </c>
      <c r="P117" t="s">
        <v>54</v>
      </c>
      <c r="Q117" t="s">
        <v>51</v>
      </c>
      <c r="R117" t="str">
        <f>VLOOKUP($D117,[1]Rascunho!$E$2:$S$296,15,FALSE)</f>
        <v>https://www.emater.mg.gov.br/download.do?id=87220</v>
      </c>
      <c r="S117" s="12">
        <v>16993025.91</v>
      </c>
      <c r="T117" s="12">
        <v>301232455.13</v>
      </c>
      <c r="U117" s="13" t="str">
        <f t="shared" si="10"/>
        <v>OK</v>
      </c>
      <c r="V117" s="14">
        <v>369535126.26999998</v>
      </c>
      <c r="W117" s="14">
        <v>25379778.120000001</v>
      </c>
      <c r="X117" t="s">
        <v>51</v>
      </c>
      <c r="Y117" s="14">
        <v>412026.34</v>
      </c>
      <c r="Z117" s="14">
        <v>0</v>
      </c>
      <c r="AA117" s="14">
        <v>11006.3</v>
      </c>
      <c r="AB117" s="14">
        <v>291997.57</v>
      </c>
      <c r="AC117" s="13" t="str">
        <f t="shared" si="11"/>
        <v>OK</v>
      </c>
      <c r="AD117" s="14">
        <v>87601889.599999994</v>
      </c>
      <c r="AE117" s="14">
        <v>0</v>
      </c>
      <c r="AF117" s="14">
        <v>0</v>
      </c>
      <c r="AG117" s="14">
        <v>211265546.31</v>
      </c>
      <c r="AH117" s="14">
        <v>219808184.53999999</v>
      </c>
      <c r="AI117" s="13" t="str">
        <f t="shared" si="12"/>
        <v>OK</v>
      </c>
      <c r="AJ117" s="14">
        <v>0</v>
      </c>
      <c r="AK117" s="14">
        <v>0</v>
      </c>
      <c r="AL117" s="14">
        <v>0</v>
      </c>
      <c r="AM117" s="14">
        <v>0</v>
      </c>
      <c r="AN117" s="14">
        <v>74990</v>
      </c>
      <c r="AO117" s="14">
        <v>74990</v>
      </c>
      <c r="AP117" s="15">
        <f t="shared" si="13"/>
        <v>0</v>
      </c>
      <c r="AQ117" s="14">
        <v>48597738.68</v>
      </c>
      <c r="AR117" s="14">
        <v>48597738.68</v>
      </c>
      <c r="AS117" s="14">
        <v>0</v>
      </c>
      <c r="AT117" s="14">
        <v>0</v>
      </c>
      <c r="AU117" s="16">
        <f t="shared" si="14"/>
        <v>0</v>
      </c>
      <c r="AV117" s="13" t="str">
        <f t="shared" si="15"/>
        <v>NÃO</v>
      </c>
      <c r="AW117" s="13" t="str">
        <f t="shared" si="16"/>
        <v>OK</v>
      </c>
      <c r="AX117" s="13" t="str">
        <f t="shared" si="17"/>
        <v>OK</v>
      </c>
    </row>
    <row r="118" spans="1:50" x14ac:dyDescent="0.3">
      <c r="A118" s="10" t="s">
        <v>573</v>
      </c>
      <c r="B118" t="s">
        <v>1449</v>
      </c>
      <c r="C118" t="s">
        <v>580</v>
      </c>
      <c r="D118" t="s">
        <v>581</v>
      </c>
      <c r="E118" t="s">
        <v>46</v>
      </c>
      <c r="F118" t="s">
        <v>150</v>
      </c>
      <c r="G118" t="s">
        <v>48</v>
      </c>
      <c r="H118" t="s">
        <v>363</v>
      </c>
      <c r="I118" t="s">
        <v>50</v>
      </c>
      <c r="J118" t="s">
        <v>51</v>
      </c>
      <c r="K118" t="s">
        <v>51</v>
      </c>
      <c r="L118" t="s">
        <v>52</v>
      </c>
      <c r="M118">
        <v>151</v>
      </c>
      <c r="N118" s="11" t="str">
        <f t="shared" si="9"/>
        <v>OK</v>
      </c>
      <c r="O118" t="s">
        <v>54</v>
      </c>
      <c r="P118" t="s">
        <v>54</v>
      </c>
      <c r="Q118" t="s">
        <v>51</v>
      </c>
      <c r="R118" t="str">
        <f>VLOOKUP($D118,[1]Rascunho!$E$2:$S$296,15,FALSE)</f>
        <v>https://emc.mg.gov.br/institucional/governanca/cartas/</v>
      </c>
      <c r="S118" s="12">
        <v>20433966.100000001</v>
      </c>
      <c r="T118" s="12">
        <v>17670781.370000001</v>
      </c>
      <c r="U118" s="13" t="str">
        <f t="shared" si="10"/>
        <v>OK</v>
      </c>
      <c r="V118" s="14">
        <v>21248884.350000001</v>
      </c>
      <c r="W118" s="14">
        <v>0</v>
      </c>
      <c r="X118" t="s">
        <v>51</v>
      </c>
      <c r="Y118" s="14">
        <v>207777.81</v>
      </c>
      <c r="Z118" s="14">
        <v>0</v>
      </c>
      <c r="AA118" s="14">
        <v>0</v>
      </c>
      <c r="AB118" s="14">
        <v>-947277.85</v>
      </c>
      <c r="AC118" s="13" t="str">
        <f t="shared" si="11"/>
        <v>OK</v>
      </c>
      <c r="AD118" s="14">
        <v>32426003.52</v>
      </c>
      <c r="AE118" s="14">
        <v>0</v>
      </c>
      <c r="AF118" s="14">
        <v>0</v>
      </c>
      <c r="AG118" s="14">
        <v>15904608.84</v>
      </c>
      <c r="AH118" s="14">
        <v>18586987.039999999</v>
      </c>
      <c r="AI118" s="13" t="str">
        <f t="shared" si="12"/>
        <v>OK</v>
      </c>
      <c r="AJ118" s="14">
        <v>0</v>
      </c>
      <c r="AK118" s="14">
        <v>0</v>
      </c>
      <c r="AL118" s="14">
        <v>0</v>
      </c>
      <c r="AM118" s="14">
        <v>0</v>
      </c>
      <c r="AN118" s="14">
        <v>9990</v>
      </c>
      <c r="AO118" s="14">
        <v>9990</v>
      </c>
      <c r="AP118" s="15">
        <f t="shared" si="13"/>
        <v>0</v>
      </c>
      <c r="AQ118" s="14">
        <v>9124916.25</v>
      </c>
      <c r="AR118" s="14">
        <v>9124916.25</v>
      </c>
      <c r="AS118" s="14">
        <v>0</v>
      </c>
      <c r="AT118" s="14">
        <v>0</v>
      </c>
      <c r="AU118" s="16">
        <f t="shared" si="14"/>
        <v>0</v>
      </c>
      <c r="AV118" s="13" t="str">
        <f t="shared" si="15"/>
        <v>NÃO</v>
      </c>
      <c r="AW118" s="13" t="str">
        <f t="shared" si="16"/>
        <v>OK</v>
      </c>
      <c r="AX118" s="13" t="str">
        <f t="shared" si="17"/>
        <v>OK</v>
      </c>
    </row>
    <row r="119" spans="1:50" x14ac:dyDescent="0.3">
      <c r="A119" s="10" t="s">
        <v>573</v>
      </c>
      <c r="B119" t="s">
        <v>1450</v>
      </c>
      <c r="C119" t="s">
        <v>585</v>
      </c>
      <c r="D119" t="s">
        <v>586</v>
      </c>
      <c r="E119" t="s">
        <v>46</v>
      </c>
      <c r="F119" t="s">
        <v>102</v>
      </c>
      <c r="G119" t="s">
        <v>48</v>
      </c>
      <c r="H119" t="s">
        <v>363</v>
      </c>
      <c r="I119" t="s">
        <v>50</v>
      </c>
      <c r="J119" t="s">
        <v>51</v>
      </c>
      <c r="K119" t="s">
        <v>51</v>
      </c>
      <c r="L119" t="s">
        <v>52</v>
      </c>
      <c r="M119">
        <v>754</v>
      </c>
      <c r="N119" s="11" t="str">
        <f t="shared" si="9"/>
        <v>OK</v>
      </c>
      <c r="O119" t="s">
        <v>54</v>
      </c>
      <c r="P119" t="s">
        <v>54</v>
      </c>
      <c r="Q119" t="s">
        <v>51</v>
      </c>
      <c r="R119" t="str">
        <f>VLOOKUP($D119,[1]Rascunho!$E$2:$S$296,15,FALSE)</f>
        <v>https://www.epamig.br/wp-content/uploads/2024/04/carta_de_governanca-2023.pdf</v>
      </c>
      <c r="S119" s="12">
        <v>13165156.609999999</v>
      </c>
      <c r="T119" s="12">
        <v>88833265.519999996</v>
      </c>
      <c r="U119" s="13" t="str">
        <f t="shared" si="10"/>
        <v>OK</v>
      </c>
      <c r="V119" s="14">
        <v>129507075.06</v>
      </c>
      <c r="W119" s="14">
        <v>14341693.789999999</v>
      </c>
      <c r="X119" t="s">
        <v>51</v>
      </c>
      <c r="Y119" s="14">
        <v>324946.56</v>
      </c>
      <c r="Z119" s="14">
        <v>0</v>
      </c>
      <c r="AA119" s="14">
        <v>0</v>
      </c>
      <c r="AB119" s="14">
        <v>9243105.4399999995</v>
      </c>
      <c r="AC119" s="13" t="str">
        <f t="shared" si="11"/>
        <v>OK</v>
      </c>
      <c r="AD119" s="14">
        <v>66337667.140000001</v>
      </c>
      <c r="AE119" s="14">
        <v>0</v>
      </c>
      <c r="AF119" s="14">
        <v>0</v>
      </c>
      <c r="AG119" s="14">
        <v>106802438.3</v>
      </c>
      <c r="AH119" s="14">
        <v>113599676.16</v>
      </c>
      <c r="AI119" s="13" t="str">
        <f t="shared" si="12"/>
        <v>OK</v>
      </c>
      <c r="AJ119" s="14">
        <v>8823598.9199999999</v>
      </c>
      <c r="AK119" s="14">
        <v>266643.34000000003</v>
      </c>
      <c r="AL119" s="14">
        <v>0</v>
      </c>
      <c r="AM119" s="14">
        <v>0</v>
      </c>
      <c r="AN119" s="14">
        <v>100</v>
      </c>
      <c r="AO119" s="14">
        <v>100</v>
      </c>
      <c r="AP119" s="15">
        <f t="shared" si="13"/>
        <v>0</v>
      </c>
      <c r="AQ119" s="14">
        <v>31600000</v>
      </c>
      <c r="AR119" s="14">
        <v>31600000</v>
      </c>
      <c r="AS119" s="14">
        <v>0</v>
      </c>
      <c r="AT119" s="14">
        <v>0</v>
      </c>
      <c r="AU119" s="16">
        <f t="shared" si="14"/>
        <v>0</v>
      </c>
      <c r="AV119" s="13" t="str">
        <f t="shared" si="15"/>
        <v>NÃO</v>
      </c>
      <c r="AW119" s="13" t="str">
        <f t="shared" si="16"/>
        <v>OK</v>
      </c>
      <c r="AX119" s="13" t="str">
        <f t="shared" si="17"/>
        <v>OK</v>
      </c>
    </row>
    <row r="120" spans="1:50" x14ac:dyDescent="0.3">
      <c r="A120" s="10" t="s">
        <v>573</v>
      </c>
      <c r="B120" t="s">
        <v>1451</v>
      </c>
      <c r="C120" t="s">
        <v>624</v>
      </c>
      <c r="D120" t="s">
        <v>625</v>
      </c>
      <c r="E120" t="s">
        <v>46</v>
      </c>
      <c r="F120" t="s">
        <v>139</v>
      </c>
      <c r="G120" t="s">
        <v>60</v>
      </c>
      <c r="H120" t="s">
        <v>49</v>
      </c>
      <c r="I120" t="s">
        <v>373</v>
      </c>
      <c r="J120" t="s">
        <v>51</v>
      </c>
      <c r="K120" t="s">
        <v>54</v>
      </c>
      <c r="L120" t="s">
        <v>134</v>
      </c>
      <c r="M120">
        <v>323</v>
      </c>
      <c r="N120" s="11" t="str">
        <f t="shared" si="9"/>
        <v>OK</v>
      </c>
      <c r="O120" t="s">
        <v>54</v>
      </c>
      <c r="P120" t="s">
        <v>54</v>
      </c>
      <c r="Q120" t="s">
        <v>54</v>
      </c>
      <c r="R120" t="str">
        <f>VLOOKUP($D120,[1]Rascunho!$E$2:$S$296,15,FALSE)</f>
        <v>https://api.mziq.com/mzfilemanager/v2/d/f991396d-aa51-4366-b93d-af70a51d7b15/f3b62961-fb6b-48bb-ac7e-913d88c8d015?origin=1</v>
      </c>
      <c r="S120" s="12">
        <v>3600723172.46</v>
      </c>
      <c r="T120" s="12">
        <v>88363372.659999996</v>
      </c>
      <c r="U120" s="13" t="str">
        <f t="shared" si="10"/>
        <v>OK</v>
      </c>
      <c r="V120" s="14">
        <v>2657849000</v>
      </c>
      <c r="W120" s="14">
        <v>301856528.33999997</v>
      </c>
      <c r="X120" t="s">
        <v>54</v>
      </c>
      <c r="Y120" s="14">
        <v>987774.33</v>
      </c>
      <c r="Z120" s="14">
        <v>477065.97</v>
      </c>
      <c r="AA120" s="14">
        <v>19551</v>
      </c>
      <c r="AB120" s="14">
        <v>596088897.60000002</v>
      </c>
      <c r="AC120" s="13" t="str">
        <f t="shared" si="11"/>
        <v>OK</v>
      </c>
      <c r="AD120" s="14">
        <v>1305819594.3299999</v>
      </c>
      <c r="AE120" s="14">
        <v>0</v>
      </c>
      <c r="AF120" s="14">
        <v>0</v>
      </c>
      <c r="AG120" s="14">
        <v>0</v>
      </c>
      <c r="AH120" s="14">
        <v>0</v>
      </c>
      <c r="AI120" s="13" t="str">
        <f t="shared" si="12"/>
        <v>OK</v>
      </c>
      <c r="AJ120" s="14">
        <v>0</v>
      </c>
      <c r="AK120" s="14">
        <v>0</v>
      </c>
      <c r="AL120" s="14">
        <v>0</v>
      </c>
      <c r="AM120" s="14">
        <v>0</v>
      </c>
      <c r="AN120" s="14">
        <v>305621639</v>
      </c>
      <c r="AO120" s="14">
        <v>305621639</v>
      </c>
      <c r="AP120" s="15">
        <f t="shared" si="13"/>
        <v>0</v>
      </c>
      <c r="AQ120" s="14">
        <v>662567679.27999997</v>
      </c>
      <c r="AR120" s="14">
        <v>662567679.27999997</v>
      </c>
      <c r="AS120" s="14">
        <v>0</v>
      </c>
      <c r="AT120" s="14">
        <v>0</v>
      </c>
      <c r="AU120" s="16">
        <f t="shared" si="14"/>
        <v>0</v>
      </c>
      <c r="AV120" s="13" t="str">
        <f t="shared" si="15"/>
        <v>NÃO</v>
      </c>
      <c r="AW120" s="13" t="str">
        <f t="shared" si="16"/>
        <v>OK</v>
      </c>
      <c r="AX120" s="13" t="str">
        <f t="shared" si="17"/>
        <v>OK</v>
      </c>
    </row>
    <row r="121" spans="1:50" x14ac:dyDescent="0.3">
      <c r="A121" s="10" t="s">
        <v>573</v>
      </c>
      <c r="B121" t="s">
        <v>1452</v>
      </c>
      <c r="C121" t="s">
        <v>629</v>
      </c>
      <c r="D121" t="s">
        <v>630</v>
      </c>
      <c r="E121" t="s">
        <v>46</v>
      </c>
      <c r="F121" t="s">
        <v>240</v>
      </c>
      <c r="G121" t="s">
        <v>48</v>
      </c>
      <c r="H121" t="s">
        <v>49</v>
      </c>
      <c r="I121" t="s">
        <v>50</v>
      </c>
      <c r="J121" t="s">
        <v>51</v>
      </c>
      <c r="K121" t="s">
        <v>51</v>
      </c>
      <c r="L121" t="s">
        <v>134</v>
      </c>
      <c r="M121">
        <v>0</v>
      </c>
      <c r="N121" s="11" t="str">
        <f t="shared" si="9"/>
        <v>VERIFICAR</v>
      </c>
      <c r="O121" t="s">
        <v>54</v>
      </c>
      <c r="P121" t="s">
        <v>54</v>
      </c>
      <c r="Q121" t="s">
        <v>51</v>
      </c>
      <c r="R121" t="str">
        <f>VLOOKUP($D121,[1]Rascunho!$E$2:$S$296,15,FALSE)</f>
        <v>http://www.infraestrutura.mg.gov.br/images/documentos/metrominas/publicacoes-anuais/2022/Carta-Anual-de-Governanca-Corporativa.pdf</v>
      </c>
      <c r="S121" s="12">
        <v>2714</v>
      </c>
      <c r="T121" s="12">
        <v>0</v>
      </c>
      <c r="U121" s="13" t="str">
        <f t="shared" si="10"/>
        <v>OK</v>
      </c>
      <c r="V121" s="14">
        <v>20677</v>
      </c>
      <c r="W121" s="14">
        <v>0</v>
      </c>
      <c r="X121" t="s">
        <v>51</v>
      </c>
      <c r="Y121" s="14">
        <v>0</v>
      </c>
      <c r="Z121" s="14">
        <v>0</v>
      </c>
      <c r="AA121" s="14">
        <v>0</v>
      </c>
      <c r="AB121" s="14">
        <v>-17963</v>
      </c>
      <c r="AC121" s="13" t="str">
        <f t="shared" si="11"/>
        <v>OK</v>
      </c>
      <c r="AD121" s="14">
        <v>23708</v>
      </c>
      <c r="AE121" s="14">
        <v>0</v>
      </c>
      <c r="AF121" s="14">
        <v>0</v>
      </c>
      <c r="AG121" s="14">
        <v>0</v>
      </c>
      <c r="AH121" s="14">
        <v>0</v>
      </c>
      <c r="AI121" s="13" t="str">
        <f t="shared" si="12"/>
        <v>OK</v>
      </c>
      <c r="AJ121" s="14">
        <v>0</v>
      </c>
      <c r="AK121" s="14">
        <v>0</v>
      </c>
      <c r="AL121" s="14">
        <v>0</v>
      </c>
      <c r="AM121" s="14">
        <v>0</v>
      </c>
      <c r="AN121" s="14">
        <v>2365310</v>
      </c>
      <c r="AO121" s="14">
        <v>2365310</v>
      </c>
      <c r="AP121" s="15">
        <f t="shared" si="13"/>
        <v>0</v>
      </c>
      <c r="AQ121" s="14">
        <v>0</v>
      </c>
      <c r="AR121" s="14">
        <v>0</v>
      </c>
      <c r="AS121" s="14">
        <v>0</v>
      </c>
      <c r="AT121" s="14">
        <v>0</v>
      </c>
      <c r="AU121" s="16">
        <f t="shared" si="14"/>
        <v>0</v>
      </c>
      <c r="AV121" s="13" t="str">
        <f t="shared" si="15"/>
        <v>NÃO</v>
      </c>
      <c r="AW121" s="13" t="str">
        <f t="shared" si="16"/>
        <v>OK</v>
      </c>
      <c r="AX121" s="13" t="str">
        <f t="shared" si="17"/>
        <v>OK</v>
      </c>
    </row>
    <row r="122" spans="1:50" x14ac:dyDescent="0.3">
      <c r="A122" s="10" t="s">
        <v>573</v>
      </c>
      <c r="B122" t="s">
        <v>1453</v>
      </c>
      <c r="C122" t="s">
        <v>633</v>
      </c>
      <c r="D122" t="s">
        <v>634</v>
      </c>
      <c r="E122" t="s">
        <v>46</v>
      </c>
      <c r="F122" t="s">
        <v>133</v>
      </c>
      <c r="G122" t="s">
        <v>60</v>
      </c>
      <c r="H122" t="s">
        <v>49</v>
      </c>
      <c r="I122" t="s">
        <v>50</v>
      </c>
      <c r="J122" t="s">
        <v>51</v>
      </c>
      <c r="K122" t="s">
        <v>51</v>
      </c>
      <c r="L122" t="s">
        <v>134</v>
      </c>
      <c r="M122">
        <v>84</v>
      </c>
      <c r="N122" s="11" t="str">
        <f t="shared" si="9"/>
        <v>OK</v>
      </c>
      <c r="O122" t="s">
        <v>54</v>
      </c>
      <c r="P122" t="s">
        <v>54</v>
      </c>
      <c r="Q122" t="s">
        <v>54</v>
      </c>
      <c r="R122" t="str">
        <f>VLOOKUP($D122,[1]Rascunho!$E$2:$S$296,15,FALSE)</f>
        <v>https://www.mgipart.com.br/governanca/PoliticasPublicasEGovernancas</v>
      </c>
      <c r="S122" s="12">
        <v>242600940.91</v>
      </c>
      <c r="T122" s="12">
        <v>13339197.470000001</v>
      </c>
      <c r="U122" s="13" t="str">
        <f t="shared" si="10"/>
        <v>OK</v>
      </c>
      <c r="V122" s="14">
        <v>1010210658.33</v>
      </c>
      <c r="W122" s="14">
        <v>0</v>
      </c>
      <c r="X122" t="s">
        <v>51</v>
      </c>
      <c r="Y122" s="14">
        <v>413332.94</v>
      </c>
      <c r="Z122" s="14">
        <v>0</v>
      </c>
      <c r="AA122" s="14">
        <v>0</v>
      </c>
      <c r="AB122" s="14">
        <v>-65852806.140000001</v>
      </c>
      <c r="AC122" s="13" t="str">
        <f t="shared" si="11"/>
        <v>OK</v>
      </c>
      <c r="AD122" s="14">
        <v>955893077.5</v>
      </c>
      <c r="AE122" s="14">
        <v>0</v>
      </c>
      <c r="AF122" s="14">
        <v>0</v>
      </c>
      <c r="AG122" s="14">
        <v>0</v>
      </c>
      <c r="AH122" s="14">
        <v>0</v>
      </c>
      <c r="AI122" s="13" t="str">
        <f t="shared" si="12"/>
        <v>OK</v>
      </c>
      <c r="AJ122" s="14">
        <v>0</v>
      </c>
      <c r="AK122" s="14">
        <v>0</v>
      </c>
      <c r="AL122" s="14">
        <v>107462018.78</v>
      </c>
      <c r="AM122" s="14">
        <v>75200578.469999999</v>
      </c>
      <c r="AN122" s="14">
        <v>574184398</v>
      </c>
      <c r="AO122" s="14">
        <v>574184398</v>
      </c>
      <c r="AP122" s="15">
        <f t="shared" si="13"/>
        <v>0</v>
      </c>
      <c r="AQ122" s="14">
        <v>1332828906.05</v>
      </c>
      <c r="AR122" s="14">
        <v>1404828906.05</v>
      </c>
      <c r="AS122" s="14">
        <v>191106758.22</v>
      </c>
      <c r="AT122" s="14">
        <v>115906179.75</v>
      </c>
      <c r="AU122" s="16">
        <f t="shared" si="14"/>
        <v>187906179.75</v>
      </c>
      <c r="AV122" s="13" t="str">
        <f t="shared" si="15"/>
        <v>SIM</v>
      </c>
      <c r="AW122" s="13" t="str">
        <f t="shared" si="16"/>
        <v>VER CAPITAL</v>
      </c>
      <c r="AX122" s="13" t="str">
        <f t="shared" si="17"/>
        <v>OK</v>
      </c>
    </row>
    <row r="123" spans="1:50" x14ac:dyDescent="0.3">
      <c r="A123" s="10" t="s">
        <v>573</v>
      </c>
      <c r="B123" t="s">
        <v>1454</v>
      </c>
      <c r="C123" t="s">
        <v>638</v>
      </c>
      <c r="D123" t="s">
        <v>639</v>
      </c>
      <c r="E123" t="s">
        <v>46</v>
      </c>
      <c r="F123" t="s">
        <v>59</v>
      </c>
      <c r="G123" t="s">
        <v>48</v>
      </c>
      <c r="H123" t="s">
        <v>49</v>
      </c>
      <c r="I123" t="s">
        <v>50</v>
      </c>
      <c r="J123" t="s">
        <v>51</v>
      </c>
      <c r="K123" t="s">
        <v>51</v>
      </c>
      <c r="L123" t="s">
        <v>134</v>
      </c>
      <c r="M123">
        <v>29528</v>
      </c>
      <c r="N123" s="11" t="str">
        <f t="shared" si="9"/>
        <v>OK</v>
      </c>
      <c r="O123" t="s">
        <v>54</v>
      </c>
      <c r="P123" t="s">
        <v>54</v>
      </c>
      <c r="Q123" t="s">
        <v>54</v>
      </c>
      <c r="R123" t="str">
        <f>VLOOKUP($D123,[1]Rascunho!$E$2:$S$296,15,FALSE)</f>
        <v>https://www.mgs.srv.br/detalhe-da-materia/info/cartas-anuais/16767</v>
      </c>
      <c r="S123" s="12">
        <v>1425900456.6300001</v>
      </c>
      <c r="T123" s="12">
        <v>63085682.109999999</v>
      </c>
      <c r="U123" s="13" t="str">
        <f t="shared" si="10"/>
        <v>OK</v>
      </c>
      <c r="V123" s="14">
        <v>98916638.439999998</v>
      </c>
      <c r="W123" s="14">
        <v>2735480.09</v>
      </c>
      <c r="X123" t="s">
        <v>54</v>
      </c>
      <c r="Y123" s="14">
        <v>512529.81</v>
      </c>
      <c r="Z123" s="14">
        <v>81788.56</v>
      </c>
      <c r="AA123" s="14">
        <v>6247.46</v>
      </c>
      <c r="AB123" s="14">
        <v>70534415.549999997</v>
      </c>
      <c r="AC123" s="13" t="str">
        <f t="shared" si="11"/>
        <v>OK</v>
      </c>
      <c r="AD123" s="14">
        <v>183863028.53999999</v>
      </c>
      <c r="AE123" s="14">
        <v>0</v>
      </c>
      <c r="AF123" s="14">
        <v>20152294.719999999</v>
      </c>
      <c r="AG123" s="14">
        <v>0</v>
      </c>
      <c r="AH123" s="14">
        <v>0</v>
      </c>
      <c r="AI123" s="13" t="str">
        <f t="shared" si="12"/>
        <v>OK</v>
      </c>
      <c r="AJ123" s="14">
        <v>0</v>
      </c>
      <c r="AK123" s="14">
        <v>0</v>
      </c>
      <c r="AL123" s="14">
        <v>0</v>
      </c>
      <c r="AM123" s="14">
        <v>0</v>
      </c>
      <c r="AN123" s="14">
        <v>9965000</v>
      </c>
      <c r="AO123" s="14">
        <v>9965000</v>
      </c>
      <c r="AP123" s="15">
        <f t="shared" si="13"/>
        <v>0</v>
      </c>
      <c r="AQ123" s="14">
        <v>91717114.019999996</v>
      </c>
      <c r="AR123" s="14">
        <v>91717114.019999996</v>
      </c>
      <c r="AS123" s="14">
        <v>0</v>
      </c>
      <c r="AT123" s="14">
        <v>0</v>
      </c>
      <c r="AU123" s="16">
        <f t="shared" si="14"/>
        <v>0</v>
      </c>
      <c r="AV123" s="13" t="str">
        <f t="shared" si="15"/>
        <v>NÃO</v>
      </c>
      <c r="AW123" s="13" t="str">
        <f t="shared" si="16"/>
        <v>OK</v>
      </c>
      <c r="AX123" s="13" t="str">
        <f t="shared" si="17"/>
        <v>OK</v>
      </c>
    </row>
    <row r="124" spans="1:50" x14ac:dyDescent="0.3">
      <c r="A124" s="10" t="s">
        <v>573</v>
      </c>
      <c r="B124" t="s">
        <v>1455</v>
      </c>
      <c r="C124" t="s">
        <v>643</v>
      </c>
      <c r="D124" t="s">
        <v>644</v>
      </c>
      <c r="E124" t="s">
        <v>46</v>
      </c>
      <c r="F124" t="s">
        <v>47</v>
      </c>
      <c r="G124" t="s">
        <v>60</v>
      </c>
      <c r="H124" t="s">
        <v>49</v>
      </c>
      <c r="I124" t="s">
        <v>50</v>
      </c>
      <c r="J124" t="s">
        <v>51</v>
      </c>
      <c r="K124" t="s">
        <v>51</v>
      </c>
      <c r="L124" t="s">
        <v>134</v>
      </c>
      <c r="M124">
        <v>1071</v>
      </c>
      <c r="N124" s="11" t="str">
        <f t="shared" si="9"/>
        <v>OK</v>
      </c>
      <c r="O124" t="s">
        <v>54</v>
      </c>
      <c r="P124" t="s">
        <v>54</v>
      </c>
      <c r="Q124" t="s">
        <v>54</v>
      </c>
      <c r="R124" t="str">
        <f>VLOOKUP($D124,[1]Rascunho!$E$2:$S$296,15,FALSE)</f>
        <v>https://www.prodemge.gov.br/governanca/carta-anual#2023</v>
      </c>
      <c r="S124" s="12">
        <v>323664322.30000001</v>
      </c>
      <c r="T124" s="12">
        <v>195716387.41</v>
      </c>
      <c r="U124" s="13" t="str">
        <f t="shared" si="10"/>
        <v>OK</v>
      </c>
      <c r="V124" s="14">
        <v>278880278.23000002</v>
      </c>
      <c r="W124" s="14">
        <v>4337448.6500000004</v>
      </c>
      <c r="X124" t="s">
        <v>54</v>
      </c>
      <c r="Y124" s="14">
        <v>468035.61</v>
      </c>
      <c r="Z124" s="14">
        <v>1655.14</v>
      </c>
      <c r="AA124" s="14">
        <v>11925.36</v>
      </c>
      <c r="AB124" s="14">
        <v>54894000</v>
      </c>
      <c r="AC124" s="13" t="str">
        <f t="shared" si="11"/>
        <v>OK</v>
      </c>
      <c r="AD124" s="14">
        <v>160421000</v>
      </c>
      <c r="AE124" s="14">
        <v>0</v>
      </c>
      <c r="AF124" s="14">
        <v>19471897.48</v>
      </c>
      <c r="AG124" s="14">
        <v>0</v>
      </c>
      <c r="AH124" s="14">
        <v>0</v>
      </c>
      <c r="AI124" s="13" t="str">
        <f t="shared" si="12"/>
        <v>OK</v>
      </c>
      <c r="AJ124" s="14">
        <v>0</v>
      </c>
      <c r="AK124" s="14">
        <v>0</v>
      </c>
      <c r="AL124" s="14">
        <v>0</v>
      </c>
      <c r="AM124" s="14">
        <v>0</v>
      </c>
      <c r="AN124" s="14">
        <v>96481395</v>
      </c>
      <c r="AO124" s="14">
        <v>96481395</v>
      </c>
      <c r="AP124" s="15">
        <f t="shared" si="13"/>
        <v>0</v>
      </c>
      <c r="AQ124" s="14">
        <v>96481395</v>
      </c>
      <c r="AR124" s="14">
        <v>96481395</v>
      </c>
      <c r="AS124" s="14">
        <v>0</v>
      </c>
      <c r="AT124" s="14">
        <v>0</v>
      </c>
      <c r="AU124" s="16">
        <f t="shared" si="14"/>
        <v>0</v>
      </c>
      <c r="AV124" s="13" t="str">
        <f t="shared" si="15"/>
        <v>NÃO</v>
      </c>
      <c r="AW124" s="13" t="str">
        <f t="shared" si="16"/>
        <v>OK</v>
      </c>
      <c r="AX124" s="13" t="str">
        <f t="shared" si="17"/>
        <v>OK</v>
      </c>
    </row>
    <row r="125" spans="1:50" ht="57.6" x14ac:dyDescent="0.3">
      <c r="A125" s="10" t="s">
        <v>647</v>
      </c>
      <c r="B125" t="s">
        <v>1456</v>
      </c>
      <c r="C125" t="s">
        <v>649</v>
      </c>
      <c r="D125" t="s">
        <v>650</v>
      </c>
      <c r="E125" t="s">
        <v>70</v>
      </c>
      <c r="F125" s="6" t="s">
        <v>102</v>
      </c>
      <c r="G125" t="s">
        <v>48</v>
      </c>
      <c r="H125" t="s">
        <v>76</v>
      </c>
      <c r="I125" t="s">
        <v>50</v>
      </c>
      <c r="J125" t="s">
        <v>51</v>
      </c>
      <c r="K125" t="s">
        <v>51</v>
      </c>
      <c r="L125" t="s">
        <v>52</v>
      </c>
      <c r="M125">
        <v>0</v>
      </c>
      <c r="N125" s="11" t="str">
        <f t="shared" si="9"/>
        <v>OK</v>
      </c>
      <c r="O125" t="s">
        <v>51</v>
      </c>
      <c r="P125" t="s">
        <v>54</v>
      </c>
      <c r="Q125" t="s">
        <v>51</v>
      </c>
      <c r="R125" t="str">
        <f>VLOOKUP($D125,[1]Rascunho!$E$2:$S$296,15,FALSE)</f>
        <v>Página da internet não localizada</v>
      </c>
      <c r="S125" s="12">
        <v>0</v>
      </c>
      <c r="T125" s="12">
        <v>0</v>
      </c>
      <c r="U125" s="13" t="str">
        <f t="shared" si="10"/>
        <v>OK</v>
      </c>
      <c r="V125" s="14">
        <v>0</v>
      </c>
      <c r="W125" s="14">
        <v>0</v>
      </c>
      <c r="X125" t="s">
        <v>51</v>
      </c>
      <c r="Y125" s="14">
        <v>0</v>
      </c>
      <c r="Z125" s="14">
        <v>0</v>
      </c>
      <c r="AA125" s="14">
        <v>0</v>
      </c>
      <c r="AB125" s="14">
        <v>-88620147.239999995</v>
      </c>
      <c r="AC125" s="13" t="str">
        <f t="shared" si="11"/>
        <v>OK</v>
      </c>
      <c r="AD125" s="14">
        <v>-1099426087.6400001</v>
      </c>
      <c r="AE125" s="14" t="e">
        <v>#VALUE!</v>
      </c>
      <c r="AF125" s="14">
        <v>0</v>
      </c>
      <c r="AG125" s="14">
        <v>0</v>
      </c>
      <c r="AH125" s="14">
        <v>0</v>
      </c>
      <c r="AI125" s="13" t="str">
        <f t="shared" si="12"/>
        <v>OK</v>
      </c>
      <c r="AJ125" s="14">
        <v>0</v>
      </c>
      <c r="AK125" s="14">
        <v>0</v>
      </c>
      <c r="AL125" s="14">
        <v>0</v>
      </c>
      <c r="AM125" s="14">
        <v>0</v>
      </c>
      <c r="AN125" s="14">
        <v>100</v>
      </c>
      <c r="AO125" s="14">
        <v>100</v>
      </c>
      <c r="AP125" s="15">
        <f t="shared" si="13"/>
        <v>0</v>
      </c>
      <c r="AQ125" s="14">
        <v>13803453.68</v>
      </c>
      <c r="AR125" s="14">
        <v>13803453.68</v>
      </c>
      <c r="AS125" s="14">
        <v>0</v>
      </c>
      <c r="AT125" s="14">
        <v>0</v>
      </c>
      <c r="AU125" s="16">
        <f t="shared" si="14"/>
        <v>0</v>
      </c>
      <c r="AV125" s="13" t="str">
        <f t="shared" si="15"/>
        <v>NÃO</v>
      </c>
      <c r="AW125" s="13" t="str">
        <f t="shared" si="16"/>
        <v>OK</v>
      </c>
      <c r="AX125" s="13" t="str">
        <f t="shared" si="17"/>
        <v>OK</v>
      </c>
    </row>
    <row r="126" spans="1:50" x14ac:dyDescent="0.3">
      <c r="A126" s="10" t="s">
        <v>647</v>
      </c>
      <c r="B126" t="s">
        <v>1457</v>
      </c>
      <c r="C126" t="s">
        <v>1458</v>
      </c>
      <c r="D126" t="s">
        <v>656</v>
      </c>
      <c r="E126" t="s">
        <v>46</v>
      </c>
      <c r="F126" t="s">
        <v>75</v>
      </c>
      <c r="G126" t="s">
        <v>60</v>
      </c>
      <c r="H126" t="s">
        <v>49</v>
      </c>
      <c r="I126" t="s">
        <v>50</v>
      </c>
      <c r="J126" t="s">
        <v>51</v>
      </c>
      <c r="K126" t="s">
        <v>51</v>
      </c>
      <c r="L126" t="s">
        <v>134</v>
      </c>
      <c r="M126">
        <v>48</v>
      </c>
      <c r="N126" s="11" t="str">
        <f t="shared" si="9"/>
        <v>OK</v>
      </c>
      <c r="O126" t="s">
        <v>54</v>
      </c>
      <c r="P126" t="s">
        <v>54</v>
      </c>
      <c r="Q126" t="s">
        <v>51</v>
      </c>
      <c r="R126" t="str">
        <f>VLOOKUP($D126,[1]Rascunho!$E$2:$S$296,15,FALSE)</f>
        <v>https://www.ceasa.ms.gov.br/</v>
      </c>
      <c r="S126" s="12">
        <v>3561040.38</v>
      </c>
      <c r="T126" s="12">
        <v>2065206.33</v>
      </c>
      <c r="U126" s="13" t="str">
        <f t="shared" si="10"/>
        <v>OK</v>
      </c>
      <c r="V126" s="14">
        <v>3975207.84</v>
      </c>
      <c r="W126" s="14">
        <v>7166.06</v>
      </c>
      <c r="X126" t="s">
        <v>51</v>
      </c>
      <c r="Y126" s="14">
        <v>73292.289999999994</v>
      </c>
      <c r="Z126" s="14">
        <v>0</v>
      </c>
      <c r="AA126" s="14">
        <v>0</v>
      </c>
      <c r="AB126" s="14">
        <v>642777.96</v>
      </c>
      <c r="AC126" s="13" t="str">
        <f t="shared" si="11"/>
        <v>OK</v>
      </c>
      <c r="AD126" s="14">
        <v>1503780.18</v>
      </c>
      <c r="AE126" s="14" t="e">
        <v>#VALUE!</v>
      </c>
      <c r="AF126" s="14">
        <v>0</v>
      </c>
      <c r="AG126" s="14">
        <v>0</v>
      </c>
      <c r="AH126" s="14">
        <v>0</v>
      </c>
      <c r="AI126" s="13" t="str">
        <f t="shared" si="12"/>
        <v>OK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5">
        <f t="shared" si="13"/>
        <v>0</v>
      </c>
      <c r="AQ126" s="14">
        <v>520437</v>
      </c>
      <c r="AR126" s="14">
        <v>520437</v>
      </c>
      <c r="AS126" s="14">
        <v>0</v>
      </c>
      <c r="AT126" s="14">
        <v>0</v>
      </c>
      <c r="AU126" s="16">
        <f t="shared" si="14"/>
        <v>0</v>
      </c>
      <c r="AV126" s="13" t="str">
        <f t="shared" si="15"/>
        <v>NÃO</v>
      </c>
      <c r="AW126" s="13" t="str">
        <f t="shared" si="16"/>
        <v>OK</v>
      </c>
      <c r="AX126" s="13" t="str">
        <f t="shared" si="17"/>
        <v>OK</v>
      </c>
    </row>
    <row r="127" spans="1:50" x14ac:dyDescent="0.3">
      <c r="A127" s="10" t="s">
        <v>647</v>
      </c>
      <c r="B127" t="s">
        <v>1459</v>
      </c>
      <c r="C127" t="s">
        <v>659</v>
      </c>
      <c r="D127" t="s">
        <v>660</v>
      </c>
      <c r="E127" t="s">
        <v>46</v>
      </c>
      <c r="F127" t="s">
        <v>59</v>
      </c>
      <c r="G127" t="s">
        <v>48</v>
      </c>
      <c r="H127" t="s">
        <v>76</v>
      </c>
      <c r="I127" t="s">
        <v>50</v>
      </c>
      <c r="J127" t="s">
        <v>51</v>
      </c>
      <c r="K127" t="s">
        <v>51</v>
      </c>
      <c r="L127" t="s">
        <v>134</v>
      </c>
      <c r="M127">
        <v>0</v>
      </c>
      <c r="N127" s="11" t="str">
        <f t="shared" si="9"/>
        <v>VERIFICAR</v>
      </c>
      <c r="O127" t="s">
        <v>51</v>
      </c>
      <c r="P127" t="s">
        <v>51</v>
      </c>
      <c r="Q127" t="s">
        <v>51</v>
      </c>
      <c r="R127" t="str">
        <f>VLOOKUP($D127,[1]Rascunho!$E$2:$S$296,15,FALSE)</f>
        <v>Página da internet não localizada</v>
      </c>
      <c r="S127" s="12">
        <v>0</v>
      </c>
      <c r="T127" s="12">
        <v>0</v>
      </c>
      <c r="U127" s="13" t="str">
        <f t="shared" si="10"/>
        <v>OK</v>
      </c>
      <c r="V127" s="14">
        <v>0</v>
      </c>
      <c r="W127" s="14">
        <v>0</v>
      </c>
      <c r="X127" t="s">
        <v>51</v>
      </c>
      <c r="Y127" s="14">
        <v>0</v>
      </c>
      <c r="Z127" s="14">
        <v>0</v>
      </c>
      <c r="AA127" s="14">
        <v>0</v>
      </c>
      <c r="AB127" s="14">
        <v>0</v>
      </c>
      <c r="AC127" s="13" t="str">
        <f t="shared" si="11"/>
        <v>OK</v>
      </c>
      <c r="AD127" s="14">
        <v>0</v>
      </c>
      <c r="AE127" s="14" t="e">
        <v>#VALUE!</v>
      </c>
      <c r="AF127" s="14">
        <v>0</v>
      </c>
      <c r="AG127" s="14">
        <v>0</v>
      </c>
      <c r="AH127" s="14">
        <v>0</v>
      </c>
      <c r="AI127" s="13" t="str">
        <f t="shared" si="12"/>
        <v>OK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5">
        <f t="shared" si="13"/>
        <v>0</v>
      </c>
      <c r="AQ127" s="14">
        <v>0</v>
      </c>
      <c r="AR127" s="14">
        <v>0</v>
      </c>
      <c r="AS127" s="14">
        <v>0</v>
      </c>
      <c r="AT127" s="14">
        <v>0</v>
      </c>
      <c r="AU127" s="16">
        <f t="shared" si="14"/>
        <v>0</v>
      </c>
      <c r="AV127" s="13" t="str">
        <f t="shared" si="15"/>
        <v>NÃO</v>
      </c>
      <c r="AW127" s="13" t="str">
        <f t="shared" si="16"/>
        <v>OK</v>
      </c>
      <c r="AX127" s="13" t="str">
        <f t="shared" si="17"/>
        <v>OK</v>
      </c>
    </row>
    <row r="128" spans="1:50" x14ac:dyDescent="0.3">
      <c r="A128" s="10" t="s">
        <v>647</v>
      </c>
      <c r="B128" t="s">
        <v>1460</v>
      </c>
      <c r="C128" t="s">
        <v>662</v>
      </c>
      <c r="D128" t="s">
        <v>663</v>
      </c>
      <c r="E128" t="s">
        <v>46</v>
      </c>
      <c r="F128" t="s">
        <v>139</v>
      </c>
      <c r="G128" t="s">
        <v>60</v>
      </c>
      <c r="H128" t="s">
        <v>49</v>
      </c>
      <c r="I128" t="s">
        <v>50</v>
      </c>
      <c r="J128" t="s">
        <v>51</v>
      </c>
      <c r="K128" t="s">
        <v>51</v>
      </c>
      <c r="L128" t="s">
        <v>134</v>
      </c>
      <c r="M128">
        <v>86</v>
      </c>
      <c r="N128" s="11" t="str">
        <f t="shared" si="9"/>
        <v>OK</v>
      </c>
      <c r="O128" t="s">
        <v>54</v>
      </c>
      <c r="P128" t="s">
        <v>54</v>
      </c>
      <c r="Q128" t="s">
        <v>54</v>
      </c>
      <c r="R128" t="str">
        <f>VLOOKUP($D128,[1]Rascunho!$E$2:$S$296,15,FALSE)</f>
        <v>https://transparencia.msgas.com.br/GovernancaCorporativa</v>
      </c>
      <c r="S128" s="12">
        <v>552440411.88</v>
      </c>
      <c r="T128" s="12">
        <v>25344229.09</v>
      </c>
      <c r="U128" s="13" t="str">
        <f t="shared" si="10"/>
        <v>OK</v>
      </c>
      <c r="V128" s="14">
        <v>67007704.630000003</v>
      </c>
      <c r="W128" s="14">
        <v>29146880.550000001</v>
      </c>
      <c r="X128" t="s">
        <v>54</v>
      </c>
      <c r="Y128" s="14">
        <v>500968.33</v>
      </c>
      <c r="Z128" s="14">
        <v>54343.87</v>
      </c>
      <c r="AA128" s="14">
        <v>27199.86</v>
      </c>
      <c r="AB128" s="14">
        <v>53629783.770000003</v>
      </c>
      <c r="AC128" s="13" t="str">
        <f t="shared" si="11"/>
        <v>OK</v>
      </c>
      <c r="AD128" s="14">
        <v>196796109.34999999</v>
      </c>
      <c r="AE128" s="14" t="e">
        <v>#VALUE!</v>
      </c>
      <c r="AF128" s="14">
        <v>17886042.41</v>
      </c>
      <c r="AG128" s="14">
        <v>0</v>
      </c>
      <c r="AH128" s="14">
        <v>0</v>
      </c>
      <c r="AI128" s="13" t="str">
        <f t="shared" si="12"/>
        <v>OK</v>
      </c>
      <c r="AJ128" s="14">
        <v>0</v>
      </c>
      <c r="AK128" s="14">
        <v>0</v>
      </c>
      <c r="AL128" s="14">
        <v>0</v>
      </c>
      <c r="AM128" s="14">
        <v>0</v>
      </c>
      <c r="AN128" s="14">
        <v>31421100</v>
      </c>
      <c r="AO128" s="14">
        <v>39953400</v>
      </c>
      <c r="AP128" s="15">
        <f t="shared" si="13"/>
        <v>8532300</v>
      </c>
      <c r="AQ128" s="14">
        <v>31421100</v>
      </c>
      <c r="AR128" s="14">
        <v>8532300</v>
      </c>
      <c r="AS128" s="14">
        <v>0</v>
      </c>
      <c r="AT128" s="14">
        <v>0</v>
      </c>
      <c r="AU128" s="16">
        <f t="shared" si="14"/>
        <v>-22888800</v>
      </c>
      <c r="AV128" s="13" t="str">
        <f t="shared" si="15"/>
        <v>SIM</v>
      </c>
      <c r="AW128" s="13" t="str">
        <f t="shared" si="16"/>
        <v>OK</v>
      </c>
      <c r="AX128" s="13" t="str">
        <f t="shared" si="17"/>
        <v>OK</v>
      </c>
    </row>
    <row r="129" spans="1:50" x14ac:dyDescent="0.3">
      <c r="A129" s="10" t="s">
        <v>647</v>
      </c>
      <c r="B129" t="s">
        <v>1461</v>
      </c>
      <c r="C129" t="s">
        <v>652</v>
      </c>
      <c r="D129" t="s">
        <v>653</v>
      </c>
      <c r="E129" t="s">
        <v>46</v>
      </c>
      <c r="F129" t="s">
        <v>224</v>
      </c>
      <c r="G129" t="s">
        <v>48</v>
      </c>
      <c r="H129" t="s">
        <v>76</v>
      </c>
      <c r="I129" t="s">
        <v>50</v>
      </c>
      <c r="J129" t="s">
        <v>51</v>
      </c>
      <c r="K129" t="s">
        <v>51</v>
      </c>
      <c r="L129" t="s">
        <v>52</v>
      </c>
      <c r="M129">
        <v>0</v>
      </c>
      <c r="N129" s="11" t="str">
        <f t="shared" si="9"/>
        <v>VERIFICAR</v>
      </c>
      <c r="O129" t="s">
        <v>54</v>
      </c>
      <c r="P129" t="s">
        <v>54</v>
      </c>
      <c r="Q129" t="s">
        <v>54</v>
      </c>
      <c r="R129" t="str">
        <f>VLOOKUP($D129,[1]Rascunho!$E$2:$S$296,15,FALSE)</f>
        <v>https://www.msmineral.ms.gov.br/</v>
      </c>
      <c r="S129" s="12">
        <v>0</v>
      </c>
      <c r="T129" s="12">
        <v>0</v>
      </c>
      <c r="U129" s="13" t="str">
        <f t="shared" si="10"/>
        <v>OK</v>
      </c>
      <c r="V129" s="14">
        <v>25587.99</v>
      </c>
      <c r="W129" s="14">
        <v>0</v>
      </c>
      <c r="X129" t="s">
        <v>51</v>
      </c>
      <c r="Y129" s="14">
        <v>0</v>
      </c>
      <c r="Z129" s="14">
        <v>0</v>
      </c>
      <c r="AA129" s="14">
        <v>0</v>
      </c>
      <c r="AB129" s="14">
        <v>-25587.99</v>
      </c>
      <c r="AC129" s="13" t="str">
        <f t="shared" si="11"/>
        <v>OK</v>
      </c>
      <c r="AD129" s="14">
        <v>1140773.1599999999</v>
      </c>
      <c r="AE129" s="14" t="e">
        <v>#VALUE!</v>
      </c>
      <c r="AF129" s="14">
        <v>0</v>
      </c>
      <c r="AG129" s="14">
        <v>0</v>
      </c>
      <c r="AH129" s="14">
        <v>0</v>
      </c>
      <c r="AI129" s="13" t="str">
        <f t="shared" si="12"/>
        <v>OK</v>
      </c>
      <c r="AJ129" s="14">
        <v>0</v>
      </c>
      <c r="AK129" s="14">
        <v>0</v>
      </c>
      <c r="AL129" s="14">
        <v>0</v>
      </c>
      <c r="AM129" s="14">
        <v>0</v>
      </c>
      <c r="AN129" s="14">
        <v>100</v>
      </c>
      <c r="AO129" s="14">
        <v>100</v>
      </c>
      <c r="AP129" s="15">
        <f t="shared" si="13"/>
        <v>0</v>
      </c>
      <c r="AQ129" s="14">
        <v>3426643.64</v>
      </c>
      <c r="AR129" s="14">
        <v>3426643.64</v>
      </c>
      <c r="AS129" s="14">
        <v>0</v>
      </c>
      <c r="AT129" s="14">
        <v>0</v>
      </c>
      <c r="AU129" s="16">
        <f t="shared" si="14"/>
        <v>0</v>
      </c>
      <c r="AV129" s="13" t="str">
        <f t="shared" si="15"/>
        <v>NÃO</v>
      </c>
      <c r="AW129" s="13" t="str">
        <f t="shared" si="16"/>
        <v>OK</v>
      </c>
      <c r="AX129" s="13" t="str">
        <f t="shared" si="17"/>
        <v>OK</v>
      </c>
    </row>
    <row r="130" spans="1:50" x14ac:dyDescent="0.3">
      <c r="A130" s="10" t="s">
        <v>647</v>
      </c>
      <c r="B130" t="s">
        <v>1462</v>
      </c>
      <c r="C130" t="s">
        <v>666</v>
      </c>
      <c r="D130" t="s">
        <v>667</v>
      </c>
      <c r="E130" t="s">
        <v>46</v>
      </c>
      <c r="F130" t="s">
        <v>107</v>
      </c>
      <c r="G130" t="s">
        <v>60</v>
      </c>
      <c r="H130" t="s">
        <v>49</v>
      </c>
      <c r="I130" t="s">
        <v>50</v>
      </c>
      <c r="J130" t="s">
        <v>51</v>
      </c>
      <c r="K130" t="s">
        <v>51</v>
      </c>
      <c r="L130" t="s">
        <v>134</v>
      </c>
      <c r="M130">
        <v>1336</v>
      </c>
      <c r="N130" s="11" t="str">
        <f t="shared" ref="N130:N193" si="18">IF(AND(E130="ATIVA",M130=0),"VERIFICAR","OK")</f>
        <v>OK</v>
      </c>
      <c r="O130" t="s">
        <v>54</v>
      </c>
      <c r="P130" t="s">
        <v>54</v>
      </c>
      <c r="Q130" t="s">
        <v>54</v>
      </c>
      <c r="R130" t="str">
        <f>VLOOKUP($D130,[1]Rascunho!$E$2:$S$296,15,FALSE)</f>
        <v>https://www.sanesul.ms.gov.br/governanca-corporativa-na-sanesul</v>
      </c>
      <c r="S130" s="12">
        <v>741907174.88999999</v>
      </c>
      <c r="T130" s="12">
        <v>201190701.50999999</v>
      </c>
      <c r="U130" s="13" t="str">
        <f t="shared" ref="U130:U193" si="19">IF(AND(M130=0,T130&gt;0),"VERIFICAR","OK")</f>
        <v>OK</v>
      </c>
      <c r="V130" s="14">
        <v>676815074.48000002</v>
      </c>
      <c r="W130" s="14">
        <v>262343421.53</v>
      </c>
      <c r="X130" t="s">
        <v>54</v>
      </c>
      <c r="Y130" s="14">
        <v>493189.3</v>
      </c>
      <c r="Z130" s="14">
        <v>0</v>
      </c>
      <c r="AA130" s="14">
        <v>20850</v>
      </c>
      <c r="AB130" s="14">
        <v>69129838.930000007</v>
      </c>
      <c r="AC130" s="13" t="str">
        <f t="shared" ref="AC130:AC193" si="20">IF(AND(X130="SIM",AB130&lt;0),"VERIFICAR","OK")</f>
        <v>OK</v>
      </c>
      <c r="AD130" s="14">
        <v>1146092823.24</v>
      </c>
      <c r="AE130" s="14" t="e">
        <v>#VALUE!</v>
      </c>
      <c r="AF130" s="14">
        <v>0</v>
      </c>
      <c r="AG130" s="14">
        <v>0</v>
      </c>
      <c r="AH130" s="14">
        <v>0</v>
      </c>
      <c r="AI130" s="13" t="str">
        <f t="shared" ref="AI130:AI193" si="21">IF(AND(L130="NÃO DEPENDENTE",AH130&gt;0),"INDÍCIO DE DEPENDÊNCIA POR SUBVENÇÃO","OK")</f>
        <v>OK</v>
      </c>
      <c r="AJ130" s="14">
        <v>0</v>
      </c>
      <c r="AK130" s="14">
        <v>0</v>
      </c>
      <c r="AL130" s="14">
        <v>106864547.69</v>
      </c>
      <c r="AM130" s="14">
        <v>75178884.189999998</v>
      </c>
      <c r="AN130" s="14">
        <v>100</v>
      </c>
      <c r="AO130" s="14">
        <v>100</v>
      </c>
      <c r="AP130" s="15">
        <f t="shared" ref="AP130:AP193" si="22">AO130-AN130</f>
        <v>0</v>
      </c>
      <c r="AQ130" s="14">
        <v>816609453.88999999</v>
      </c>
      <c r="AR130" s="14">
        <v>891788338.08000004</v>
      </c>
      <c r="AS130" s="14">
        <v>0</v>
      </c>
      <c r="AT130" s="14">
        <v>0</v>
      </c>
      <c r="AU130" s="16">
        <f t="shared" ref="AU130:AU193" si="23">(AR130-AQ130)+(AT130)</f>
        <v>75178884.190000057</v>
      </c>
      <c r="AV130" s="13" t="str">
        <f t="shared" ref="AV130:AV193" si="24">IF(OR(AP130&gt;0,AU130&gt;0),"SIM","NÃO")</f>
        <v>SIM</v>
      </c>
      <c r="AW130" s="13" t="str">
        <f t="shared" ref="AW130:AW193" si="25">IF(AND(L130="NÃO DEPENDENTE",AM130&gt;0),"VER CAPITAL","OK")</f>
        <v>VER CAPITAL</v>
      </c>
      <c r="AX130" s="13" t="str">
        <f t="shared" ref="AX130:AX193" si="26">IF(AND(AW130="VER CAPITAL",AV130="NÃO"),"INDÍCIO DE DEPENDÊNCIA POR CAPITAL","OK")</f>
        <v>OK</v>
      </c>
    </row>
    <row r="131" spans="1:50" x14ac:dyDescent="0.3">
      <c r="A131" s="10" t="s">
        <v>670</v>
      </c>
      <c r="B131" t="s">
        <v>1463</v>
      </c>
      <c r="C131" t="s">
        <v>708</v>
      </c>
      <c r="D131" t="s">
        <v>709</v>
      </c>
      <c r="E131" t="s">
        <v>46</v>
      </c>
      <c r="F131" t="s">
        <v>71</v>
      </c>
      <c r="G131" t="s">
        <v>60</v>
      </c>
      <c r="H131" t="s">
        <v>49</v>
      </c>
      <c r="I131" t="s">
        <v>50</v>
      </c>
      <c r="J131" t="s">
        <v>51</v>
      </c>
      <c r="K131" t="s">
        <v>51</v>
      </c>
      <c r="L131" t="s">
        <v>134</v>
      </c>
      <c r="M131">
        <v>66</v>
      </c>
      <c r="N131" s="11" t="str">
        <f t="shared" si="18"/>
        <v>OK</v>
      </c>
      <c r="O131" t="s">
        <v>54</v>
      </c>
      <c r="P131" t="s">
        <v>54</v>
      </c>
      <c r="Q131" t="s">
        <v>51</v>
      </c>
      <c r="R131" t="str">
        <f>VLOOKUP($D131,[1]Rascunho!$E$2:$S$296,15,FALSE)</f>
        <v>https://www.desenvolve.mt.gov.br/</v>
      </c>
      <c r="S131" s="12">
        <v>27164000</v>
      </c>
      <c r="T131" s="12">
        <v>13902000</v>
      </c>
      <c r="U131" s="13" t="str">
        <f t="shared" si="19"/>
        <v>OK</v>
      </c>
      <c r="V131" s="14">
        <v>24541000</v>
      </c>
      <c r="W131" s="14">
        <v>0</v>
      </c>
      <c r="X131" t="s">
        <v>51</v>
      </c>
      <c r="Y131" s="14">
        <v>292242.59999999998</v>
      </c>
      <c r="Z131" s="14">
        <v>0</v>
      </c>
      <c r="AA131" s="14">
        <v>130924.56</v>
      </c>
      <c r="AB131" s="14">
        <v>3121000</v>
      </c>
      <c r="AC131" s="13" t="str">
        <f t="shared" si="20"/>
        <v>OK</v>
      </c>
      <c r="AD131" s="14">
        <v>213811889.56999999</v>
      </c>
      <c r="AE131" s="14">
        <v>0</v>
      </c>
      <c r="AF131" s="14">
        <v>0</v>
      </c>
      <c r="AG131" s="14">
        <v>0</v>
      </c>
      <c r="AH131" s="14">
        <v>0</v>
      </c>
      <c r="AI131" s="13" t="str">
        <f t="shared" si="21"/>
        <v>OK</v>
      </c>
      <c r="AJ131" s="14">
        <v>0</v>
      </c>
      <c r="AK131" s="14">
        <v>0</v>
      </c>
      <c r="AL131" s="14">
        <v>0</v>
      </c>
      <c r="AM131" s="14">
        <v>78580936.790000007</v>
      </c>
      <c r="AN131" s="14">
        <v>99.99</v>
      </c>
      <c r="AO131" s="14">
        <v>99.99</v>
      </c>
      <c r="AP131" s="15">
        <f t="shared" si="22"/>
        <v>0</v>
      </c>
      <c r="AQ131" s="14">
        <v>131560547.88</v>
      </c>
      <c r="AR131" s="14">
        <v>210141484.66999999</v>
      </c>
      <c r="AS131" s="14">
        <v>78580936.790000007</v>
      </c>
      <c r="AT131" s="14">
        <v>0</v>
      </c>
      <c r="AU131" s="16">
        <f t="shared" si="23"/>
        <v>78580936.789999992</v>
      </c>
      <c r="AV131" s="13" t="str">
        <f t="shared" si="24"/>
        <v>SIM</v>
      </c>
      <c r="AW131" s="13" t="str">
        <f t="shared" si="25"/>
        <v>VER CAPITAL</v>
      </c>
      <c r="AX131" s="13" t="str">
        <f t="shared" si="26"/>
        <v>OK</v>
      </c>
    </row>
    <row r="132" spans="1:50" x14ac:dyDescent="0.3">
      <c r="A132" s="10" t="s">
        <v>670</v>
      </c>
      <c r="B132" t="s">
        <v>1464</v>
      </c>
      <c r="C132" t="s">
        <v>1465</v>
      </c>
      <c r="D132" t="s">
        <v>673</v>
      </c>
      <c r="E132" t="s">
        <v>46</v>
      </c>
      <c r="F132" t="s">
        <v>102</v>
      </c>
      <c r="G132" t="s">
        <v>48</v>
      </c>
      <c r="H132" t="s">
        <v>76</v>
      </c>
      <c r="I132" t="s">
        <v>50</v>
      </c>
      <c r="J132" t="s">
        <v>51</v>
      </c>
      <c r="K132" t="s">
        <v>51</v>
      </c>
      <c r="L132" t="s">
        <v>52</v>
      </c>
      <c r="M132">
        <v>407</v>
      </c>
      <c r="N132" s="11" t="str">
        <f t="shared" si="18"/>
        <v>OK</v>
      </c>
      <c r="O132" t="s">
        <v>54</v>
      </c>
      <c r="P132" t="s">
        <v>54</v>
      </c>
      <c r="Q132" t="s">
        <v>51</v>
      </c>
      <c r="R132" t="str">
        <f>VLOOKUP($D132,[1]Rascunho!$E$2:$S$296,15,FALSE)</f>
        <v>https://www.empaer.mt.gov.br/</v>
      </c>
      <c r="S132" s="12">
        <v>2328858.5499999998</v>
      </c>
      <c r="T132" s="12">
        <v>71039080.310000002</v>
      </c>
      <c r="U132" s="13" t="str">
        <f t="shared" si="19"/>
        <v>OK</v>
      </c>
      <c r="V132" s="14">
        <v>166070497.19999999</v>
      </c>
      <c r="W132" s="14">
        <v>8525934.4399999995</v>
      </c>
      <c r="X132" t="s">
        <v>51</v>
      </c>
      <c r="Y132" s="14">
        <v>375380.47</v>
      </c>
      <c r="Z132" s="14">
        <v>0</v>
      </c>
      <c r="AA132" s="14">
        <v>0</v>
      </c>
      <c r="AB132" s="14">
        <v>0</v>
      </c>
      <c r="AC132" s="13" t="str">
        <f t="shared" si="20"/>
        <v>OK</v>
      </c>
      <c r="AD132" s="14">
        <v>0</v>
      </c>
      <c r="AE132" s="14">
        <v>0</v>
      </c>
      <c r="AF132" s="14">
        <v>0</v>
      </c>
      <c r="AG132" s="14">
        <v>173470540.56</v>
      </c>
      <c r="AH132" s="14">
        <v>151223053.12</v>
      </c>
      <c r="AI132" s="13" t="str">
        <f t="shared" si="21"/>
        <v>OK</v>
      </c>
      <c r="AJ132" s="14">
        <v>167011935</v>
      </c>
      <c r="AK132" s="14">
        <v>0</v>
      </c>
      <c r="AL132" s="14">
        <v>0</v>
      </c>
      <c r="AM132" s="14">
        <v>0</v>
      </c>
      <c r="AN132" s="14">
        <v>100</v>
      </c>
      <c r="AO132" s="14">
        <v>100</v>
      </c>
      <c r="AP132" s="15">
        <f t="shared" si="22"/>
        <v>0</v>
      </c>
      <c r="AQ132" s="14">
        <v>34889260.759999998</v>
      </c>
      <c r="AR132" s="14">
        <v>34889260.759999998</v>
      </c>
      <c r="AS132" s="14">
        <v>0</v>
      </c>
      <c r="AT132" s="14">
        <v>0</v>
      </c>
      <c r="AU132" s="16">
        <f t="shared" si="23"/>
        <v>0</v>
      </c>
      <c r="AV132" s="13" t="str">
        <f t="shared" si="24"/>
        <v>NÃO</v>
      </c>
      <c r="AW132" s="13" t="str">
        <f t="shared" si="25"/>
        <v>OK</v>
      </c>
      <c r="AX132" s="13" t="str">
        <f t="shared" si="26"/>
        <v>OK</v>
      </c>
    </row>
    <row r="133" spans="1:50" x14ac:dyDescent="0.3">
      <c r="A133" s="10" t="s">
        <v>670</v>
      </c>
      <c r="B133" t="s">
        <v>1466</v>
      </c>
      <c r="C133" t="s">
        <v>677</v>
      </c>
      <c r="D133" t="s">
        <v>678</v>
      </c>
      <c r="E133" t="s">
        <v>46</v>
      </c>
      <c r="F133" t="s">
        <v>224</v>
      </c>
      <c r="G133" t="s">
        <v>60</v>
      </c>
      <c r="H133" t="s">
        <v>76</v>
      </c>
      <c r="I133" t="s">
        <v>50</v>
      </c>
      <c r="J133" t="s">
        <v>51</v>
      </c>
      <c r="K133" t="s">
        <v>51</v>
      </c>
      <c r="L133" t="s">
        <v>52</v>
      </c>
      <c r="M133">
        <v>82</v>
      </c>
      <c r="N133" s="11" t="str">
        <f t="shared" si="18"/>
        <v>OK</v>
      </c>
      <c r="O133" t="s">
        <v>54</v>
      </c>
      <c r="P133" t="s">
        <v>54</v>
      </c>
      <c r="Q133" t="s">
        <v>54</v>
      </c>
      <c r="R133" t="str">
        <f>VLOOKUP($D133,[1]Rascunho!$E$2:$S$296,15,FALSE)</f>
        <v>https://www.metamat.mt.gov.br/inicio</v>
      </c>
      <c r="S133" s="12">
        <v>0</v>
      </c>
      <c r="T133" s="12">
        <v>23077112.949999999</v>
      </c>
      <c r="U133" s="13" t="str">
        <f t="shared" si="19"/>
        <v>OK</v>
      </c>
      <c r="V133" s="14">
        <v>75246820.420000002</v>
      </c>
      <c r="W133" s="14">
        <v>2354794.64</v>
      </c>
      <c r="X133" t="s">
        <v>51</v>
      </c>
      <c r="Y133" s="14">
        <v>283785.2</v>
      </c>
      <c r="Z133" s="14">
        <v>0</v>
      </c>
      <c r="AA133" s="14">
        <v>0</v>
      </c>
      <c r="AB133" s="14">
        <v>39947919</v>
      </c>
      <c r="AC133" s="13" t="str">
        <f t="shared" si="20"/>
        <v>OK</v>
      </c>
      <c r="AD133" s="14">
        <v>0</v>
      </c>
      <c r="AE133" s="14">
        <v>0</v>
      </c>
      <c r="AF133" s="14">
        <v>0</v>
      </c>
      <c r="AG133" s="14">
        <v>86571966</v>
      </c>
      <c r="AH133" s="14">
        <v>38369237</v>
      </c>
      <c r="AI133" s="13" t="str">
        <f t="shared" si="21"/>
        <v>OK</v>
      </c>
      <c r="AJ133" s="14">
        <v>3617858</v>
      </c>
      <c r="AK133" s="14">
        <v>2424223</v>
      </c>
      <c r="AL133" s="14">
        <v>298165</v>
      </c>
      <c r="AM133" s="14">
        <v>298165</v>
      </c>
      <c r="AN133" s="14">
        <v>99.99</v>
      </c>
      <c r="AO133" s="14">
        <v>99.99</v>
      </c>
      <c r="AP133" s="15">
        <f t="shared" si="22"/>
        <v>0</v>
      </c>
      <c r="AQ133" s="14">
        <v>61171276</v>
      </c>
      <c r="AR133" s="14">
        <v>61171276</v>
      </c>
      <c r="AS133" s="14">
        <v>0</v>
      </c>
      <c r="AT133" s="14">
        <v>0</v>
      </c>
      <c r="AU133" s="16">
        <f t="shared" si="23"/>
        <v>0</v>
      </c>
      <c r="AV133" s="13" t="str">
        <f t="shared" si="24"/>
        <v>NÃO</v>
      </c>
      <c r="AW133" s="13" t="str">
        <f t="shared" si="25"/>
        <v>OK</v>
      </c>
      <c r="AX133" s="13" t="str">
        <f t="shared" si="26"/>
        <v>OK</v>
      </c>
    </row>
    <row r="134" spans="1:50" x14ac:dyDescent="0.3">
      <c r="A134" s="10" t="s">
        <v>670</v>
      </c>
      <c r="B134" t="s">
        <v>1467</v>
      </c>
      <c r="C134" t="s">
        <v>681</v>
      </c>
      <c r="D134" t="s">
        <v>682</v>
      </c>
      <c r="E134" t="s">
        <v>46</v>
      </c>
      <c r="F134" t="s">
        <v>139</v>
      </c>
      <c r="G134" t="s">
        <v>60</v>
      </c>
      <c r="H134" t="s">
        <v>49</v>
      </c>
      <c r="I134" t="s">
        <v>50</v>
      </c>
      <c r="J134" t="s">
        <v>51</v>
      </c>
      <c r="K134" t="s">
        <v>51</v>
      </c>
      <c r="L134" t="s">
        <v>52</v>
      </c>
      <c r="M134">
        <v>21</v>
      </c>
      <c r="N134" s="11" t="str">
        <f t="shared" si="18"/>
        <v>OK</v>
      </c>
      <c r="O134" t="s">
        <v>54</v>
      </c>
      <c r="P134" t="s">
        <v>54</v>
      </c>
      <c r="Q134" t="s">
        <v>51</v>
      </c>
      <c r="R134" t="str">
        <f>VLOOKUP($D134,[1]Rascunho!$E$2:$S$296,15,FALSE)</f>
        <v>https://mtgas.com.br/</v>
      </c>
      <c r="S134" s="12">
        <v>29410335.34</v>
      </c>
      <c r="T134" s="12">
        <v>3526594.8</v>
      </c>
      <c r="U134" s="13" t="str">
        <f t="shared" si="19"/>
        <v>OK</v>
      </c>
      <c r="V134" s="14">
        <v>6052460.6299999999</v>
      </c>
      <c r="W134" s="14">
        <v>0</v>
      </c>
      <c r="X134" t="s">
        <v>51</v>
      </c>
      <c r="Y134" s="14">
        <v>299597</v>
      </c>
      <c r="Z134" s="14">
        <v>0</v>
      </c>
      <c r="AA134" s="14">
        <v>0</v>
      </c>
      <c r="AB134" s="14">
        <v>0</v>
      </c>
      <c r="AC134" s="13" t="str">
        <f t="shared" si="20"/>
        <v>OK</v>
      </c>
      <c r="AD134" s="14">
        <v>0</v>
      </c>
      <c r="AE134" s="14">
        <v>0</v>
      </c>
      <c r="AF134" s="14">
        <v>0</v>
      </c>
      <c r="AG134" s="14">
        <v>30640481.969999999</v>
      </c>
      <c r="AH134" s="14">
        <v>7490297.9199999999</v>
      </c>
      <c r="AI134" s="13" t="str">
        <f t="shared" si="21"/>
        <v>OK</v>
      </c>
      <c r="AJ134" s="14">
        <v>0</v>
      </c>
      <c r="AK134" s="14">
        <v>0</v>
      </c>
      <c r="AL134" s="14">
        <v>0</v>
      </c>
      <c r="AM134" s="14">
        <v>0</v>
      </c>
      <c r="AN134" s="14">
        <v>99.99</v>
      </c>
      <c r="AO134" s="14">
        <v>99.99</v>
      </c>
      <c r="AP134" s="15">
        <f t="shared" si="22"/>
        <v>0</v>
      </c>
      <c r="AQ134" s="14">
        <v>8500007</v>
      </c>
      <c r="AR134" s="14">
        <v>8500007</v>
      </c>
      <c r="AS134" s="14">
        <v>0</v>
      </c>
      <c r="AT134" s="14">
        <v>0</v>
      </c>
      <c r="AU134" s="16">
        <f t="shared" si="23"/>
        <v>0</v>
      </c>
      <c r="AV134" s="13" t="str">
        <f t="shared" si="24"/>
        <v>NÃO</v>
      </c>
      <c r="AW134" s="13" t="str">
        <f t="shared" si="25"/>
        <v>OK</v>
      </c>
      <c r="AX134" s="13" t="str">
        <f t="shared" si="26"/>
        <v>OK</v>
      </c>
    </row>
    <row r="135" spans="1:50" x14ac:dyDescent="0.3">
      <c r="A135" s="10" t="s">
        <v>670</v>
      </c>
      <c r="B135" t="s">
        <v>1468</v>
      </c>
      <c r="C135" t="s">
        <v>685</v>
      </c>
      <c r="D135" t="s">
        <v>686</v>
      </c>
      <c r="E135" t="s">
        <v>46</v>
      </c>
      <c r="F135" t="s">
        <v>133</v>
      </c>
      <c r="G135" t="s">
        <v>60</v>
      </c>
      <c r="H135" t="s">
        <v>49</v>
      </c>
      <c r="I135" t="s">
        <v>50</v>
      </c>
      <c r="J135" t="s">
        <v>51</v>
      </c>
      <c r="K135" t="s">
        <v>51</v>
      </c>
      <c r="L135" t="s">
        <v>52</v>
      </c>
      <c r="M135">
        <v>96</v>
      </c>
      <c r="N135" s="11" t="str">
        <f t="shared" si="18"/>
        <v>OK</v>
      </c>
      <c r="O135" t="s">
        <v>54</v>
      </c>
      <c r="P135" t="s">
        <v>54</v>
      </c>
      <c r="Q135" t="s">
        <v>51</v>
      </c>
      <c r="R135" t="str">
        <f>VLOOKUP($D135,[1]Rascunho!$E$2:$S$296,15,FALSE)</f>
        <v>https://www.mtpar.mt.gov.br/cartaanual</v>
      </c>
      <c r="S135" s="12">
        <v>14992000.84</v>
      </c>
      <c r="T135" s="12">
        <v>12598540.470000001</v>
      </c>
      <c r="U135" s="13" t="str">
        <f t="shared" si="19"/>
        <v>OK</v>
      </c>
      <c r="V135" s="14">
        <v>17950611.899999999</v>
      </c>
      <c r="W135" s="14">
        <v>0</v>
      </c>
      <c r="X135" t="s">
        <v>51</v>
      </c>
      <c r="Y135" s="14">
        <v>354000</v>
      </c>
      <c r="Z135" s="14">
        <v>0</v>
      </c>
      <c r="AA135" s="14">
        <v>0</v>
      </c>
      <c r="AB135" s="14">
        <v>126747.17</v>
      </c>
      <c r="AC135" s="13" t="str">
        <f t="shared" si="20"/>
        <v>OK</v>
      </c>
      <c r="AD135" s="14">
        <v>1002845444.92</v>
      </c>
      <c r="AE135" s="14">
        <v>0</v>
      </c>
      <c r="AF135" s="14">
        <v>0</v>
      </c>
      <c r="AG135" s="14">
        <v>0</v>
      </c>
      <c r="AH135" s="14">
        <v>0</v>
      </c>
      <c r="AI135" s="13" t="str">
        <f t="shared" si="21"/>
        <v>OK</v>
      </c>
      <c r="AJ135" s="14">
        <v>0</v>
      </c>
      <c r="AK135" s="14">
        <v>0</v>
      </c>
      <c r="AL135" s="14">
        <v>0</v>
      </c>
      <c r="AM135" s="14">
        <v>0</v>
      </c>
      <c r="AN135" s="14">
        <v>99.99</v>
      </c>
      <c r="AO135" s="14">
        <v>99.99</v>
      </c>
      <c r="AP135" s="15">
        <f t="shared" si="22"/>
        <v>0</v>
      </c>
      <c r="AQ135" s="14">
        <v>0</v>
      </c>
      <c r="AR135" s="14">
        <v>100000000</v>
      </c>
      <c r="AS135" s="14">
        <v>0</v>
      </c>
      <c r="AT135" s="14">
        <v>1091200751.25</v>
      </c>
      <c r="AU135" s="16">
        <f t="shared" si="23"/>
        <v>1191200751.25</v>
      </c>
      <c r="AV135" s="13" t="str">
        <f t="shared" si="24"/>
        <v>SIM</v>
      </c>
      <c r="AW135" s="13" t="str">
        <f t="shared" si="25"/>
        <v>OK</v>
      </c>
      <c r="AX135" s="13" t="str">
        <f t="shared" si="26"/>
        <v>OK</v>
      </c>
    </row>
    <row r="136" spans="1:50" x14ac:dyDescent="0.3">
      <c r="A136" s="10" t="s">
        <v>670</v>
      </c>
      <c r="B136" t="s">
        <v>1469</v>
      </c>
      <c r="C136" t="s">
        <v>1470</v>
      </c>
      <c r="D136" t="s">
        <v>691</v>
      </c>
      <c r="E136" t="s">
        <v>46</v>
      </c>
      <c r="F136" t="s">
        <v>133</v>
      </c>
      <c r="G136" t="s">
        <v>48</v>
      </c>
      <c r="H136" t="s">
        <v>49</v>
      </c>
      <c r="I136" t="s">
        <v>50</v>
      </c>
      <c r="J136" t="s">
        <v>51</v>
      </c>
      <c r="K136" t="s">
        <v>54</v>
      </c>
      <c r="L136" t="s">
        <v>52</v>
      </c>
      <c r="M136">
        <v>0</v>
      </c>
      <c r="N136" s="11" t="str">
        <f t="shared" si="18"/>
        <v>VERIFICAR</v>
      </c>
      <c r="O136" t="s">
        <v>54</v>
      </c>
      <c r="P136" t="s">
        <v>54</v>
      </c>
      <c r="Q136" t="s">
        <v>51</v>
      </c>
      <c r="R136" t="str">
        <f>VLOOKUP($D136,[1]Rascunho!$E$2:$S$296,15,FALSE)</f>
        <v>https://www.mtpar.mt.gov.br/cartaanual</v>
      </c>
      <c r="S136" s="12">
        <v>0</v>
      </c>
      <c r="T136" s="12">
        <v>0</v>
      </c>
      <c r="U136" s="13" t="str">
        <f t="shared" si="19"/>
        <v>OK</v>
      </c>
      <c r="V136" s="14">
        <v>0</v>
      </c>
      <c r="W136" s="14">
        <v>0</v>
      </c>
      <c r="X136" t="s">
        <v>51</v>
      </c>
      <c r="Y136" s="14">
        <v>1</v>
      </c>
      <c r="Z136" s="14">
        <v>0</v>
      </c>
      <c r="AA136" s="14">
        <v>0</v>
      </c>
      <c r="AB136" s="14">
        <v>0</v>
      </c>
      <c r="AC136" s="13" t="str">
        <f t="shared" si="20"/>
        <v>OK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3" t="str">
        <f t="shared" si="21"/>
        <v>OK</v>
      </c>
      <c r="AJ136" s="14">
        <v>0</v>
      </c>
      <c r="AK136" s="14">
        <v>0</v>
      </c>
      <c r="AL136" s="14">
        <v>0</v>
      </c>
      <c r="AM136" s="14">
        <v>0</v>
      </c>
      <c r="AN136" s="14">
        <v>100</v>
      </c>
      <c r="AO136" s="14">
        <v>100</v>
      </c>
      <c r="AP136" s="15">
        <f t="shared" si="22"/>
        <v>0</v>
      </c>
      <c r="AQ136" s="14">
        <v>0</v>
      </c>
      <c r="AR136" s="14">
        <v>5000000</v>
      </c>
      <c r="AS136" s="14">
        <v>0</v>
      </c>
      <c r="AT136" s="14">
        <v>0</v>
      </c>
      <c r="AU136" s="16">
        <f t="shared" si="23"/>
        <v>5000000</v>
      </c>
      <c r="AV136" s="13" t="str">
        <f t="shared" si="24"/>
        <v>SIM</v>
      </c>
      <c r="AW136" s="13" t="str">
        <f t="shared" si="25"/>
        <v>OK</v>
      </c>
      <c r="AX136" s="13" t="str">
        <f t="shared" si="26"/>
        <v>OK</v>
      </c>
    </row>
    <row r="137" spans="1:50" x14ac:dyDescent="0.3">
      <c r="A137" s="10" t="s">
        <v>670</v>
      </c>
      <c r="B137" t="s">
        <v>1471</v>
      </c>
      <c r="C137" t="s">
        <v>693</v>
      </c>
      <c r="D137" t="s">
        <v>694</v>
      </c>
      <c r="E137" t="s">
        <v>46</v>
      </c>
      <c r="F137" t="s">
        <v>162</v>
      </c>
      <c r="G137" t="s">
        <v>48</v>
      </c>
      <c r="H137" t="s">
        <v>49</v>
      </c>
      <c r="I137" t="s">
        <v>50</v>
      </c>
      <c r="J137" t="s">
        <v>51</v>
      </c>
      <c r="K137" t="s">
        <v>54</v>
      </c>
      <c r="L137" t="s">
        <v>52</v>
      </c>
      <c r="M137">
        <v>94</v>
      </c>
      <c r="N137" s="11" t="str">
        <f t="shared" si="18"/>
        <v>OK</v>
      </c>
      <c r="O137" t="s">
        <v>54</v>
      </c>
      <c r="P137" t="s">
        <v>54</v>
      </c>
      <c r="Q137" t="s">
        <v>51</v>
      </c>
      <c r="R137" t="str">
        <f>VLOOKUP($D137,[1]Rascunho!$E$2:$S$296,15,FALSE)</f>
        <v>https://www.mtpar.mt.gov.br/cartaanual</v>
      </c>
      <c r="S137" s="12">
        <v>0</v>
      </c>
      <c r="T137" s="12">
        <v>0</v>
      </c>
      <c r="U137" s="13" t="str">
        <f t="shared" si="19"/>
        <v>OK</v>
      </c>
      <c r="V137" s="14">
        <v>0</v>
      </c>
      <c r="W137" s="14">
        <v>0</v>
      </c>
      <c r="X137" t="s">
        <v>51</v>
      </c>
      <c r="Y137" s="14">
        <v>1</v>
      </c>
      <c r="Z137" s="14">
        <v>0</v>
      </c>
      <c r="AA137" s="14">
        <v>0</v>
      </c>
      <c r="AB137" s="14">
        <v>0</v>
      </c>
      <c r="AC137" s="13" t="str">
        <f t="shared" si="20"/>
        <v>OK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3" t="str">
        <f t="shared" si="21"/>
        <v>OK</v>
      </c>
      <c r="AJ137" s="14">
        <v>0</v>
      </c>
      <c r="AK137" s="14">
        <v>0</v>
      </c>
      <c r="AL137" s="14">
        <v>0</v>
      </c>
      <c r="AM137" s="14">
        <v>0</v>
      </c>
      <c r="AN137" s="14">
        <v>100</v>
      </c>
      <c r="AO137" s="14">
        <v>100</v>
      </c>
      <c r="AP137" s="15">
        <f t="shared" si="22"/>
        <v>0</v>
      </c>
      <c r="AQ137" s="14">
        <v>0</v>
      </c>
      <c r="AR137" s="14">
        <v>5500000</v>
      </c>
      <c r="AS137" s="14">
        <v>0</v>
      </c>
      <c r="AT137" s="14">
        <v>0</v>
      </c>
      <c r="AU137" s="16">
        <f t="shared" si="23"/>
        <v>5500000</v>
      </c>
      <c r="AV137" s="13" t="str">
        <f t="shared" si="24"/>
        <v>SIM</v>
      </c>
      <c r="AW137" s="13" t="str">
        <f t="shared" si="25"/>
        <v>OK</v>
      </c>
      <c r="AX137" s="13" t="str">
        <f t="shared" si="26"/>
        <v>OK</v>
      </c>
    </row>
    <row r="138" spans="1:50" x14ac:dyDescent="0.3">
      <c r="A138" s="10" t="s">
        <v>670</v>
      </c>
      <c r="B138" t="s">
        <v>1472</v>
      </c>
      <c r="C138" t="s">
        <v>696</v>
      </c>
      <c r="D138" t="s">
        <v>697</v>
      </c>
      <c r="E138" t="s">
        <v>46</v>
      </c>
      <c r="F138" t="s">
        <v>47</v>
      </c>
      <c r="G138" t="s">
        <v>48</v>
      </c>
      <c r="H138" t="s">
        <v>76</v>
      </c>
      <c r="I138" t="s">
        <v>50</v>
      </c>
      <c r="J138" t="s">
        <v>51</v>
      </c>
      <c r="K138" t="s">
        <v>51</v>
      </c>
      <c r="L138" t="s">
        <v>52</v>
      </c>
      <c r="M138">
        <v>376</v>
      </c>
      <c r="N138" s="11" t="str">
        <f t="shared" si="18"/>
        <v>OK</v>
      </c>
      <c r="O138" t="s">
        <v>54</v>
      </c>
      <c r="P138" t="s">
        <v>54</v>
      </c>
      <c r="Q138" t="s">
        <v>51</v>
      </c>
      <c r="R138" t="str">
        <f>VLOOKUP($D138,[1]Rascunho!$E$2:$S$296,15,FALSE)</f>
        <v>https://www.mti.mt.gov.br/cartas</v>
      </c>
      <c r="S138" s="12">
        <v>60966727.82</v>
      </c>
      <c r="T138" s="12">
        <v>118527054.09999999</v>
      </c>
      <c r="U138" s="13" t="str">
        <f t="shared" si="19"/>
        <v>OK</v>
      </c>
      <c r="V138" s="14">
        <v>196145605.47</v>
      </c>
      <c r="W138" s="14">
        <v>23193593.920000002</v>
      </c>
      <c r="X138" t="s">
        <v>51</v>
      </c>
      <c r="Y138" s="14">
        <v>516329.84</v>
      </c>
      <c r="Z138" s="14">
        <v>0</v>
      </c>
      <c r="AA138" s="14">
        <v>0</v>
      </c>
      <c r="AB138" s="14">
        <v>21781024.23</v>
      </c>
      <c r="AC138" s="13" t="str">
        <f t="shared" si="20"/>
        <v>OK</v>
      </c>
      <c r="AD138" s="14">
        <v>95137044.599999994</v>
      </c>
      <c r="AE138" s="14">
        <v>0</v>
      </c>
      <c r="AF138" s="14">
        <v>0</v>
      </c>
      <c r="AG138" s="14">
        <v>75387875.5</v>
      </c>
      <c r="AH138" s="14">
        <v>117747282.2</v>
      </c>
      <c r="AI138" s="13" t="str">
        <f t="shared" si="21"/>
        <v>OK</v>
      </c>
      <c r="AJ138" s="14">
        <v>0</v>
      </c>
      <c r="AK138" s="14">
        <v>0</v>
      </c>
      <c r="AL138" s="14">
        <v>30719710.300000001</v>
      </c>
      <c r="AM138" s="14">
        <v>4000000</v>
      </c>
      <c r="AN138" s="14">
        <v>100</v>
      </c>
      <c r="AO138" s="14">
        <v>100</v>
      </c>
      <c r="AP138" s="15">
        <f t="shared" si="22"/>
        <v>0</v>
      </c>
      <c r="AQ138" s="14">
        <v>86600149.030000001</v>
      </c>
      <c r="AR138" s="14">
        <v>90600149.030000001</v>
      </c>
      <c r="AS138" s="14">
        <v>13399850.970000001</v>
      </c>
      <c r="AT138" s="14">
        <v>9399850.9700000007</v>
      </c>
      <c r="AU138" s="16">
        <f t="shared" si="23"/>
        <v>13399850.970000001</v>
      </c>
      <c r="AV138" s="13" t="str">
        <f t="shared" si="24"/>
        <v>SIM</v>
      </c>
      <c r="AW138" s="13" t="str">
        <f t="shared" si="25"/>
        <v>OK</v>
      </c>
      <c r="AX138" s="13" t="str">
        <f t="shared" si="26"/>
        <v>OK</v>
      </c>
    </row>
    <row r="139" spans="1:50" x14ac:dyDescent="0.3">
      <c r="A139" s="10" t="s">
        <v>670</v>
      </c>
      <c r="B139" t="s">
        <v>1473</v>
      </c>
      <c r="C139" t="s">
        <v>712</v>
      </c>
      <c r="D139" t="s">
        <v>713</v>
      </c>
      <c r="E139" t="s">
        <v>46</v>
      </c>
      <c r="F139" t="s">
        <v>240</v>
      </c>
      <c r="G139" t="s">
        <v>60</v>
      </c>
      <c r="H139" t="s">
        <v>49</v>
      </c>
      <c r="I139" t="s">
        <v>50</v>
      </c>
      <c r="J139" t="s">
        <v>51</v>
      </c>
      <c r="K139" t="s">
        <v>54</v>
      </c>
      <c r="L139" t="s">
        <v>134</v>
      </c>
      <c r="M139">
        <v>602</v>
      </c>
      <c r="N139" s="11" t="str">
        <f t="shared" si="18"/>
        <v>OK</v>
      </c>
      <c r="O139" t="s">
        <v>54</v>
      </c>
      <c r="P139" t="s">
        <v>54</v>
      </c>
      <c r="Q139" t="s">
        <v>51</v>
      </c>
      <c r="R139" t="str">
        <f>VLOOKUP($D139,[1]Rascunho!$E$2:$S$296,15,FALSE)</f>
        <v>https://www.mtpar.mt.gov.br/cartaanual</v>
      </c>
      <c r="S139" s="12">
        <v>278311000</v>
      </c>
      <c r="T139" s="12">
        <v>765000</v>
      </c>
      <c r="U139" s="13" t="str">
        <f t="shared" si="19"/>
        <v>OK</v>
      </c>
      <c r="V139" s="14">
        <v>12578000</v>
      </c>
      <c r="W139" s="14">
        <v>0</v>
      </c>
      <c r="X139" t="s">
        <v>51</v>
      </c>
      <c r="Y139" s="14">
        <v>265811</v>
      </c>
      <c r="Z139" s="14">
        <v>0</v>
      </c>
      <c r="AA139" s="14">
        <v>0</v>
      </c>
      <c r="AB139" s="14">
        <v>0</v>
      </c>
      <c r="AC139" s="13" t="str">
        <f t="shared" si="20"/>
        <v>OK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3" t="str">
        <f t="shared" si="21"/>
        <v>OK</v>
      </c>
      <c r="AJ139" s="14">
        <v>0</v>
      </c>
      <c r="AK139" s="14">
        <v>0</v>
      </c>
      <c r="AL139" s="14">
        <v>0</v>
      </c>
      <c r="AM139" s="14">
        <v>0</v>
      </c>
      <c r="AN139" s="14">
        <v>100</v>
      </c>
      <c r="AO139" s="14">
        <v>100</v>
      </c>
      <c r="AP139" s="15">
        <f t="shared" si="22"/>
        <v>0</v>
      </c>
      <c r="AQ139" s="14">
        <v>0</v>
      </c>
      <c r="AR139" s="14">
        <v>1521810533.01</v>
      </c>
      <c r="AS139" s="14">
        <v>0</v>
      </c>
      <c r="AT139" s="14">
        <v>0</v>
      </c>
      <c r="AU139" s="16">
        <f t="shared" si="23"/>
        <v>1521810533.01</v>
      </c>
      <c r="AV139" s="13" t="str">
        <f t="shared" si="24"/>
        <v>SIM</v>
      </c>
      <c r="AW139" s="13" t="str">
        <f t="shared" si="25"/>
        <v>OK</v>
      </c>
      <c r="AX139" s="13" t="str">
        <f t="shared" si="26"/>
        <v>OK</v>
      </c>
    </row>
    <row r="140" spans="1:50" x14ac:dyDescent="0.3">
      <c r="A140" s="10" t="s">
        <v>670</v>
      </c>
      <c r="B140" t="s">
        <v>1474</v>
      </c>
      <c r="C140" t="s">
        <v>701</v>
      </c>
      <c r="D140" t="s">
        <v>702</v>
      </c>
      <c r="E140" t="s">
        <v>70</v>
      </c>
      <c r="F140" t="s">
        <v>107</v>
      </c>
      <c r="G140" t="s">
        <v>60</v>
      </c>
      <c r="H140" t="s">
        <v>363</v>
      </c>
      <c r="I140" t="s">
        <v>373</v>
      </c>
      <c r="J140" t="s">
        <v>51</v>
      </c>
      <c r="K140" t="s">
        <v>51</v>
      </c>
      <c r="L140" t="s">
        <v>52</v>
      </c>
      <c r="M140">
        <v>8</v>
      </c>
      <c r="N140" s="11" t="str">
        <f t="shared" si="18"/>
        <v>OK</v>
      </c>
      <c r="O140" t="s">
        <v>54</v>
      </c>
      <c r="P140" t="s">
        <v>54</v>
      </c>
      <c r="Q140" t="s">
        <v>51</v>
      </c>
      <c r="R140" t="str">
        <f>VLOOKUP($D140,[1]Rascunho!$E$2:$S$296,15,FALSE)</f>
        <v>Site não disponível</v>
      </c>
      <c r="S140" s="12">
        <v>0</v>
      </c>
      <c r="T140" s="12">
        <v>2079515.3</v>
      </c>
      <c r="U140" s="13" t="str">
        <f t="shared" si="19"/>
        <v>OK</v>
      </c>
      <c r="V140" s="14">
        <v>24811246.539999999</v>
      </c>
      <c r="W140" s="14">
        <v>0</v>
      </c>
      <c r="X140" t="s">
        <v>51</v>
      </c>
      <c r="Y140" s="14">
        <v>361088.72</v>
      </c>
      <c r="Z140" s="14">
        <v>0</v>
      </c>
      <c r="AA140" s="14">
        <v>0</v>
      </c>
      <c r="AB140" s="14">
        <v>-16462956</v>
      </c>
      <c r="AC140" s="13" t="str">
        <f t="shared" si="20"/>
        <v>OK</v>
      </c>
      <c r="AD140" s="14">
        <v>39947919</v>
      </c>
      <c r="AE140" s="14">
        <v>0</v>
      </c>
      <c r="AF140" s="14">
        <v>0</v>
      </c>
      <c r="AG140" s="14">
        <v>22451408.280000001</v>
      </c>
      <c r="AH140" s="14">
        <v>23683899.27</v>
      </c>
      <c r="AI140" s="13" t="str">
        <f t="shared" si="21"/>
        <v>OK</v>
      </c>
      <c r="AJ140" s="14">
        <v>0</v>
      </c>
      <c r="AK140" s="14">
        <v>0</v>
      </c>
      <c r="AL140" s="14">
        <v>0</v>
      </c>
      <c r="AM140" s="14">
        <v>0</v>
      </c>
      <c r="AN140" s="14">
        <v>82.6</v>
      </c>
      <c r="AO140" s="14">
        <v>82.6</v>
      </c>
      <c r="AP140" s="15">
        <f t="shared" si="22"/>
        <v>0</v>
      </c>
      <c r="AQ140" s="14">
        <v>0</v>
      </c>
      <c r="AR140" s="14">
        <v>0</v>
      </c>
      <c r="AS140" s="14">
        <v>0</v>
      </c>
      <c r="AT140" s="14">
        <v>0</v>
      </c>
      <c r="AU140" s="16">
        <f t="shared" si="23"/>
        <v>0</v>
      </c>
      <c r="AV140" s="13" t="str">
        <f t="shared" si="24"/>
        <v>NÃO</v>
      </c>
      <c r="AW140" s="13" t="str">
        <f t="shared" si="25"/>
        <v>OK</v>
      </c>
      <c r="AX140" s="13" t="str">
        <f t="shared" si="26"/>
        <v>OK</v>
      </c>
    </row>
    <row r="141" spans="1:50" ht="28.8" x14ac:dyDescent="0.3">
      <c r="A141" s="10" t="s">
        <v>670</v>
      </c>
      <c r="B141" t="s">
        <v>1475</v>
      </c>
      <c r="C141" t="s">
        <v>705</v>
      </c>
      <c r="D141" t="s">
        <v>706</v>
      </c>
      <c r="E141" t="s">
        <v>46</v>
      </c>
      <c r="F141" s="6" t="s">
        <v>314</v>
      </c>
      <c r="G141" t="s">
        <v>48</v>
      </c>
      <c r="H141" t="s">
        <v>49</v>
      </c>
      <c r="I141" t="s">
        <v>50</v>
      </c>
      <c r="J141" t="s">
        <v>51</v>
      </c>
      <c r="K141" t="s">
        <v>54</v>
      </c>
      <c r="L141" t="s">
        <v>52</v>
      </c>
      <c r="M141">
        <v>0</v>
      </c>
      <c r="N141" s="11" t="str">
        <f t="shared" si="18"/>
        <v>VERIFICAR</v>
      </c>
      <c r="O141" t="s">
        <v>54</v>
      </c>
      <c r="P141" t="s">
        <v>54</v>
      </c>
      <c r="Q141" t="s">
        <v>51</v>
      </c>
      <c r="R141" t="str">
        <f>VLOOKUP($D141,[1]Rascunho!$E$2:$S$296,15,FALSE)</f>
        <v>https://www.mtpar.mt.gov.br/cartaanual</v>
      </c>
      <c r="S141" s="12">
        <v>0</v>
      </c>
      <c r="T141" s="12">
        <v>0</v>
      </c>
      <c r="U141" s="13" t="str">
        <f t="shared" si="19"/>
        <v>OK</v>
      </c>
      <c r="V141" s="14">
        <v>0</v>
      </c>
      <c r="W141" s="14">
        <v>0</v>
      </c>
      <c r="X141" t="s">
        <v>51</v>
      </c>
      <c r="Y141" s="14">
        <v>1</v>
      </c>
      <c r="Z141" s="14">
        <v>0</v>
      </c>
      <c r="AA141" s="14">
        <v>0</v>
      </c>
      <c r="AB141" s="14">
        <v>0</v>
      </c>
      <c r="AC141" s="13" t="str">
        <f t="shared" si="20"/>
        <v>OK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3" t="str">
        <f t="shared" si="21"/>
        <v>OK</v>
      </c>
      <c r="AJ141" s="14">
        <v>0</v>
      </c>
      <c r="AK141" s="14">
        <v>0</v>
      </c>
      <c r="AL141" s="14">
        <v>0</v>
      </c>
      <c r="AM141" s="14">
        <v>0</v>
      </c>
      <c r="AN141" s="14">
        <v>100</v>
      </c>
      <c r="AO141" s="14">
        <v>100</v>
      </c>
      <c r="AP141" s="15">
        <f t="shared" si="22"/>
        <v>0</v>
      </c>
      <c r="AQ141" s="14">
        <v>0</v>
      </c>
      <c r="AR141" s="14">
        <v>1000000</v>
      </c>
      <c r="AS141" s="14">
        <v>0</v>
      </c>
      <c r="AT141" s="14">
        <v>0</v>
      </c>
      <c r="AU141" s="16">
        <f t="shared" si="23"/>
        <v>1000000</v>
      </c>
      <c r="AV141" s="13" t="str">
        <f t="shared" si="24"/>
        <v>SIM</v>
      </c>
      <c r="AW141" s="13" t="str">
        <f t="shared" si="25"/>
        <v>OK</v>
      </c>
      <c r="AX141" s="13" t="str">
        <f t="shared" si="26"/>
        <v>OK</v>
      </c>
    </row>
    <row r="142" spans="1:50" x14ac:dyDescent="0.3">
      <c r="A142" s="10" t="s">
        <v>715</v>
      </c>
      <c r="B142" t="s">
        <v>1476</v>
      </c>
      <c r="C142" t="s">
        <v>739</v>
      </c>
      <c r="D142" t="s">
        <v>740</v>
      </c>
      <c r="E142" t="s">
        <v>46</v>
      </c>
      <c r="F142" t="s">
        <v>71</v>
      </c>
      <c r="G142" t="s">
        <v>60</v>
      </c>
      <c r="H142" t="s">
        <v>49</v>
      </c>
      <c r="I142" t="s">
        <v>373</v>
      </c>
      <c r="J142" t="s">
        <v>54</v>
      </c>
      <c r="K142" t="s">
        <v>51</v>
      </c>
      <c r="L142" t="s">
        <v>134</v>
      </c>
      <c r="M142">
        <v>3742</v>
      </c>
      <c r="N142" s="11" t="str">
        <f t="shared" si="18"/>
        <v>OK</v>
      </c>
      <c r="O142" t="s">
        <v>54</v>
      </c>
      <c r="P142" t="s">
        <v>54</v>
      </c>
      <c r="Q142" t="s">
        <v>54</v>
      </c>
      <c r="R142" t="str">
        <f>VLOOKUP($D142,[1]Rascunho!$E$2:$S$296,15,FALSE)</f>
        <v>https://ri.banpara.b.br/governanca-corporativa/carta-anual-de-governanca/</v>
      </c>
      <c r="S142" s="12">
        <v>1855146609.28</v>
      </c>
      <c r="T142" s="12">
        <v>668782499.59000003</v>
      </c>
      <c r="U142" s="13" t="str">
        <f t="shared" si="19"/>
        <v>OK</v>
      </c>
      <c r="V142" s="14">
        <v>1339698672.01</v>
      </c>
      <c r="W142" s="14">
        <v>54435736.380000003</v>
      </c>
      <c r="X142" t="s">
        <v>54</v>
      </c>
      <c r="Y142" s="14">
        <v>542044.97</v>
      </c>
      <c r="Z142" s="14">
        <v>60284.24</v>
      </c>
      <c r="AA142" s="14">
        <v>22715.55</v>
      </c>
      <c r="AB142" s="14">
        <v>281127985.69</v>
      </c>
      <c r="AC142" s="13" t="str">
        <f t="shared" si="20"/>
        <v>OK</v>
      </c>
      <c r="AD142" s="14">
        <v>1908308454.4300001</v>
      </c>
      <c r="AE142" s="14">
        <v>508483.26</v>
      </c>
      <c r="AF142" s="14">
        <v>61841067.420000002</v>
      </c>
      <c r="AG142" s="14">
        <v>0</v>
      </c>
      <c r="AH142" s="14">
        <v>0</v>
      </c>
      <c r="AI142" s="13" t="str">
        <f t="shared" si="21"/>
        <v>OK</v>
      </c>
      <c r="AJ142" s="14">
        <v>0</v>
      </c>
      <c r="AK142" s="14">
        <v>0</v>
      </c>
      <c r="AL142" s="14">
        <v>0</v>
      </c>
      <c r="AM142" s="14">
        <v>0</v>
      </c>
      <c r="AN142" s="14">
        <v>99.98</v>
      </c>
      <c r="AO142" s="14">
        <v>99.98</v>
      </c>
      <c r="AP142" s="15">
        <f t="shared" si="22"/>
        <v>0</v>
      </c>
      <c r="AQ142" s="14">
        <v>1472778726.04</v>
      </c>
      <c r="AR142" s="14">
        <v>1472778725.04</v>
      </c>
      <c r="AS142" s="14">
        <v>0</v>
      </c>
      <c r="AT142" s="14">
        <v>0</v>
      </c>
      <c r="AU142" s="16">
        <f t="shared" si="23"/>
        <v>-1</v>
      </c>
      <c r="AV142" s="13" t="str">
        <f t="shared" si="24"/>
        <v>NÃO</v>
      </c>
      <c r="AW142" s="13" t="str">
        <f t="shared" si="25"/>
        <v>OK</v>
      </c>
      <c r="AX142" s="13" t="str">
        <f t="shared" si="26"/>
        <v>OK</v>
      </c>
    </row>
    <row r="143" spans="1:50" x14ac:dyDescent="0.3">
      <c r="A143" s="10" t="s">
        <v>715</v>
      </c>
      <c r="B143" t="s">
        <v>1477</v>
      </c>
      <c r="C143" t="s">
        <v>744</v>
      </c>
      <c r="D143" t="s">
        <v>745</v>
      </c>
      <c r="E143" t="s">
        <v>46</v>
      </c>
      <c r="F143" t="s">
        <v>65</v>
      </c>
      <c r="G143" t="s">
        <v>60</v>
      </c>
      <c r="H143" t="s">
        <v>49</v>
      </c>
      <c r="I143" t="s">
        <v>50</v>
      </c>
      <c r="J143" t="s">
        <v>51</v>
      </c>
      <c r="K143" t="s">
        <v>54</v>
      </c>
      <c r="L143" t="s">
        <v>134</v>
      </c>
      <c r="M143">
        <v>0</v>
      </c>
      <c r="N143" s="11" t="str">
        <f t="shared" si="18"/>
        <v>VERIFICAR</v>
      </c>
      <c r="O143" t="s">
        <v>54</v>
      </c>
      <c r="P143" t="s">
        <v>54</v>
      </c>
      <c r="Q143" t="s">
        <v>51</v>
      </c>
      <c r="R143" t="str">
        <f>VLOOKUP($D143,[1]Rascunho!$E$2:$S$296,15,FALSE)</f>
        <v>https://www.codec.pa.gov.br/sobre-a-cazbar/</v>
      </c>
      <c r="S143" s="12">
        <v>0</v>
      </c>
      <c r="T143" s="12">
        <v>0</v>
      </c>
      <c r="U143" s="13" t="str">
        <f t="shared" si="19"/>
        <v>OK</v>
      </c>
      <c r="V143" s="14">
        <v>133122.97</v>
      </c>
      <c r="W143" s="14">
        <v>0</v>
      </c>
      <c r="X143" t="s">
        <v>51</v>
      </c>
      <c r="Y143" s="14">
        <v>0</v>
      </c>
      <c r="Z143" s="14">
        <v>0</v>
      </c>
      <c r="AA143" s="14">
        <v>0</v>
      </c>
      <c r="AB143" s="14">
        <v>34281.24</v>
      </c>
      <c r="AC143" s="13" t="str">
        <f t="shared" si="20"/>
        <v>OK</v>
      </c>
      <c r="AD143" s="14">
        <v>24788872.370000001</v>
      </c>
      <c r="AE143" s="14">
        <v>0</v>
      </c>
      <c r="AF143" s="14">
        <v>0</v>
      </c>
      <c r="AG143" s="14">
        <v>0</v>
      </c>
      <c r="AH143" s="14">
        <v>0</v>
      </c>
      <c r="AI143" s="13" t="str">
        <f t="shared" si="21"/>
        <v>OK</v>
      </c>
      <c r="AJ143" s="14">
        <v>0</v>
      </c>
      <c r="AK143" s="14">
        <v>0</v>
      </c>
      <c r="AL143" s="14">
        <v>0</v>
      </c>
      <c r="AM143" s="14">
        <v>0</v>
      </c>
      <c r="AN143" s="14">
        <v>99.53</v>
      </c>
      <c r="AO143" s="14">
        <v>99.53</v>
      </c>
      <c r="AP143" s="15">
        <f t="shared" si="22"/>
        <v>0</v>
      </c>
      <c r="AQ143" s="14">
        <v>28487875</v>
      </c>
      <c r="AR143" s="14">
        <v>28487875</v>
      </c>
      <c r="AS143" s="14">
        <v>15512125</v>
      </c>
      <c r="AT143" s="14">
        <v>15512125</v>
      </c>
      <c r="AU143" s="16">
        <f t="shared" si="23"/>
        <v>15512125</v>
      </c>
      <c r="AV143" s="13" t="str">
        <f t="shared" si="24"/>
        <v>SIM</v>
      </c>
      <c r="AW143" s="13" t="str">
        <f t="shared" si="25"/>
        <v>OK</v>
      </c>
      <c r="AX143" s="13" t="str">
        <f t="shared" si="26"/>
        <v>OK</v>
      </c>
    </row>
    <row r="144" spans="1:50" x14ac:dyDescent="0.3">
      <c r="A144" s="10" t="s">
        <v>715</v>
      </c>
      <c r="B144" t="s">
        <v>1478</v>
      </c>
      <c r="C144" t="s">
        <v>1479</v>
      </c>
      <c r="D144" t="s">
        <v>717</v>
      </c>
      <c r="E144" t="s">
        <v>46</v>
      </c>
      <c r="F144" t="s">
        <v>75</v>
      </c>
      <c r="G144" t="s">
        <v>60</v>
      </c>
      <c r="H144" t="s">
        <v>49</v>
      </c>
      <c r="I144" t="s">
        <v>50</v>
      </c>
      <c r="J144" t="s">
        <v>51</v>
      </c>
      <c r="K144" t="s">
        <v>54</v>
      </c>
      <c r="L144" t="s">
        <v>52</v>
      </c>
      <c r="M144">
        <v>80</v>
      </c>
      <c r="N144" s="11" t="str">
        <f t="shared" si="18"/>
        <v>OK</v>
      </c>
      <c r="O144" t="s">
        <v>54</v>
      </c>
      <c r="P144" t="s">
        <v>54</v>
      </c>
      <c r="Q144" t="s">
        <v>54</v>
      </c>
      <c r="R144" t="str">
        <f>VLOOKUP($D144,[1]Rascunho!$E$2:$S$296,15,FALSE)</f>
        <v>http://www.ceasa.pa.gov.br/</v>
      </c>
      <c r="S144" s="12">
        <v>2636488.2000000002</v>
      </c>
      <c r="T144" s="12">
        <v>7566667.1900000004</v>
      </c>
      <c r="U144" s="13" t="str">
        <f t="shared" si="19"/>
        <v>OK</v>
      </c>
      <c r="V144" s="14">
        <v>30086011.890000001</v>
      </c>
      <c r="W144" s="14">
        <v>0</v>
      </c>
      <c r="X144" t="s">
        <v>51</v>
      </c>
      <c r="Y144" s="14">
        <v>7566667.1900000004</v>
      </c>
      <c r="Z144" s="14">
        <v>0</v>
      </c>
      <c r="AA144" s="14">
        <v>218500.24</v>
      </c>
      <c r="AB144" s="14">
        <v>-2221724.62</v>
      </c>
      <c r="AC144" s="13" t="str">
        <f t="shared" si="20"/>
        <v>OK</v>
      </c>
      <c r="AD144" s="14">
        <v>-18671631.120000001</v>
      </c>
      <c r="AE144" s="14">
        <v>0</v>
      </c>
      <c r="AF144" s="14">
        <v>0</v>
      </c>
      <c r="AG144" s="14">
        <v>15033124.380000001</v>
      </c>
      <c r="AH144" s="14">
        <v>20533029.77</v>
      </c>
      <c r="AI144" s="13" t="str">
        <f t="shared" si="21"/>
        <v>OK</v>
      </c>
      <c r="AJ144" s="14">
        <v>1582232.1</v>
      </c>
      <c r="AK144" s="14">
        <v>1116638.8400000001</v>
      </c>
      <c r="AL144" s="14">
        <v>0</v>
      </c>
      <c r="AM144" s="14">
        <v>0</v>
      </c>
      <c r="AN144" s="14">
        <v>99.99</v>
      </c>
      <c r="AO144" s="14">
        <v>99.99</v>
      </c>
      <c r="AP144" s="15">
        <f t="shared" si="22"/>
        <v>0</v>
      </c>
      <c r="AQ144" s="14">
        <v>3833847.05</v>
      </c>
      <c r="AR144" s="14">
        <v>3833847.05</v>
      </c>
      <c r="AS144" s="14">
        <v>0</v>
      </c>
      <c r="AT144" s="14">
        <v>0</v>
      </c>
      <c r="AU144" s="16">
        <f t="shared" si="23"/>
        <v>0</v>
      </c>
      <c r="AV144" s="13" t="str">
        <f t="shared" si="24"/>
        <v>NÃO</v>
      </c>
      <c r="AW144" s="13" t="str">
        <f t="shared" si="25"/>
        <v>OK</v>
      </c>
      <c r="AX144" s="13" t="str">
        <f t="shared" si="26"/>
        <v>OK</v>
      </c>
    </row>
    <row r="145" spans="1:50" x14ac:dyDescent="0.3">
      <c r="A145" s="10" t="s">
        <v>715</v>
      </c>
      <c r="B145" t="s">
        <v>1480</v>
      </c>
      <c r="C145" t="s">
        <v>720</v>
      </c>
      <c r="D145" t="s">
        <v>721</v>
      </c>
      <c r="E145" t="s">
        <v>46</v>
      </c>
      <c r="F145" t="s">
        <v>65</v>
      </c>
      <c r="G145" t="s">
        <v>60</v>
      </c>
      <c r="H145" t="s">
        <v>49</v>
      </c>
      <c r="I145" t="s">
        <v>50</v>
      </c>
      <c r="J145" t="s">
        <v>51</v>
      </c>
      <c r="K145" t="s">
        <v>51</v>
      </c>
      <c r="L145" t="s">
        <v>52</v>
      </c>
      <c r="M145">
        <v>64</v>
      </c>
      <c r="N145" s="11" t="str">
        <f t="shared" si="18"/>
        <v>OK</v>
      </c>
      <c r="O145" t="s">
        <v>54</v>
      </c>
      <c r="P145" t="s">
        <v>54</v>
      </c>
      <c r="Q145" t="s">
        <v>51</v>
      </c>
      <c r="R145" t="str">
        <f>VLOOKUP($D145,[1]Rascunho!$E$2:$S$296,15,FALSE)</f>
        <v>https://www.codec.pa.gov.br/sobre-a-cazbar/</v>
      </c>
      <c r="S145" s="12">
        <v>8072991.9900000002</v>
      </c>
      <c r="T145" s="12">
        <v>7202284.5899999999</v>
      </c>
      <c r="U145" s="13" t="str">
        <f t="shared" si="19"/>
        <v>OK</v>
      </c>
      <c r="V145" s="14">
        <v>15167253.869999999</v>
      </c>
      <c r="W145" s="14">
        <v>1137437.52</v>
      </c>
      <c r="X145" t="s">
        <v>51</v>
      </c>
      <c r="Y145" s="14">
        <v>342413.69</v>
      </c>
      <c r="Z145" s="14">
        <v>0</v>
      </c>
      <c r="AA145" s="14">
        <v>0</v>
      </c>
      <c r="AB145" s="14">
        <v>900003.41</v>
      </c>
      <c r="AC145" s="13" t="str">
        <f t="shared" si="20"/>
        <v>OK</v>
      </c>
      <c r="AD145" s="14">
        <v>62212697.149999999</v>
      </c>
      <c r="AE145" s="14">
        <v>0</v>
      </c>
      <c r="AF145" s="14">
        <v>0</v>
      </c>
      <c r="AG145" s="14">
        <v>4563146.18</v>
      </c>
      <c r="AH145" s="14">
        <v>5296978</v>
      </c>
      <c r="AI145" s="13" t="str">
        <f t="shared" si="21"/>
        <v>OK</v>
      </c>
      <c r="AJ145" s="14">
        <v>0</v>
      </c>
      <c r="AK145" s="14">
        <v>0</v>
      </c>
      <c r="AL145" s="14">
        <v>0</v>
      </c>
      <c r="AM145" s="14">
        <v>0</v>
      </c>
      <c r="AN145" s="14">
        <v>99.53</v>
      </c>
      <c r="AO145" s="14">
        <v>99.53</v>
      </c>
      <c r="AP145" s="15">
        <f t="shared" si="22"/>
        <v>0</v>
      </c>
      <c r="AQ145" s="14">
        <v>22565720.649999999</v>
      </c>
      <c r="AR145" s="14">
        <v>22565720.649999999</v>
      </c>
      <c r="AS145" s="14">
        <v>0</v>
      </c>
      <c r="AT145" s="14">
        <v>0</v>
      </c>
      <c r="AU145" s="16">
        <f t="shared" si="23"/>
        <v>0</v>
      </c>
      <c r="AV145" s="13" t="str">
        <f t="shared" si="24"/>
        <v>NÃO</v>
      </c>
      <c r="AW145" s="13" t="str">
        <f t="shared" si="25"/>
        <v>OK</v>
      </c>
      <c r="AX145" s="13" t="str">
        <f t="shared" si="26"/>
        <v>OK</v>
      </c>
    </row>
    <row r="146" spans="1:50" x14ac:dyDescent="0.3">
      <c r="A146" s="10" t="s">
        <v>715</v>
      </c>
      <c r="B146" t="s">
        <v>1481</v>
      </c>
      <c r="C146" t="s">
        <v>1482</v>
      </c>
      <c r="D146" t="s">
        <v>725</v>
      </c>
      <c r="E146" t="s">
        <v>46</v>
      </c>
      <c r="F146" t="s">
        <v>93</v>
      </c>
      <c r="G146" t="s">
        <v>60</v>
      </c>
      <c r="H146" t="s">
        <v>49</v>
      </c>
      <c r="I146" t="s">
        <v>50</v>
      </c>
      <c r="J146" t="s">
        <v>51</v>
      </c>
      <c r="K146" t="s">
        <v>51</v>
      </c>
      <c r="L146" t="s">
        <v>52</v>
      </c>
      <c r="M146">
        <v>272</v>
      </c>
      <c r="N146" s="11" t="str">
        <f t="shared" si="18"/>
        <v>OK</v>
      </c>
      <c r="O146" t="s">
        <v>54</v>
      </c>
      <c r="P146" t="s">
        <v>54</v>
      </c>
      <c r="Q146" t="s">
        <v>51</v>
      </c>
      <c r="R146" t="str">
        <f>VLOOKUP($D146,[1]Rascunho!$E$2:$S$296,15,FALSE)</f>
        <v>http://www.cohab.pa.gov.br/node/1848</v>
      </c>
      <c r="S146" s="12">
        <v>714518.3</v>
      </c>
      <c r="T146" s="12">
        <v>41224521.490000002</v>
      </c>
      <c r="U146" s="13" t="str">
        <f t="shared" si="19"/>
        <v>OK</v>
      </c>
      <c r="V146" s="14">
        <v>94946941</v>
      </c>
      <c r="W146" s="14">
        <v>37102300.07</v>
      </c>
      <c r="X146" t="s">
        <v>51</v>
      </c>
      <c r="Y146" s="14">
        <v>344721.54</v>
      </c>
      <c r="Z146" s="14">
        <v>0</v>
      </c>
      <c r="AA146" s="14">
        <v>14425.28</v>
      </c>
      <c r="AB146" s="14">
        <v>-2896871.29</v>
      </c>
      <c r="AC146" s="13" t="str">
        <f t="shared" si="20"/>
        <v>OK</v>
      </c>
      <c r="AD146" s="14">
        <v>86452912.129999995</v>
      </c>
      <c r="AE146" s="14">
        <v>0</v>
      </c>
      <c r="AF146" s="14">
        <v>0</v>
      </c>
      <c r="AG146" s="14">
        <v>81608321.930000007</v>
      </c>
      <c r="AH146" s="14">
        <v>87776138.430000007</v>
      </c>
      <c r="AI146" s="13" t="str">
        <f t="shared" si="21"/>
        <v>OK</v>
      </c>
      <c r="AJ146" s="14">
        <v>2158289.04</v>
      </c>
      <c r="AK146" s="14">
        <v>2158325.04</v>
      </c>
      <c r="AL146" s="14">
        <v>0</v>
      </c>
      <c r="AM146" s="14">
        <v>0</v>
      </c>
      <c r="AN146" s="14">
        <v>99</v>
      </c>
      <c r="AO146" s="14">
        <v>99</v>
      </c>
      <c r="AP146" s="15">
        <f t="shared" si="22"/>
        <v>0</v>
      </c>
      <c r="AQ146" s="14">
        <v>89804780.659999996</v>
      </c>
      <c r="AR146" s="14">
        <v>89804780.659999996</v>
      </c>
      <c r="AS146" s="14">
        <v>0</v>
      </c>
      <c r="AT146" s="14">
        <v>0</v>
      </c>
      <c r="AU146" s="16">
        <f t="shared" si="23"/>
        <v>0</v>
      </c>
      <c r="AV146" s="13" t="str">
        <f t="shared" si="24"/>
        <v>NÃO</v>
      </c>
      <c r="AW146" s="13" t="str">
        <f t="shared" si="25"/>
        <v>OK</v>
      </c>
      <c r="AX146" s="13" t="str">
        <f t="shared" si="26"/>
        <v>OK</v>
      </c>
    </row>
    <row r="147" spans="1:50" x14ac:dyDescent="0.3">
      <c r="A147" s="10" t="s">
        <v>715</v>
      </c>
      <c r="B147" t="s">
        <v>1483</v>
      </c>
      <c r="C147" t="s">
        <v>747</v>
      </c>
      <c r="D147" t="s">
        <v>748</v>
      </c>
      <c r="E147" t="s">
        <v>46</v>
      </c>
      <c r="F147" t="s">
        <v>107</v>
      </c>
      <c r="G147" t="s">
        <v>60</v>
      </c>
      <c r="H147" t="s">
        <v>49</v>
      </c>
      <c r="I147" t="s">
        <v>50</v>
      </c>
      <c r="J147" t="s">
        <v>51</v>
      </c>
      <c r="K147" t="s">
        <v>51</v>
      </c>
      <c r="L147" t="s">
        <v>134</v>
      </c>
      <c r="M147">
        <v>1762</v>
      </c>
      <c r="N147" s="11" t="str">
        <f t="shared" si="18"/>
        <v>OK</v>
      </c>
      <c r="O147" t="s">
        <v>54</v>
      </c>
      <c r="P147" t="s">
        <v>54</v>
      </c>
      <c r="Q147" t="s">
        <v>54</v>
      </c>
      <c r="R147" t="str">
        <f>VLOOKUP($D147,[1]Rascunho!$E$2:$S$296,15,FALSE)</f>
        <v>https://www.cosanpa.pa.gov.br/institucional/</v>
      </c>
      <c r="S147" s="12">
        <v>709010468.38999999</v>
      </c>
      <c r="T147" s="12">
        <v>259855566.03</v>
      </c>
      <c r="U147" s="13" t="str">
        <f t="shared" si="19"/>
        <v>OK</v>
      </c>
      <c r="V147" s="14">
        <v>983088046.72000003</v>
      </c>
      <c r="W147" s="14">
        <v>146213040.65000001</v>
      </c>
      <c r="X147" t="s">
        <v>51</v>
      </c>
      <c r="Y147" s="14">
        <v>1287075.26</v>
      </c>
      <c r="Z147" s="14">
        <v>0</v>
      </c>
      <c r="AA147" s="14">
        <v>11869451.67</v>
      </c>
      <c r="AB147" s="14">
        <v>-1002614063.86</v>
      </c>
      <c r="AC147" s="13" t="str">
        <f t="shared" si="20"/>
        <v>OK</v>
      </c>
      <c r="AD147" s="14">
        <v>1635717767.9200001</v>
      </c>
      <c r="AE147" s="14">
        <v>0</v>
      </c>
      <c r="AF147" s="14">
        <v>0</v>
      </c>
      <c r="AG147" s="14">
        <v>0</v>
      </c>
      <c r="AH147" s="14">
        <v>0</v>
      </c>
      <c r="AI147" s="13" t="str">
        <f t="shared" si="21"/>
        <v>OK</v>
      </c>
      <c r="AJ147" s="14">
        <v>0</v>
      </c>
      <c r="AK147" s="14">
        <v>0</v>
      </c>
      <c r="AL147" s="14">
        <v>116288806.23999999</v>
      </c>
      <c r="AM147" s="14">
        <v>155894306.72</v>
      </c>
      <c r="AN147" s="14">
        <v>99.99</v>
      </c>
      <c r="AO147" s="14">
        <v>99.99</v>
      </c>
      <c r="AP147" s="15">
        <f t="shared" si="22"/>
        <v>0</v>
      </c>
      <c r="AQ147" s="14">
        <v>3877088223.77</v>
      </c>
      <c r="AR147" s="14">
        <v>3977088223.27</v>
      </c>
      <c r="AS147" s="14">
        <v>22911776.780000001</v>
      </c>
      <c r="AT147" s="14">
        <v>175094889.78999999</v>
      </c>
      <c r="AU147" s="16">
        <f t="shared" si="23"/>
        <v>275094889.28999996</v>
      </c>
      <c r="AV147" s="13" t="str">
        <f t="shared" si="24"/>
        <v>SIM</v>
      </c>
      <c r="AW147" s="13" t="str">
        <f t="shared" si="25"/>
        <v>VER CAPITAL</v>
      </c>
      <c r="AX147" s="13" t="str">
        <f t="shared" si="26"/>
        <v>OK</v>
      </c>
    </row>
    <row r="148" spans="1:50" x14ac:dyDescent="0.3">
      <c r="A148" s="10" t="s">
        <v>715</v>
      </c>
      <c r="B148" t="s">
        <v>1484</v>
      </c>
      <c r="C148" t="s">
        <v>729</v>
      </c>
      <c r="D148" t="s">
        <v>730</v>
      </c>
      <c r="E148" t="s">
        <v>46</v>
      </c>
      <c r="F148" t="s">
        <v>314</v>
      </c>
      <c r="G148" t="s">
        <v>48</v>
      </c>
      <c r="H148" t="s">
        <v>76</v>
      </c>
      <c r="I148" t="s">
        <v>50</v>
      </c>
      <c r="J148" t="s">
        <v>51</v>
      </c>
      <c r="K148" t="s">
        <v>51</v>
      </c>
      <c r="L148" t="s">
        <v>52</v>
      </c>
      <c r="M148">
        <v>51</v>
      </c>
      <c r="N148" s="11" t="str">
        <f t="shared" si="18"/>
        <v>OK</v>
      </c>
      <c r="O148" t="s">
        <v>54</v>
      </c>
      <c r="P148" t="s">
        <v>54</v>
      </c>
      <c r="Q148" t="s">
        <v>51</v>
      </c>
      <c r="R148" t="str">
        <f>VLOOKUP($D148,[1]Rascunho!$E$2:$S$296,15,FALSE)</f>
        <v>https://cph.pa.gov.br/</v>
      </c>
      <c r="S148" s="12">
        <v>35035681.890000001</v>
      </c>
      <c r="T148" s="12">
        <v>4091778.63</v>
      </c>
      <c r="U148" s="13" t="str">
        <f t="shared" si="19"/>
        <v>OK</v>
      </c>
      <c r="V148" s="14">
        <v>12731776.24</v>
      </c>
      <c r="W148" s="14">
        <v>0</v>
      </c>
      <c r="X148" t="s">
        <v>51</v>
      </c>
      <c r="Y148" s="14">
        <v>3349656.75</v>
      </c>
      <c r="Z148" s="14">
        <v>0</v>
      </c>
      <c r="AA148" s="14">
        <v>244932.5</v>
      </c>
      <c r="AB148" s="14">
        <v>22303905.649999999</v>
      </c>
      <c r="AC148" s="13" t="str">
        <f t="shared" si="20"/>
        <v>OK</v>
      </c>
      <c r="AD148" s="14">
        <v>212503024.96000001</v>
      </c>
      <c r="AE148" s="14">
        <v>0</v>
      </c>
      <c r="AF148" s="14">
        <v>0</v>
      </c>
      <c r="AG148" s="14">
        <v>67597056.329999998</v>
      </c>
      <c r="AH148" s="14">
        <v>34885831.310000002</v>
      </c>
      <c r="AI148" s="13" t="str">
        <f t="shared" si="21"/>
        <v>OK</v>
      </c>
      <c r="AJ148" s="14">
        <v>0</v>
      </c>
      <c r="AK148" s="14">
        <v>0</v>
      </c>
      <c r="AL148" s="14">
        <v>0</v>
      </c>
      <c r="AM148" s="14">
        <v>0</v>
      </c>
      <c r="AN148" s="14">
        <v>100</v>
      </c>
      <c r="AO148" s="14">
        <v>100</v>
      </c>
      <c r="AP148" s="15">
        <f t="shared" si="22"/>
        <v>0</v>
      </c>
      <c r="AQ148" s="14">
        <v>2599890.0299999998</v>
      </c>
      <c r="AR148" s="14">
        <v>2599890.0299999998</v>
      </c>
      <c r="AS148" s="14">
        <v>0</v>
      </c>
      <c r="AT148" s="14">
        <v>0</v>
      </c>
      <c r="AU148" s="16">
        <f t="shared" si="23"/>
        <v>0</v>
      </c>
      <c r="AV148" s="13" t="str">
        <f t="shared" si="24"/>
        <v>NÃO</v>
      </c>
      <c r="AW148" s="13" t="str">
        <f t="shared" si="25"/>
        <v>OK</v>
      </c>
      <c r="AX148" s="13" t="str">
        <f t="shared" si="26"/>
        <v>OK</v>
      </c>
    </row>
    <row r="149" spans="1:50" x14ac:dyDescent="0.3">
      <c r="A149" s="10" t="s">
        <v>715</v>
      </c>
      <c r="B149" t="s">
        <v>1485</v>
      </c>
      <c r="C149" t="s">
        <v>1486</v>
      </c>
      <c r="D149" t="s">
        <v>732</v>
      </c>
      <c r="E149" t="s">
        <v>46</v>
      </c>
      <c r="F149" t="s">
        <v>102</v>
      </c>
      <c r="G149" t="s">
        <v>48</v>
      </c>
      <c r="H149" t="s">
        <v>76</v>
      </c>
      <c r="I149" t="s">
        <v>50</v>
      </c>
      <c r="J149" t="s">
        <v>51</v>
      </c>
      <c r="K149" t="s">
        <v>51</v>
      </c>
      <c r="L149" t="s">
        <v>52</v>
      </c>
      <c r="M149">
        <v>966</v>
      </c>
      <c r="N149" s="11" t="str">
        <f t="shared" si="18"/>
        <v>OK</v>
      </c>
      <c r="O149" t="s">
        <v>54</v>
      </c>
      <c r="P149" t="s">
        <v>54</v>
      </c>
      <c r="Q149" t="s">
        <v>51</v>
      </c>
      <c r="R149" t="str">
        <f>VLOOKUP($D149,[1]Rascunho!$E$2:$S$296,15,FALSE)</f>
        <v>https://www.emater.pa.gov.br/pt-br/carta-anual-de-politicas-publicas-e-governanca-corporativa</v>
      </c>
      <c r="S149" s="12">
        <v>10008624.26</v>
      </c>
      <c r="T149" s="12">
        <v>128960433.89</v>
      </c>
      <c r="U149" s="13" t="str">
        <f t="shared" si="19"/>
        <v>OK</v>
      </c>
      <c r="V149" s="14">
        <v>149801816.96000001</v>
      </c>
      <c r="W149" s="14">
        <v>745763.79</v>
      </c>
      <c r="X149" t="s">
        <v>51</v>
      </c>
      <c r="Y149" s="14">
        <v>356828.49</v>
      </c>
      <c r="Z149" s="14">
        <v>0</v>
      </c>
      <c r="AA149" s="14">
        <v>685148.31</v>
      </c>
      <c r="AB149" s="14">
        <v>8476939.7300000004</v>
      </c>
      <c r="AC149" s="13" t="str">
        <f t="shared" si="20"/>
        <v>OK</v>
      </c>
      <c r="AD149" s="14">
        <v>-6088824.2400000002</v>
      </c>
      <c r="AE149" s="14">
        <v>0</v>
      </c>
      <c r="AF149" s="14">
        <v>0</v>
      </c>
      <c r="AG149" s="14">
        <v>158257304.71000001</v>
      </c>
      <c r="AH149" s="14">
        <v>162793879.80000001</v>
      </c>
      <c r="AI149" s="13" t="str">
        <f t="shared" si="21"/>
        <v>OK</v>
      </c>
      <c r="AJ149" s="14">
        <v>51143282.810000002</v>
      </c>
      <c r="AK149" s="14">
        <v>46016107.060000002</v>
      </c>
      <c r="AL149" s="14">
        <v>0</v>
      </c>
      <c r="AM149" s="14">
        <v>0</v>
      </c>
      <c r="AN149" s="14">
        <v>100</v>
      </c>
      <c r="AO149" s="14">
        <v>100</v>
      </c>
      <c r="AP149" s="15">
        <f t="shared" si="22"/>
        <v>0</v>
      </c>
      <c r="AQ149" s="14">
        <v>0</v>
      </c>
      <c r="AR149" s="14">
        <v>0</v>
      </c>
      <c r="AS149" s="14">
        <v>0</v>
      </c>
      <c r="AT149" s="14">
        <v>0</v>
      </c>
      <c r="AU149" s="16">
        <f t="shared" si="23"/>
        <v>0</v>
      </c>
      <c r="AV149" s="13" t="str">
        <f t="shared" si="24"/>
        <v>NÃO</v>
      </c>
      <c r="AW149" s="13" t="str">
        <f t="shared" si="25"/>
        <v>OK</v>
      </c>
      <c r="AX149" s="13" t="str">
        <f t="shared" si="26"/>
        <v>OK</v>
      </c>
    </row>
    <row r="150" spans="1:50" x14ac:dyDescent="0.3">
      <c r="A150" s="10" t="s">
        <v>715</v>
      </c>
      <c r="B150" t="s">
        <v>1487</v>
      </c>
      <c r="C150" t="s">
        <v>752</v>
      </c>
      <c r="D150" t="s">
        <v>753</v>
      </c>
      <c r="E150" t="s">
        <v>46</v>
      </c>
      <c r="F150" t="s">
        <v>139</v>
      </c>
      <c r="G150" t="s">
        <v>60</v>
      </c>
      <c r="H150" t="s">
        <v>76</v>
      </c>
      <c r="I150" t="s">
        <v>50</v>
      </c>
      <c r="J150" t="s">
        <v>51</v>
      </c>
      <c r="K150" t="s">
        <v>51</v>
      </c>
      <c r="L150" t="s">
        <v>134</v>
      </c>
      <c r="M150">
        <v>33</v>
      </c>
      <c r="N150" s="11" t="str">
        <f t="shared" si="18"/>
        <v>OK</v>
      </c>
      <c r="O150" t="s">
        <v>54</v>
      </c>
      <c r="P150" t="s">
        <v>54</v>
      </c>
      <c r="Q150" t="s">
        <v>51</v>
      </c>
      <c r="R150" t="str">
        <f>VLOOKUP($D150,[1]Rascunho!$E$2:$S$296,15,FALSE)</f>
        <v>https://gasdopara.com.br/transparencia-publica/normativos-internos/</v>
      </c>
      <c r="S150" s="12">
        <v>0</v>
      </c>
      <c r="T150" s="12">
        <v>2044979.15</v>
      </c>
      <c r="U150" s="13" t="str">
        <f t="shared" si="19"/>
        <v>OK</v>
      </c>
      <c r="V150" s="14">
        <v>5431294.3600000003</v>
      </c>
      <c r="W150" s="14">
        <v>0</v>
      </c>
      <c r="X150" t="s">
        <v>51</v>
      </c>
      <c r="Y150" s="14">
        <v>229165.95</v>
      </c>
      <c r="Z150" s="14">
        <v>0</v>
      </c>
      <c r="AA150" s="14">
        <v>0</v>
      </c>
      <c r="AB150" s="14">
        <v>-4768282.9800000004</v>
      </c>
      <c r="AC150" s="13" t="str">
        <f t="shared" si="20"/>
        <v>OK</v>
      </c>
      <c r="AD150" s="14">
        <v>28173993.260000002</v>
      </c>
      <c r="AE150" s="14">
        <v>0</v>
      </c>
      <c r="AF150" s="14">
        <v>0</v>
      </c>
      <c r="AG150" s="14">
        <v>0</v>
      </c>
      <c r="AH150" s="14">
        <v>0</v>
      </c>
      <c r="AI150" s="13" t="str">
        <f t="shared" si="21"/>
        <v>OK</v>
      </c>
      <c r="AJ150" s="14">
        <v>0</v>
      </c>
      <c r="AK150" s="14">
        <v>0</v>
      </c>
      <c r="AL150" s="14">
        <v>0</v>
      </c>
      <c r="AM150" s="14">
        <v>0</v>
      </c>
      <c r="AN150" s="14">
        <v>25.5</v>
      </c>
      <c r="AO150" s="14">
        <v>25.5</v>
      </c>
      <c r="AP150" s="15">
        <f t="shared" si="22"/>
        <v>0</v>
      </c>
      <c r="AQ150" s="14">
        <v>7000000</v>
      </c>
      <c r="AR150" s="14">
        <v>0</v>
      </c>
      <c r="AS150" s="14">
        <v>0</v>
      </c>
      <c r="AT150" s="14">
        <v>2428519.46</v>
      </c>
      <c r="AU150" s="16">
        <f t="shared" si="23"/>
        <v>-4571480.54</v>
      </c>
      <c r="AV150" s="13" t="str">
        <f t="shared" si="24"/>
        <v>NÃO</v>
      </c>
      <c r="AW150" s="13" t="str">
        <f t="shared" si="25"/>
        <v>OK</v>
      </c>
      <c r="AX150" s="13" t="str">
        <f t="shared" si="26"/>
        <v>OK</v>
      </c>
    </row>
    <row r="151" spans="1:50" x14ac:dyDescent="0.3">
      <c r="A151" s="10" t="s">
        <v>715</v>
      </c>
      <c r="B151" t="s">
        <v>1488</v>
      </c>
      <c r="C151" t="s">
        <v>736</v>
      </c>
      <c r="D151" t="s">
        <v>737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51</v>
      </c>
      <c r="K151" t="s">
        <v>51</v>
      </c>
      <c r="L151" t="s">
        <v>52</v>
      </c>
      <c r="M151">
        <v>315</v>
      </c>
      <c r="N151" s="11" t="str">
        <f t="shared" si="18"/>
        <v>OK</v>
      </c>
      <c r="O151" t="s">
        <v>54</v>
      </c>
      <c r="P151" t="s">
        <v>54</v>
      </c>
      <c r="Q151" t="s">
        <v>51</v>
      </c>
      <c r="R151" t="str">
        <f>VLOOKUP($D151,[1]Rascunho!$E$2:$S$296,15,FALSE)</f>
        <v>https://www.prodepa.pa.gov.br/quem-somos</v>
      </c>
      <c r="S151" s="12">
        <v>50495554.859999999</v>
      </c>
      <c r="T151" s="12">
        <v>69197262.769999996</v>
      </c>
      <c r="U151" s="13" t="str">
        <f t="shared" si="19"/>
        <v>OK</v>
      </c>
      <c r="V151" s="14">
        <v>128042079.84</v>
      </c>
      <c r="W151" s="14">
        <v>31355552.699999999</v>
      </c>
      <c r="X151" t="s">
        <v>51</v>
      </c>
      <c r="Y151" s="14">
        <v>435312.08</v>
      </c>
      <c r="Z151" s="14">
        <v>0</v>
      </c>
      <c r="AA151" s="14">
        <v>0</v>
      </c>
      <c r="AB151" s="14">
        <v>16621270.52</v>
      </c>
      <c r="AC151" s="13" t="str">
        <f t="shared" si="20"/>
        <v>OK</v>
      </c>
      <c r="AD151" s="14">
        <v>97369084.049999997</v>
      </c>
      <c r="AE151" s="14">
        <v>0</v>
      </c>
      <c r="AF151" s="14">
        <v>0</v>
      </c>
      <c r="AG151" s="14">
        <v>97528720.5</v>
      </c>
      <c r="AH151" s="14">
        <v>92078748.609999999</v>
      </c>
      <c r="AI151" s="13" t="str">
        <f t="shared" si="21"/>
        <v>OK</v>
      </c>
      <c r="AJ151" s="14">
        <v>0</v>
      </c>
      <c r="AK151" s="14">
        <v>0</v>
      </c>
      <c r="AL151" s="14">
        <v>0</v>
      </c>
      <c r="AM151" s="14">
        <v>0</v>
      </c>
      <c r="AN151" s="14">
        <v>50</v>
      </c>
      <c r="AO151" s="14">
        <v>50</v>
      </c>
      <c r="AP151" s="15">
        <f t="shared" si="22"/>
        <v>0</v>
      </c>
      <c r="AQ151" s="14">
        <v>29081412.989999998</v>
      </c>
      <c r="AR151" s="14">
        <v>29081412.989999998</v>
      </c>
      <c r="AS151" s="14">
        <v>0</v>
      </c>
      <c r="AT151" s="14">
        <v>0</v>
      </c>
      <c r="AU151" s="16">
        <f t="shared" si="23"/>
        <v>0</v>
      </c>
      <c r="AV151" s="13" t="str">
        <f t="shared" si="24"/>
        <v>NÃO</v>
      </c>
      <c r="AW151" s="13" t="str">
        <f t="shared" si="25"/>
        <v>OK</v>
      </c>
      <c r="AX151" s="13" t="str">
        <f t="shared" si="26"/>
        <v>OK</v>
      </c>
    </row>
    <row r="152" spans="1:50" x14ac:dyDescent="0.3">
      <c r="A152" s="10" t="s">
        <v>756</v>
      </c>
      <c r="B152" t="s">
        <v>792</v>
      </c>
      <c r="C152" t="s">
        <v>793</v>
      </c>
      <c r="D152" t="s">
        <v>794</v>
      </c>
      <c r="E152" t="s">
        <v>46</v>
      </c>
      <c r="F152" t="s">
        <v>107</v>
      </c>
      <c r="G152" t="s">
        <v>60</v>
      </c>
      <c r="H152" t="s">
        <v>49</v>
      </c>
      <c r="I152" t="s">
        <v>50</v>
      </c>
      <c r="J152" t="s">
        <v>51</v>
      </c>
      <c r="K152" t="s">
        <v>51</v>
      </c>
      <c r="L152" t="s">
        <v>134</v>
      </c>
      <c r="M152">
        <v>2610</v>
      </c>
      <c r="N152" s="11" t="str">
        <f t="shared" si="18"/>
        <v>OK</v>
      </c>
      <c r="O152" t="s">
        <v>54</v>
      </c>
      <c r="P152" t="s">
        <v>54</v>
      </c>
      <c r="Q152" t="s">
        <v>54</v>
      </c>
      <c r="R152" t="str">
        <f>VLOOKUP($D152,[1]Rascunho!$E$2:$S$296,15,FALSE)</f>
        <v>https://www.cagepa.pb.gov.br/carta-anual/</v>
      </c>
      <c r="S152" s="12">
        <v>1381345057.99</v>
      </c>
      <c r="T152" s="12">
        <v>487955817.81999999</v>
      </c>
      <c r="U152" s="13" t="str">
        <f t="shared" si="19"/>
        <v>OK</v>
      </c>
      <c r="V152" s="14">
        <v>1550755406.79</v>
      </c>
      <c r="W152" s="14">
        <v>267459483.03</v>
      </c>
      <c r="X152" t="s">
        <v>51</v>
      </c>
      <c r="Y152" s="14">
        <v>848669.87</v>
      </c>
      <c r="Z152" s="14">
        <v>0</v>
      </c>
      <c r="AA152" s="14">
        <v>32111.99</v>
      </c>
      <c r="AB152" s="14">
        <v>23370350.059999999</v>
      </c>
      <c r="AC152" s="13" t="str">
        <f t="shared" si="20"/>
        <v>OK</v>
      </c>
      <c r="AD152" s="14">
        <v>5572743347.1000004</v>
      </c>
      <c r="AE152" s="14">
        <v>0</v>
      </c>
      <c r="AF152" s="14">
        <v>9921.52</v>
      </c>
      <c r="AG152" s="14">
        <v>0</v>
      </c>
      <c r="AH152" s="14">
        <v>0</v>
      </c>
      <c r="AI152" s="13" t="str">
        <f t="shared" si="21"/>
        <v>OK</v>
      </c>
      <c r="AJ152" s="14">
        <v>0</v>
      </c>
      <c r="AK152" s="14">
        <v>0</v>
      </c>
      <c r="AL152" s="14">
        <v>1881657.54</v>
      </c>
      <c r="AM152" s="14">
        <v>35337622.740000002</v>
      </c>
      <c r="AN152" s="14">
        <v>1847636848672</v>
      </c>
      <c r="AO152" s="14">
        <v>1859798050200</v>
      </c>
      <c r="AP152" s="15">
        <f t="shared" si="22"/>
        <v>12161201528</v>
      </c>
      <c r="AQ152" s="14">
        <v>980744094.99000001</v>
      </c>
      <c r="AR152" s="14">
        <v>1016081717.73</v>
      </c>
      <c r="AS152" s="14">
        <v>35337622.740000002</v>
      </c>
      <c r="AT152" s="14">
        <v>124326481.62</v>
      </c>
      <c r="AU152" s="16">
        <f t="shared" si="23"/>
        <v>159664104.36000001</v>
      </c>
      <c r="AV152" s="13" t="str">
        <f t="shared" si="24"/>
        <v>SIM</v>
      </c>
      <c r="AW152" s="13" t="str">
        <f t="shared" si="25"/>
        <v>VER CAPITAL</v>
      </c>
      <c r="AX152" s="13" t="str">
        <f t="shared" si="26"/>
        <v>OK</v>
      </c>
    </row>
    <row r="153" spans="1:50" x14ac:dyDescent="0.3">
      <c r="A153" s="10" t="s">
        <v>756</v>
      </c>
      <c r="B153" t="s">
        <v>757</v>
      </c>
      <c r="C153" t="s">
        <v>758</v>
      </c>
      <c r="D153" t="s">
        <v>759</v>
      </c>
      <c r="E153" t="s">
        <v>70</v>
      </c>
      <c r="F153" t="s">
        <v>224</v>
      </c>
      <c r="G153" t="s">
        <v>60</v>
      </c>
      <c r="H153" t="s">
        <v>76</v>
      </c>
      <c r="I153" t="s">
        <v>50</v>
      </c>
      <c r="J153" t="s">
        <v>51</v>
      </c>
      <c r="K153" t="s">
        <v>51</v>
      </c>
      <c r="L153" t="s">
        <v>52</v>
      </c>
      <c r="M153">
        <v>0</v>
      </c>
      <c r="N153" s="11" t="str">
        <f t="shared" si="18"/>
        <v>OK</v>
      </c>
      <c r="O153" t="s">
        <v>51</v>
      </c>
      <c r="P153" t="s">
        <v>51</v>
      </c>
      <c r="Q153" t="s">
        <v>51</v>
      </c>
      <c r="R153" t="str">
        <f>VLOOKUP($D153,[1]Rascunho!$E$2:$S$296,15,FALSE)</f>
        <v>Site não disponível</v>
      </c>
      <c r="S153" s="12">
        <v>0</v>
      </c>
      <c r="T153" s="12">
        <v>0</v>
      </c>
      <c r="U153" s="13" t="str">
        <f t="shared" si="19"/>
        <v>OK</v>
      </c>
      <c r="V153" s="14">
        <v>0</v>
      </c>
      <c r="W153" s="14">
        <v>0</v>
      </c>
      <c r="X153" t="s">
        <v>51</v>
      </c>
      <c r="Y153" s="14">
        <v>0</v>
      </c>
      <c r="Z153" s="14">
        <v>0</v>
      </c>
      <c r="AA153" s="14">
        <v>0</v>
      </c>
      <c r="AB153" s="14">
        <v>0</v>
      </c>
      <c r="AC153" s="13" t="str">
        <f t="shared" si="20"/>
        <v>OK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3" t="str">
        <f t="shared" si="21"/>
        <v>OK</v>
      </c>
      <c r="AJ153" s="14">
        <v>0</v>
      </c>
      <c r="AK153" s="14">
        <v>0</v>
      </c>
      <c r="AL153" s="14">
        <v>0</v>
      </c>
      <c r="AM153" s="14">
        <v>0</v>
      </c>
      <c r="AN153" s="14">
        <v>73709</v>
      </c>
      <c r="AO153" s="14">
        <v>73709</v>
      </c>
      <c r="AP153" s="15">
        <f t="shared" si="22"/>
        <v>0</v>
      </c>
      <c r="AQ153" s="14">
        <v>73709</v>
      </c>
      <c r="AR153" s="14">
        <v>73709</v>
      </c>
      <c r="AS153" s="14">
        <v>0</v>
      </c>
      <c r="AT153" s="14">
        <v>0</v>
      </c>
      <c r="AU153" s="16">
        <f t="shared" si="23"/>
        <v>0</v>
      </c>
      <c r="AV153" s="13" t="str">
        <f t="shared" si="24"/>
        <v>NÃO</v>
      </c>
      <c r="AW153" s="13" t="str">
        <f t="shared" si="25"/>
        <v>OK</v>
      </c>
      <c r="AX153" s="13" t="str">
        <f t="shared" si="26"/>
        <v>OK</v>
      </c>
    </row>
    <row r="154" spans="1:50" x14ac:dyDescent="0.3">
      <c r="A154" s="10" t="s">
        <v>756</v>
      </c>
      <c r="B154" t="s">
        <v>760</v>
      </c>
      <c r="C154" t="s">
        <v>761</v>
      </c>
      <c r="D154" t="s">
        <v>762</v>
      </c>
      <c r="E154" t="s">
        <v>46</v>
      </c>
      <c r="F154" t="s">
        <v>93</v>
      </c>
      <c r="G154" t="s">
        <v>60</v>
      </c>
      <c r="H154" t="s">
        <v>49</v>
      </c>
      <c r="I154" t="s">
        <v>50</v>
      </c>
      <c r="J154" t="s">
        <v>51</v>
      </c>
      <c r="K154" t="s">
        <v>51</v>
      </c>
      <c r="L154" t="s">
        <v>52</v>
      </c>
      <c r="M154">
        <v>234</v>
      </c>
      <c r="N154" s="11" t="str">
        <f t="shared" si="18"/>
        <v>OK</v>
      </c>
      <c r="O154" t="s">
        <v>54</v>
      </c>
      <c r="P154" t="s">
        <v>54</v>
      </c>
      <c r="Q154" t="s">
        <v>51</v>
      </c>
      <c r="R154" t="str">
        <f>VLOOKUP($D154,[1]Rascunho!$E$2:$S$296,15,FALSE)</f>
        <v>http://cehap.pb.gov.br/sitecehap/</v>
      </c>
      <c r="S154" s="12">
        <v>53726658.590000004</v>
      </c>
      <c r="T154" s="12">
        <v>13860066.59</v>
      </c>
      <c r="U154" s="13" t="str">
        <f t="shared" si="19"/>
        <v>OK</v>
      </c>
      <c r="V154" s="14">
        <v>63959581.770000003</v>
      </c>
      <c r="W154" s="14">
        <v>33056452.649999999</v>
      </c>
      <c r="X154" t="s">
        <v>51</v>
      </c>
      <c r="Y154" s="14">
        <v>365611.61</v>
      </c>
      <c r="Z154" s="14">
        <v>0</v>
      </c>
      <c r="AA154" s="14">
        <v>99459.35</v>
      </c>
      <c r="AB154" s="14">
        <v>-10232923.18</v>
      </c>
      <c r="AC154" s="13" t="str">
        <f t="shared" si="20"/>
        <v>OK</v>
      </c>
      <c r="AD154" s="14">
        <v>22176800</v>
      </c>
      <c r="AE154" s="14">
        <v>0</v>
      </c>
      <c r="AF154" s="14">
        <v>0</v>
      </c>
      <c r="AG154" s="14">
        <v>27833629.18</v>
      </c>
      <c r="AH154" s="14">
        <v>53199465.780000001</v>
      </c>
      <c r="AI154" s="13" t="str">
        <f t="shared" si="21"/>
        <v>OK</v>
      </c>
      <c r="AJ154" s="14">
        <v>0</v>
      </c>
      <c r="AK154" s="14">
        <v>0</v>
      </c>
      <c r="AL154" s="14">
        <v>398321.32</v>
      </c>
      <c r="AM154" s="14">
        <v>22343838.699999999</v>
      </c>
      <c r="AN154" s="14">
        <v>238394780</v>
      </c>
      <c r="AO154" s="14">
        <v>260738619</v>
      </c>
      <c r="AP154" s="15">
        <f t="shared" si="22"/>
        <v>22343839</v>
      </c>
      <c r="AQ154" s="14">
        <v>238394780.53999999</v>
      </c>
      <c r="AR154" s="14">
        <v>260738619.24000001</v>
      </c>
      <c r="AS154" s="14">
        <v>398321.32</v>
      </c>
      <c r="AT154" s="14">
        <v>0</v>
      </c>
      <c r="AU154" s="16">
        <f t="shared" si="23"/>
        <v>22343838.700000018</v>
      </c>
      <c r="AV154" s="13" t="str">
        <f t="shared" si="24"/>
        <v>SIM</v>
      </c>
      <c r="AW154" s="13" t="str">
        <f t="shared" si="25"/>
        <v>OK</v>
      </c>
      <c r="AX154" s="13" t="str">
        <f t="shared" si="26"/>
        <v>OK</v>
      </c>
    </row>
    <row r="155" spans="1:50" x14ac:dyDescent="0.3">
      <c r="A155" s="10" t="s">
        <v>756</v>
      </c>
      <c r="B155" t="s">
        <v>764</v>
      </c>
      <c r="C155" t="s">
        <v>765</v>
      </c>
      <c r="D155" t="s">
        <v>766</v>
      </c>
      <c r="E155" t="s">
        <v>46</v>
      </c>
      <c r="F155" t="s">
        <v>65</v>
      </c>
      <c r="G155" t="s">
        <v>60</v>
      </c>
      <c r="H155" t="s">
        <v>49</v>
      </c>
      <c r="I155" t="s">
        <v>50</v>
      </c>
      <c r="J155" t="s">
        <v>51</v>
      </c>
      <c r="K155" t="s">
        <v>51</v>
      </c>
      <c r="L155" t="s">
        <v>52</v>
      </c>
      <c r="M155">
        <v>93</v>
      </c>
      <c r="N155" s="11" t="str">
        <f t="shared" si="18"/>
        <v>OK</v>
      </c>
      <c r="O155" t="s">
        <v>54</v>
      </c>
      <c r="P155" t="s">
        <v>54</v>
      </c>
      <c r="Q155" t="s">
        <v>51</v>
      </c>
      <c r="R155" t="str">
        <f>VLOOKUP($D155,[1]Rascunho!$E$2:$S$296,15,FALSE)</f>
        <v>http://www.cinep.pb.gov.br/portal/#</v>
      </c>
      <c r="S155" s="12">
        <v>23577516.309999999</v>
      </c>
      <c r="T155" s="12">
        <v>5274716.3600000003</v>
      </c>
      <c r="U155" s="13" t="str">
        <f t="shared" si="19"/>
        <v>OK</v>
      </c>
      <c r="V155" s="14">
        <v>18488943.09</v>
      </c>
      <c r="W155" s="14">
        <v>0</v>
      </c>
      <c r="X155" t="s">
        <v>51</v>
      </c>
      <c r="Y155" s="14">
        <v>260333.2</v>
      </c>
      <c r="Z155" s="14">
        <v>0</v>
      </c>
      <c r="AA155" s="14">
        <v>0</v>
      </c>
      <c r="AB155" s="14">
        <v>4328096.29</v>
      </c>
      <c r="AC155" s="13" t="str">
        <f t="shared" si="20"/>
        <v>OK</v>
      </c>
      <c r="AD155" s="14">
        <v>37971407.460000001</v>
      </c>
      <c r="AE155" s="14">
        <v>0</v>
      </c>
      <c r="AF155" s="14">
        <v>0</v>
      </c>
      <c r="AG155" s="14">
        <v>7813688.2199999997</v>
      </c>
      <c r="AH155" s="14">
        <v>8729178.5</v>
      </c>
      <c r="AI155" s="13" t="str">
        <f t="shared" si="21"/>
        <v>OK</v>
      </c>
      <c r="AJ155" s="14">
        <v>7813688.2199999997</v>
      </c>
      <c r="AK155" s="14">
        <v>8729178.5</v>
      </c>
      <c r="AL155" s="14">
        <v>0</v>
      </c>
      <c r="AM155" s="14">
        <v>0</v>
      </c>
      <c r="AN155" s="14">
        <v>2000000</v>
      </c>
      <c r="AO155" s="14">
        <v>2000000</v>
      </c>
      <c r="AP155" s="15">
        <f t="shared" si="22"/>
        <v>0</v>
      </c>
      <c r="AQ155" s="14">
        <v>2000000</v>
      </c>
      <c r="AR155" s="14">
        <v>2000000</v>
      </c>
      <c r="AS155" s="14">
        <v>0</v>
      </c>
      <c r="AT155" s="14">
        <v>0</v>
      </c>
      <c r="AU155" s="16">
        <f t="shared" si="23"/>
        <v>0</v>
      </c>
      <c r="AV155" s="13" t="str">
        <f t="shared" si="24"/>
        <v>NÃO</v>
      </c>
      <c r="AW155" s="13" t="str">
        <f t="shared" si="25"/>
        <v>OK</v>
      </c>
      <c r="AX155" s="13" t="str">
        <f t="shared" si="26"/>
        <v>OK</v>
      </c>
    </row>
    <row r="156" spans="1:50" x14ac:dyDescent="0.3">
      <c r="A156" s="10" t="s">
        <v>756</v>
      </c>
      <c r="B156" t="s">
        <v>797</v>
      </c>
      <c r="C156" t="s">
        <v>798</v>
      </c>
      <c r="D156" t="s">
        <v>799</v>
      </c>
      <c r="E156" t="s">
        <v>46</v>
      </c>
      <c r="F156" t="s">
        <v>47</v>
      </c>
      <c r="G156" t="s">
        <v>60</v>
      </c>
      <c r="H156" t="s">
        <v>49</v>
      </c>
      <c r="I156" t="s">
        <v>50</v>
      </c>
      <c r="J156" t="s">
        <v>51</v>
      </c>
      <c r="K156" t="s">
        <v>51</v>
      </c>
      <c r="L156" t="s">
        <v>134</v>
      </c>
      <c r="M156">
        <v>207</v>
      </c>
      <c r="N156" s="11" t="str">
        <f t="shared" si="18"/>
        <v>OK</v>
      </c>
      <c r="O156" t="s">
        <v>54</v>
      </c>
      <c r="P156" t="s">
        <v>54</v>
      </c>
      <c r="Q156" t="s">
        <v>51</v>
      </c>
      <c r="R156" t="str">
        <f>VLOOKUP($D156,[1]Rascunho!$E$2:$S$296,15,FALSE)</f>
        <v>https://codata.pb.gov.br/</v>
      </c>
      <c r="S156" s="12">
        <v>56294851.479999997</v>
      </c>
      <c r="T156" s="12">
        <v>33495253.75</v>
      </c>
      <c r="U156" s="13" t="str">
        <f t="shared" si="19"/>
        <v>OK</v>
      </c>
      <c r="V156" s="14">
        <v>53439184.590000004</v>
      </c>
      <c r="W156" s="14">
        <v>189381.73</v>
      </c>
      <c r="X156" t="s">
        <v>51</v>
      </c>
      <c r="Y156" s="14">
        <v>396852.58</v>
      </c>
      <c r="Z156" s="14">
        <v>0</v>
      </c>
      <c r="AA156" s="14">
        <v>0</v>
      </c>
      <c r="AB156" s="14">
        <v>2276944.5099999998</v>
      </c>
      <c r="AC156" s="13" t="str">
        <f t="shared" si="20"/>
        <v>OK</v>
      </c>
      <c r="AD156" s="14">
        <v>5704440.1299999999</v>
      </c>
      <c r="AE156" s="14">
        <v>0</v>
      </c>
      <c r="AF156" s="14">
        <v>0</v>
      </c>
      <c r="AG156" s="14">
        <v>0</v>
      </c>
      <c r="AH156" s="14">
        <v>0</v>
      </c>
      <c r="AI156" s="13" t="str">
        <f t="shared" si="21"/>
        <v>OK</v>
      </c>
      <c r="AJ156" s="14">
        <v>0</v>
      </c>
      <c r="AK156" s="14">
        <v>0</v>
      </c>
      <c r="AL156" s="14">
        <v>3276017.54</v>
      </c>
      <c r="AM156" s="14">
        <v>0</v>
      </c>
      <c r="AN156" s="14">
        <v>67817227</v>
      </c>
      <c r="AO156" s="14">
        <v>67817227</v>
      </c>
      <c r="AP156" s="15">
        <f t="shared" si="22"/>
        <v>0</v>
      </c>
      <c r="AQ156" s="14">
        <v>71899068.730000004</v>
      </c>
      <c r="AR156" s="14">
        <v>71899068.730000004</v>
      </c>
      <c r="AS156" s="14">
        <v>0</v>
      </c>
      <c r="AT156" s="14">
        <v>0</v>
      </c>
      <c r="AU156" s="16">
        <f t="shared" si="23"/>
        <v>0</v>
      </c>
      <c r="AV156" s="13" t="str">
        <f t="shared" si="24"/>
        <v>NÃO</v>
      </c>
      <c r="AW156" s="13" t="str">
        <f t="shared" si="25"/>
        <v>OK</v>
      </c>
      <c r="AX156" s="13" t="str">
        <f t="shared" si="26"/>
        <v>OK</v>
      </c>
    </row>
    <row r="157" spans="1:50" x14ac:dyDescent="0.3">
      <c r="A157" s="10" t="s">
        <v>756</v>
      </c>
      <c r="B157" t="s">
        <v>801</v>
      </c>
      <c r="C157" t="s">
        <v>802</v>
      </c>
      <c r="D157" t="s">
        <v>803</v>
      </c>
      <c r="E157" t="s">
        <v>46</v>
      </c>
      <c r="F157" t="s">
        <v>314</v>
      </c>
      <c r="G157" t="s">
        <v>60</v>
      </c>
      <c r="H157" t="s">
        <v>49</v>
      </c>
      <c r="I157" t="s">
        <v>50</v>
      </c>
      <c r="J157" t="s">
        <v>51</v>
      </c>
      <c r="K157" t="s">
        <v>51</v>
      </c>
      <c r="L157" t="s">
        <v>134</v>
      </c>
      <c r="M157">
        <v>112</v>
      </c>
      <c r="N157" s="11" t="str">
        <f t="shared" si="18"/>
        <v>OK</v>
      </c>
      <c r="O157" t="s">
        <v>54</v>
      </c>
      <c r="P157" t="s">
        <v>54</v>
      </c>
      <c r="Q157" t="s">
        <v>54</v>
      </c>
      <c r="R157" t="str">
        <f>VLOOKUP($D157,[1]Rascunho!$E$2:$S$296,15,FALSE)</f>
        <v>https://portodecabedelo.pb.gov.br/governanca-corporativa/</v>
      </c>
      <c r="S157" s="12">
        <v>16932417</v>
      </c>
      <c r="T157" s="12">
        <v>8487138</v>
      </c>
      <c r="U157" s="13" t="str">
        <f t="shared" si="19"/>
        <v>OK</v>
      </c>
      <c r="V157" s="14">
        <v>102759614</v>
      </c>
      <c r="W157" s="14">
        <v>89434166</v>
      </c>
      <c r="X157" t="s">
        <v>51</v>
      </c>
      <c r="Y157" s="14">
        <v>306591</v>
      </c>
      <c r="Z157" s="14">
        <v>0</v>
      </c>
      <c r="AA157" s="14">
        <v>82050</v>
      </c>
      <c r="AB157" s="14">
        <v>254955</v>
      </c>
      <c r="AC157" s="13" t="str">
        <f t="shared" si="20"/>
        <v>OK</v>
      </c>
      <c r="AD157" s="14">
        <v>122936183</v>
      </c>
      <c r="AE157" s="14">
        <v>0</v>
      </c>
      <c r="AF157" s="14">
        <v>0</v>
      </c>
      <c r="AG157" s="14">
        <v>0</v>
      </c>
      <c r="AH157" s="14">
        <v>0</v>
      </c>
      <c r="AI157" s="13" t="str">
        <f t="shared" si="21"/>
        <v>OK</v>
      </c>
      <c r="AJ157" s="14">
        <v>0</v>
      </c>
      <c r="AK157" s="14">
        <v>0</v>
      </c>
      <c r="AL157" s="14">
        <v>44435077</v>
      </c>
      <c r="AM157" s="14">
        <v>74012179</v>
      </c>
      <c r="AN157" s="14">
        <v>118447855</v>
      </c>
      <c r="AO157" s="14">
        <v>45520514</v>
      </c>
      <c r="AP157" s="15">
        <f t="shared" si="22"/>
        <v>-72927341</v>
      </c>
      <c r="AQ157" s="14">
        <v>45520814</v>
      </c>
      <c r="AR157" s="14">
        <v>118447855</v>
      </c>
      <c r="AS157" s="14">
        <v>0</v>
      </c>
      <c r="AT157" s="14">
        <v>0</v>
      </c>
      <c r="AU157" s="16">
        <f t="shared" si="23"/>
        <v>72927041</v>
      </c>
      <c r="AV157" s="13" t="str">
        <f t="shared" si="24"/>
        <v>SIM</v>
      </c>
      <c r="AW157" s="13" t="str">
        <f t="shared" si="25"/>
        <v>VER CAPITAL</v>
      </c>
      <c r="AX157" s="13" t="str">
        <f t="shared" si="26"/>
        <v>OK</v>
      </c>
    </row>
    <row r="158" spans="1:50" x14ac:dyDescent="0.3">
      <c r="A158" s="10" t="s">
        <v>756</v>
      </c>
      <c r="B158" t="s">
        <v>768</v>
      </c>
      <c r="C158" t="s">
        <v>1489</v>
      </c>
      <c r="D158" t="s">
        <v>769</v>
      </c>
      <c r="E158" t="s">
        <v>70</v>
      </c>
      <c r="F158" t="s">
        <v>102</v>
      </c>
      <c r="G158" t="s">
        <v>48</v>
      </c>
      <c r="H158" t="s">
        <v>76</v>
      </c>
      <c r="I158" t="s">
        <v>50</v>
      </c>
      <c r="J158" t="s">
        <v>51</v>
      </c>
      <c r="K158" t="s">
        <v>51</v>
      </c>
      <c r="L158" t="s">
        <v>52</v>
      </c>
      <c r="M158">
        <v>0</v>
      </c>
      <c r="N158" s="11" t="str">
        <f t="shared" si="18"/>
        <v>OK</v>
      </c>
      <c r="O158" t="s">
        <v>51</v>
      </c>
      <c r="P158" t="s">
        <v>54</v>
      </c>
      <c r="Q158" t="s">
        <v>51</v>
      </c>
      <c r="R158" t="str">
        <f>VLOOKUP($D158,[1]Rascunho!$E$2:$S$296,15,FALSE)</f>
        <v>Site não disponível</v>
      </c>
      <c r="S158" s="12">
        <v>0</v>
      </c>
      <c r="T158" s="12">
        <v>0</v>
      </c>
      <c r="U158" s="13" t="str">
        <f t="shared" si="19"/>
        <v>OK</v>
      </c>
      <c r="V158" s="14">
        <v>636594.03</v>
      </c>
      <c r="W158" s="14">
        <v>0</v>
      </c>
      <c r="X158" t="s">
        <v>51</v>
      </c>
      <c r="Y158" s="14">
        <v>0</v>
      </c>
      <c r="Z158" s="14">
        <v>0</v>
      </c>
      <c r="AA158" s="14">
        <v>0</v>
      </c>
      <c r="AB158" s="14">
        <v>-635053.05000000005</v>
      </c>
      <c r="AC158" s="13" t="str">
        <f t="shared" si="20"/>
        <v>OK</v>
      </c>
      <c r="AD158" s="14">
        <v>20630.28</v>
      </c>
      <c r="AE158" s="14">
        <v>0</v>
      </c>
      <c r="AF158" s="14">
        <v>0</v>
      </c>
      <c r="AG158" s="14">
        <v>0</v>
      </c>
      <c r="AH158" s="14">
        <v>0</v>
      </c>
      <c r="AI158" s="13" t="str">
        <f t="shared" si="21"/>
        <v>OK</v>
      </c>
      <c r="AJ158" s="14">
        <v>0</v>
      </c>
      <c r="AK158" s="14">
        <v>0</v>
      </c>
      <c r="AL158" s="14">
        <v>0</v>
      </c>
      <c r="AM158" s="14">
        <v>0</v>
      </c>
      <c r="AN158" s="14">
        <v>3111.66</v>
      </c>
      <c r="AO158" s="14">
        <v>3111.66</v>
      </c>
      <c r="AP158" s="15">
        <f t="shared" si="22"/>
        <v>0</v>
      </c>
      <c r="AQ158" s="14">
        <v>3111.66</v>
      </c>
      <c r="AR158" s="14">
        <v>3111.63</v>
      </c>
      <c r="AS158" s="14">
        <v>0</v>
      </c>
      <c r="AT158" s="14">
        <v>0</v>
      </c>
      <c r="AU158" s="16">
        <f t="shared" si="23"/>
        <v>-2.9999999999745341E-2</v>
      </c>
      <c r="AV158" s="13" t="str">
        <f t="shared" si="24"/>
        <v>NÃO</v>
      </c>
      <c r="AW158" s="13" t="str">
        <f t="shared" si="25"/>
        <v>OK</v>
      </c>
      <c r="AX158" s="13" t="str">
        <f t="shared" si="26"/>
        <v>OK</v>
      </c>
    </row>
    <row r="159" spans="1:50" x14ac:dyDescent="0.3">
      <c r="A159" s="10" t="s">
        <v>756</v>
      </c>
      <c r="B159" t="s">
        <v>770</v>
      </c>
      <c r="C159" t="s">
        <v>771</v>
      </c>
      <c r="D159" t="s">
        <v>772</v>
      </c>
      <c r="E159" t="s">
        <v>70</v>
      </c>
      <c r="F159" t="s">
        <v>102</v>
      </c>
      <c r="G159" t="s">
        <v>48</v>
      </c>
      <c r="H159" t="s">
        <v>76</v>
      </c>
      <c r="I159" t="s">
        <v>50</v>
      </c>
      <c r="J159" t="s">
        <v>51</v>
      </c>
      <c r="K159" t="s">
        <v>51</v>
      </c>
      <c r="L159" t="s">
        <v>52</v>
      </c>
      <c r="M159">
        <v>0</v>
      </c>
      <c r="N159" s="11" t="str">
        <f t="shared" si="18"/>
        <v>OK</v>
      </c>
      <c r="O159" t="s">
        <v>54</v>
      </c>
      <c r="P159" t="s">
        <v>54</v>
      </c>
      <c r="Q159" t="s">
        <v>51</v>
      </c>
      <c r="R159" t="str">
        <f>VLOOKUP($D159,[1]Rascunho!$E$2:$S$296,15,FALSE)</f>
        <v>Site não disponível</v>
      </c>
      <c r="S159" s="12">
        <v>0</v>
      </c>
      <c r="T159" s="12">
        <v>0</v>
      </c>
      <c r="U159" s="13" t="str">
        <f t="shared" si="19"/>
        <v>OK</v>
      </c>
      <c r="V159" s="14">
        <v>1591498</v>
      </c>
      <c r="W159" s="14">
        <v>0</v>
      </c>
      <c r="X159" t="s">
        <v>51</v>
      </c>
      <c r="Y159" s="14">
        <v>0</v>
      </c>
      <c r="Z159" s="14">
        <v>0</v>
      </c>
      <c r="AA159" s="14">
        <v>0</v>
      </c>
      <c r="AB159" s="14">
        <v>-372219</v>
      </c>
      <c r="AC159" s="13" t="str">
        <f t="shared" si="20"/>
        <v>OK</v>
      </c>
      <c r="AD159" s="14">
        <v>4501323</v>
      </c>
      <c r="AE159" s="14">
        <v>0</v>
      </c>
      <c r="AF159" s="14">
        <v>0</v>
      </c>
      <c r="AG159" s="14">
        <v>0</v>
      </c>
      <c r="AH159" s="14">
        <v>0</v>
      </c>
      <c r="AI159" s="13" t="str">
        <f t="shared" si="21"/>
        <v>OK</v>
      </c>
      <c r="AJ159" s="14">
        <v>0</v>
      </c>
      <c r="AK159" s="14">
        <v>0</v>
      </c>
      <c r="AL159" s="14">
        <v>0</v>
      </c>
      <c r="AM159" s="14">
        <v>0</v>
      </c>
      <c r="AN159" s="14">
        <v>1182563</v>
      </c>
      <c r="AO159" s="14">
        <v>1182563</v>
      </c>
      <c r="AP159" s="15">
        <f t="shared" si="22"/>
        <v>0</v>
      </c>
      <c r="AQ159" s="14">
        <v>1182563</v>
      </c>
      <c r="AR159" s="14">
        <v>1182563</v>
      </c>
      <c r="AS159" s="14">
        <v>791511</v>
      </c>
      <c r="AT159" s="14">
        <v>791511</v>
      </c>
      <c r="AU159" s="16">
        <f t="shared" si="23"/>
        <v>791511</v>
      </c>
      <c r="AV159" s="13" t="str">
        <f t="shared" si="24"/>
        <v>SIM</v>
      </c>
      <c r="AW159" s="13" t="str">
        <f t="shared" si="25"/>
        <v>OK</v>
      </c>
      <c r="AX159" s="13" t="str">
        <f t="shared" si="26"/>
        <v>OK</v>
      </c>
    </row>
    <row r="160" spans="1:50" x14ac:dyDescent="0.3">
      <c r="A160" s="10" t="s">
        <v>756</v>
      </c>
      <c r="B160" t="s">
        <v>773</v>
      </c>
      <c r="C160" t="s">
        <v>1490</v>
      </c>
      <c r="D160" t="s">
        <v>774</v>
      </c>
      <c r="E160" t="s">
        <v>46</v>
      </c>
      <c r="F160" t="s">
        <v>102</v>
      </c>
      <c r="G160" t="s">
        <v>48</v>
      </c>
      <c r="H160" t="s">
        <v>76</v>
      </c>
      <c r="I160" t="s">
        <v>50</v>
      </c>
      <c r="J160" t="s">
        <v>51</v>
      </c>
      <c r="K160" t="s">
        <v>51</v>
      </c>
      <c r="L160" t="s">
        <v>52</v>
      </c>
      <c r="M160">
        <v>1006</v>
      </c>
      <c r="N160" s="11" t="str">
        <f t="shared" si="18"/>
        <v>OK</v>
      </c>
      <c r="O160" t="s">
        <v>54</v>
      </c>
      <c r="P160" t="s">
        <v>54</v>
      </c>
      <c r="Q160" t="s">
        <v>51</v>
      </c>
      <c r="R160" t="str">
        <f>VLOOKUP($D160,[1]Rascunho!$E$2:$S$296,15,FALSE)</f>
        <v>https://empaer.pb.gov.br/Sevicos</v>
      </c>
      <c r="S160" s="12">
        <v>635083.52000000002</v>
      </c>
      <c r="T160" s="12">
        <v>98255541.590000004</v>
      </c>
      <c r="U160" s="13" t="str">
        <f t="shared" si="19"/>
        <v>OK</v>
      </c>
      <c r="V160" s="14">
        <v>135649538.37</v>
      </c>
      <c r="W160" s="14">
        <v>29470.2</v>
      </c>
      <c r="X160" t="s">
        <v>51</v>
      </c>
      <c r="Y160" s="14">
        <v>312516.51</v>
      </c>
      <c r="Z160" s="14">
        <v>0</v>
      </c>
      <c r="AA160" s="14">
        <v>0</v>
      </c>
      <c r="AB160" s="14">
        <v>822482.27</v>
      </c>
      <c r="AC160" s="13" t="str">
        <f t="shared" si="20"/>
        <v>OK</v>
      </c>
      <c r="AD160" s="14">
        <v>3788816.35</v>
      </c>
      <c r="AE160" s="14">
        <v>0</v>
      </c>
      <c r="AF160" s="14">
        <v>0</v>
      </c>
      <c r="AG160" s="14">
        <v>0</v>
      </c>
      <c r="AH160" s="14">
        <v>0</v>
      </c>
      <c r="AI160" s="13" t="str">
        <f t="shared" si="21"/>
        <v>OK</v>
      </c>
      <c r="AJ160" s="14">
        <v>0</v>
      </c>
      <c r="AK160" s="14">
        <v>0</v>
      </c>
      <c r="AL160" s="14">
        <v>0</v>
      </c>
      <c r="AM160" s="14">
        <v>0</v>
      </c>
      <c r="AN160" s="14">
        <v>473520.25</v>
      </c>
      <c r="AO160" s="14">
        <v>473520.35</v>
      </c>
      <c r="AP160" s="15">
        <f t="shared" si="22"/>
        <v>9.9999999976716936E-2</v>
      </c>
      <c r="AQ160" s="14">
        <v>473250.35</v>
      </c>
      <c r="AR160" s="14">
        <v>978753.02</v>
      </c>
      <c r="AS160" s="14">
        <v>0</v>
      </c>
      <c r="AT160" s="14">
        <v>0</v>
      </c>
      <c r="AU160" s="16">
        <f t="shared" si="23"/>
        <v>505502.67000000004</v>
      </c>
      <c r="AV160" s="13" t="str">
        <f t="shared" si="24"/>
        <v>SIM</v>
      </c>
      <c r="AW160" s="13" t="str">
        <f t="shared" si="25"/>
        <v>OK</v>
      </c>
      <c r="AX160" s="13" t="str">
        <f t="shared" si="26"/>
        <v>OK</v>
      </c>
    </row>
    <row r="161" spans="1:50" x14ac:dyDescent="0.3">
      <c r="A161" s="10" t="s">
        <v>756</v>
      </c>
      <c r="B161" t="s">
        <v>777</v>
      </c>
      <c r="C161" t="s">
        <v>778</v>
      </c>
      <c r="D161" t="s">
        <v>779</v>
      </c>
      <c r="E161" t="s">
        <v>70</v>
      </c>
      <c r="F161" t="s">
        <v>75</v>
      </c>
      <c r="G161" t="s">
        <v>48</v>
      </c>
      <c r="H161" t="s">
        <v>76</v>
      </c>
      <c r="I161" t="s">
        <v>50</v>
      </c>
      <c r="J161" t="s">
        <v>51</v>
      </c>
      <c r="K161" t="s">
        <v>54</v>
      </c>
      <c r="L161" t="s">
        <v>52</v>
      </c>
      <c r="M161">
        <v>252</v>
      </c>
      <c r="N161" s="11" t="str">
        <f t="shared" si="18"/>
        <v>OK</v>
      </c>
      <c r="O161" t="s">
        <v>51</v>
      </c>
      <c r="P161" t="s">
        <v>54</v>
      </c>
      <c r="Q161" t="s">
        <v>51</v>
      </c>
      <c r="R161" t="str">
        <f>VLOOKUP($D161,[1]Rascunho!$E$2:$S$296,15,FALSE)</f>
        <v>Site não disponível</v>
      </c>
      <c r="S161" s="12">
        <v>0</v>
      </c>
      <c r="T161" s="12">
        <v>15971575.699999999</v>
      </c>
      <c r="U161" s="13" t="str">
        <f t="shared" si="19"/>
        <v>OK</v>
      </c>
      <c r="V161" s="14">
        <v>16539780.460000001</v>
      </c>
      <c r="W161" s="14">
        <v>0</v>
      </c>
      <c r="X161" t="s">
        <v>51</v>
      </c>
      <c r="Y161" s="14">
        <v>0</v>
      </c>
      <c r="Z161" s="14">
        <v>0</v>
      </c>
      <c r="AA161" s="14">
        <v>0</v>
      </c>
      <c r="AB161" s="14">
        <v>-570458.36</v>
      </c>
      <c r="AC161" s="13" t="str">
        <f t="shared" si="20"/>
        <v>OK</v>
      </c>
      <c r="AD161" s="14">
        <v>7973043.4800000004</v>
      </c>
      <c r="AE161" s="14">
        <v>0</v>
      </c>
      <c r="AF161" s="14">
        <v>0</v>
      </c>
      <c r="AG161" s="14">
        <v>18169829.859999999</v>
      </c>
      <c r="AH161" s="14">
        <v>15969322.1</v>
      </c>
      <c r="AI161" s="13" t="str">
        <f t="shared" si="21"/>
        <v>OK</v>
      </c>
      <c r="AJ161" s="14">
        <v>0</v>
      </c>
      <c r="AK161" s="14">
        <v>0</v>
      </c>
      <c r="AL161" s="14">
        <v>0</v>
      </c>
      <c r="AM161" s="14">
        <v>0</v>
      </c>
      <c r="AN161" s="14">
        <v>15880227.18</v>
      </c>
      <c r="AO161" s="14">
        <v>15880227.18</v>
      </c>
      <c r="AP161" s="15">
        <f t="shared" si="22"/>
        <v>0</v>
      </c>
      <c r="AQ161" s="14">
        <v>15880227.18</v>
      </c>
      <c r="AR161" s="14">
        <v>15880227.18</v>
      </c>
      <c r="AS161" s="14">
        <v>0</v>
      </c>
      <c r="AT161" s="14">
        <v>0</v>
      </c>
      <c r="AU161" s="16">
        <f t="shared" si="23"/>
        <v>0</v>
      </c>
      <c r="AV161" s="13" t="str">
        <f t="shared" si="24"/>
        <v>NÃO</v>
      </c>
      <c r="AW161" s="13" t="str">
        <f t="shared" si="25"/>
        <v>OK</v>
      </c>
      <c r="AX161" s="13" t="str">
        <f t="shared" si="26"/>
        <v>OK</v>
      </c>
    </row>
    <row r="162" spans="1:50" x14ac:dyDescent="0.3">
      <c r="A162" s="10" t="s">
        <v>756</v>
      </c>
      <c r="B162" t="s">
        <v>805</v>
      </c>
      <c r="C162" t="s">
        <v>1491</v>
      </c>
      <c r="D162" t="s">
        <v>807</v>
      </c>
      <c r="E162" t="s">
        <v>46</v>
      </c>
      <c r="F162" t="s">
        <v>150</v>
      </c>
      <c r="G162" t="s">
        <v>48</v>
      </c>
      <c r="H162" t="s">
        <v>49</v>
      </c>
      <c r="I162" t="s">
        <v>50</v>
      </c>
      <c r="J162" t="s">
        <v>51</v>
      </c>
      <c r="K162" t="s">
        <v>51</v>
      </c>
      <c r="L162" t="s">
        <v>134</v>
      </c>
      <c r="M162">
        <v>303</v>
      </c>
      <c r="N162" s="11" t="str">
        <f t="shared" si="18"/>
        <v>OK</v>
      </c>
      <c r="O162" t="s">
        <v>54</v>
      </c>
      <c r="P162" t="s">
        <v>54</v>
      </c>
      <c r="Q162" t="s">
        <v>51</v>
      </c>
      <c r="R162" t="str">
        <f>VLOOKUP($D162,[1]Rascunho!$E$2:$S$296,15,FALSE)</f>
        <v>https://epc.pb.gov.br/governanca/carta-anual/carta</v>
      </c>
      <c r="S162" s="12">
        <v>23680601.059999999</v>
      </c>
      <c r="T162" s="12">
        <v>15394767.609999999</v>
      </c>
      <c r="U162" s="13" t="str">
        <f t="shared" si="19"/>
        <v>OK</v>
      </c>
      <c r="V162" s="14">
        <v>23463530.789999999</v>
      </c>
      <c r="W162" s="14">
        <v>3606667.17</v>
      </c>
      <c r="X162" t="s">
        <v>51</v>
      </c>
      <c r="Y162" s="14">
        <v>185033.33</v>
      </c>
      <c r="Z162" s="14">
        <v>0</v>
      </c>
      <c r="AA162" s="14">
        <v>0</v>
      </c>
      <c r="AB162" s="14">
        <v>648062.53</v>
      </c>
      <c r="AC162" s="13" t="str">
        <f t="shared" si="20"/>
        <v>OK</v>
      </c>
      <c r="AD162" s="14">
        <v>28426195.890000001</v>
      </c>
      <c r="AE162" s="14">
        <v>0</v>
      </c>
      <c r="AF162" s="14">
        <v>0</v>
      </c>
      <c r="AG162" s="14">
        <v>0</v>
      </c>
      <c r="AH162" s="14">
        <v>0</v>
      </c>
      <c r="AI162" s="13" t="str">
        <f t="shared" si="21"/>
        <v>OK</v>
      </c>
      <c r="AJ162" s="14">
        <v>0</v>
      </c>
      <c r="AK162" s="14">
        <v>0</v>
      </c>
      <c r="AL162" s="14">
        <v>0</v>
      </c>
      <c r="AM162" s="14">
        <v>0</v>
      </c>
      <c r="AN162" s="14">
        <v>14446242</v>
      </c>
      <c r="AO162" s="14">
        <v>18446242</v>
      </c>
      <c r="AP162" s="15">
        <f t="shared" si="22"/>
        <v>4000000</v>
      </c>
      <c r="AQ162" s="14">
        <v>14446242.609999999</v>
      </c>
      <c r="AR162" s="14">
        <v>18446242.609999999</v>
      </c>
      <c r="AS162" s="14">
        <v>4000000</v>
      </c>
      <c r="AT162" s="14">
        <v>0</v>
      </c>
      <c r="AU162" s="16">
        <f t="shared" si="23"/>
        <v>4000000</v>
      </c>
      <c r="AV162" s="13" t="str">
        <f t="shared" si="24"/>
        <v>SIM</v>
      </c>
      <c r="AW162" s="13" t="str">
        <f t="shared" si="25"/>
        <v>OK</v>
      </c>
      <c r="AX162" s="13" t="str">
        <f t="shared" si="26"/>
        <v>OK</v>
      </c>
    </row>
    <row r="163" spans="1:50" x14ac:dyDescent="0.3">
      <c r="A163" s="10" t="s">
        <v>756</v>
      </c>
      <c r="B163" t="s">
        <v>781</v>
      </c>
      <c r="C163" t="s">
        <v>782</v>
      </c>
      <c r="D163" t="s">
        <v>783</v>
      </c>
      <c r="E163" t="s">
        <v>46</v>
      </c>
      <c r="F163" t="s">
        <v>121</v>
      </c>
      <c r="G163" t="s">
        <v>60</v>
      </c>
      <c r="H163" t="s">
        <v>49</v>
      </c>
      <c r="I163" t="s">
        <v>50</v>
      </c>
      <c r="J163" t="s">
        <v>51</v>
      </c>
      <c r="K163" t="s">
        <v>51</v>
      </c>
      <c r="L163" t="s">
        <v>52</v>
      </c>
      <c r="M163">
        <v>17</v>
      </c>
      <c r="N163" s="11" t="str">
        <f t="shared" si="18"/>
        <v>OK</v>
      </c>
      <c r="O163" t="s">
        <v>54</v>
      </c>
      <c r="P163" t="s">
        <v>54</v>
      </c>
      <c r="Q163" t="s">
        <v>51</v>
      </c>
      <c r="R163" t="str">
        <f>VLOOKUP($D163,[1]Rascunho!$E$2:$S$296,15,FALSE)</f>
        <v>https://lifesa.pb.gov.br/governanca-corporativa</v>
      </c>
      <c r="S163" s="12">
        <v>0</v>
      </c>
      <c r="T163" s="12">
        <v>1286177</v>
      </c>
      <c r="U163" s="13" t="str">
        <f t="shared" si="19"/>
        <v>OK</v>
      </c>
      <c r="V163" s="14">
        <v>1422231</v>
      </c>
      <c r="W163" s="14">
        <v>0</v>
      </c>
      <c r="X163" t="s">
        <v>51</v>
      </c>
      <c r="Y163" s="14">
        <v>944813</v>
      </c>
      <c r="Z163" s="14">
        <v>0</v>
      </c>
      <c r="AA163" s="14">
        <v>0</v>
      </c>
      <c r="AB163" s="14">
        <v>-56623</v>
      </c>
      <c r="AC163" s="13" t="str">
        <f t="shared" si="20"/>
        <v>OK</v>
      </c>
      <c r="AD163" s="14">
        <v>-672396</v>
      </c>
      <c r="AE163" s="14">
        <v>0</v>
      </c>
      <c r="AF163" s="14">
        <v>0</v>
      </c>
      <c r="AG163" s="14">
        <v>871432</v>
      </c>
      <c r="AH163" s="14">
        <v>1365489</v>
      </c>
      <c r="AI163" s="13" t="str">
        <f t="shared" si="21"/>
        <v>OK</v>
      </c>
      <c r="AJ163" s="14">
        <v>0</v>
      </c>
      <c r="AK163" s="14">
        <v>0</v>
      </c>
      <c r="AL163" s="14">
        <v>0</v>
      </c>
      <c r="AM163" s="14">
        <v>0</v>
      </c>
      <c r="AN163" s="14">
        <v>576922</v>
      </c>
      <c r="AO163" s="14">
        <v>576922</v>
      </c>
      <c r="AP163" s="15">
        <f t="shared" si="22"/>
        <v>0</v>
      </c>
      <c r="AQ163" s="14">
        <v>393950</v>
      </c>
      <c r="AR163" s="14">
        <v>0</v>
      </c>
      <c r="AS163" s="14">
        <v>183172</v>
      </c>
      <c r="AT163" s="14">
        <v>0</v>
      </c>
      <c r="AU163" s="16">
        <f t="shared" si="23"/>
        <v>-393950</v>
      </c>
      <c r="AV163" s="13" t="str">
        <f t="shared" si="24"/>
        <v>NÃO</v>
      </c>
      <c r="AW163" s="13" t="str">
        <f t="shared" si="25"/>
        <v>OK</v>
      </c>
      <c r="AX163" s="13" t="str">
        <f t="shared" si="26"/>
        <v>OK</v>
      </c>
    </row>
    <row r="164" spans="1:50" x14ac:dyDescent="0.3">
      <c r="A164" s="10" t="s">
        <v>756</v>
      </c>
      <c r="B164" t="s">
        <v>809</v>
      </c>
      <c r="C164" t="s">
        <v>810</v>
      </c>
      <c r="D164" t="s">
        <v>811</v>
      </c>
      <c r="E164" t="s">
        <v>46</v>
      </c>
      <c r="F164" t="s">
        <v>139</v>
      </c>
      <c r="G164" t="s">
        <v>60</v>
      </c>
      <c r="H164" t="s">
        <v>49</v>
      </c>
      <c r="I164" t="s">
        <v>50</v>
      </c>
      <c r="J164" t="s">
        <v>51</v>
      </c>
      <c r="K164" t="s">
        <v>51</v>
      </c>
      <c r="L164" t="s">
        <v>134</v>
      </c>
      <c r="M164">
        <v>85</v>
      </c>
      <c r="N164" s="11" t="str">
        <f t="shared" si="18"/>
        <v>OK</v>
      </c>
      <c r="O164" t="s">
        <v>54</v>
      </c>
      <c r="P164" t="s">
        <v>54</v>
      </c>
      <c r="Q164" t="s">
        <v>54</v>
      </c>
      <c r="R164" t="str">
        <f>VLOOKUP($D164,[1]Rascunho!$E$2:$S$296,15,FALSE)</f>
        <v>https://pbgas.com.br/wp-content/uploads/2024/04/2023-DC-PBGAS-.pdf</v>
      </c>
      <c r="S164" s="12">
        <v>179602000</v>
      </c>
      <c r="T164" s="12">
        <v>16592000</v>
      </c>
      <c r="U164" s="13" t="str">
        <f t="shared" si="19"/>
        <v>OK</v>
      </c>
      <c r="V164" s="14">
        <v>172681000</v>
      </c>
      <c r="W164" s="14">
        <v>11318000</v>
      </c>
      <c r="X164" t="s">
        <v>54</v>
      </c>
      <c r="Y164" s="14">
        <v>275230.45</v>
      </c>
      <c r="Z164" s="14">
        <v>11906.93</v>
      </c>
      <c r="AA164" s="14">
        <v>18832.47</v>
      </c>
      <c r="AB164" s="14">
        <v>12135000</v>
      </c>
      <c r="AC164" s="13" t="str">
        <f t="shared" si="20"/>
        <v>OK</v>
      </c>
      <c r="AD164" s="14">
        <v>79681000</v>
      </c>
      <c r="AE164" s="14">
        <v>0</v>
      </c>
      <c r="AF164" s="14">
        <v>1350828.58</v>
      </c>
      <c r="AG164" s="14">
        <v>0</v>
      </c>
      <c r="AH164" s="14">
        <v>0</v>
      </c>
      <c r="AI164" s="13" t="str">
        <f t="shared" si="21"/>
        <v>OK</v>
      </c>
      <c r="AJ164" s="14">
        <v>0</v>
      </c>
      <c r="AK164" s="14">
        <v>0</v>
      </c>
      <c r="AL164" s="14">
        <v>0</v>
      </c>
      <c r="AM164" s="14">
        <v>0</v>
      </c>
      <c r="AN164" s="14">
        <v>978547</v>
      </c>
      <c r="AO164" s="14">
        <v>1030355</v>
      </c>
      <c r="AP164" s="15">
        <f t="shared" si="22"/>
        <v>51808</v>
      </c>
      <c r="AQ164" s="14">
        <v>58744</v>
      </c>
      <c r="AR164" s="14">
        <v>61853</v>
      </c>
      <c r="AS164" s="14">
        <v>0</v>
      </c>
      <c r="AT164" s="14">
        <v>0</v>
      </c>
      <c r="AU164" s="16">
        <f t="shared" si="23"/>
        <v>3109</v>
      </c>
      <c r="AV164" s="13" t="str">
        <f t="shared" si="24"/>
        <v>SIM</v>
      </c>
      <c r="AW164" s="13" t="str">
        <f t="shared" si="25"/>
        <v>OK</v>
      </c>
      <c r="AX164" s="13" t="str">
        <f t="shared" si="26"/>
        <v>OK</v>
      </c>
    </row>
    <row r="165" spans="1:50" x14ac:dyDescent="0.3">
      <c r="A165" s="10" t="s">
        <v>756</v>
      </c>
      <c r="B165" t="s">
        <v>784</v>
      </c>
      <c r="C165" t="s">
        <v>785</v>
      </c>
      <c r="D165" t="s">
        <v>786</v>
      </c>
      <c r="E165" t="s">
        <v>46</v>
      </c>
      <c r="F165" t="s">
        <v>162</v>
      </c>
      <c r="G165" t="s">
        <v>60</v>
      </c>
      <c r="H165" t="s">
        <v>49</v>
      </c>
      <c r="I165" t="s">
        <v>50</v>
      </c>
      <c r="J165" t="s">
        <v>51</v>
      </c>
      <c r="K165" t="s">
        <v>51</v>
      </c>
      <c r="L165" t="s">
        <v>52</v>
      </c>
      <c r="M165">
        <v>63</v>
      </c>
      <c r="N165" s="11" t="str">
        <f t="shared" si="18"/>
        <v>OK</v>
      </c>
      <c r="O165" t="s">
        <v>54</v>
      </c>
      <c r="P165" t="s">
        <v>54</v>
      </c>
      <c r="Q165" t="s">
        <v>51</v>
      </c>
      <c r="R165" t="str">
        <f>VLOOKUP($D165,[1]Rascunho!$E$2:$S$296,15,FALSE)</f>
        <v>https://www.pbtur.pb.gov.br/carta-anual-de-politicas-publicas-e-governanca/</v>
      </c>
      <c r="S165" s="12">
        <v>6309039.2000000002</v>
      </c>
      <c r="T165" s="12">
        <v>1710718.65</v>
      </c>
      <c r="U165" s="13" t="str">
        <f t="shared" si="19"/>
        <v>OK</v>
      </c>
      <c r="V165" s="14">
        <v>6325269.5599999996</v>
      </c>
      <c r="W165" s="14">
        <v>0</v>
      </c>
      <c r="X165" t="s">
        <v>51</v>
      </c>
      <c r="Y165" s="14">
        <v>154344.70000000001</v>
      </c>
      <c r="Z165" s="14">
        <v>0</v>
      </c>
      <c r="AA165" s="14">
        <v>0</v>
      </c>
      <c r="AB165" s="14">
        <v>22003.17</v>
      </c>
      <c r="AC165" s="13" t="str">
        <f t="shared" si="20"/>
        <v>OK</v>
      </c>
      <c r="AD165" s="14">
        <v>2298181.5299999998</v>
      </c>
      <c r="AE165" s="14">
        <v>0</v>
      </c>
      <c r="AF165" s="14">
        <v>0</v>
      </c>
      <c r="AG165" s="14">
        <v>4940711.5599999996</v>
      </c>
      <c r="AH165" s="14">
        <v>6418997.8499999996</v>
      </c>
      <c r="AI165" s="13" t="str">
        <f t="shared" si="21"/>
        <v>OK</v>
      </c>
      <c r="AJ165" s="14">
        <v>0</v>
      </c>
      <c r="AK165" s="14">
        <v>0</v>
      </c>
      <c r="AL165" s="14">
        <v>0</v>
      </c>
      <c r="AM165" s="14">
        <v>0</v>
      </c>
      <c r="AN165" s="14">
        <v>6424993.0300000003</v>
      </c>
      <c r="AO165" s="14">
        <v>6424993.0300000003</v>
      </c>
      <c r="AP165" s="15">
        <f t="shared" si="22"/>
        <v>0</v>
      </c>
      <c r="AQ165" s="14">
        <v>6451519.0300000003</v>
      </c>
      <c r="AR165" s="14">
        <v>6451519.0300000003</v>
      </c>
      <c r="AS165" s="14">
        <v>0</v>
      </c>
      <c r="AT165" s="14">
        <v>0</v>
      </c>
      <c r="AU165" s="16">
        <f t="shared" si="23"/>
        <v>0</v>
      </c>
      <c r="AV165" s="13" t="str">
        <f t="shared" si="24"/>
        <v>NÃO</v>
      </c>
      <c r="AW165" s="13" t="str">
        <f t="shared" si="25"/>
        <v>OK</v>
      </c>
      <c r="AX165" s="13" t="str">
        <f t="shared" si="26"/>
        <v>OK</v>
      </c>
    </row>
    <row r="166" spans="1:50" x14ac:dyDescent="0.3">
      <c r="A166" s="10" t="s">
        <v>756</v>
      </c>
      <c r="B166" t="s">
        <v>789</v>
      </c>
      <c r="C166" t="s">
        <v>790</v>
      </c>
      <c r="D166" t="s">
        <v>791</v>
      </c>
      <c r="E166" t="s">
        <v>46</v>
      </c>
      <c r="F166" t="s">
        <v>162</v>
      </c>
      <c r="G166" t="s">
        <v>60</v>
      </c>
      <c r="H166" t="s">
        <v>49</v>
      </c>
      <c r="I166" t="s">
        <v>50</v>
      </c>
      <c r="J166" t="s">
        <v>51</v>
      </c>
      <c r="K166" t="s">
        <v>54</v>
      </c>
      <c r="L166" t="s">
        <v>52</v>
      </c>
      <c r="M166">
        <v>1</v>
      </c>
      <c r="N166" s="11" t="str">
        <f t="shared" si="18"/>
        <v>OK</v>
      </c>
      <c r="O166" t="s">
        <v>54</v>
      </c>
      <c r="P166" t="s">
        <v>54</v>
      </c>
      <c r="Q166" t="s">
        <v>51</v>
      </c>
      <c r="R166" t="str">
        <f>VLOOKUP($D166,[1]Rascunho!$E$2:$S$296,15,FALSE)</f>
        <v>https://www.pbtur.pb.gov.br/</v>
      </c>
      <c r="S166" s="12">
        <v>584.99</v>
      </c>
      <c r="T166" s="12">
        <v>55954.16</v>
      </c>
      <c r="U166" s="13" t="str">
        <f t="shared" si="19"/>
        <v>OK</v>
      </c>
      <c r="V166" s="14">
        <v>1082388.52</v>
      </c>
      <c r="W166" s="14">
        <v>0</v>
      </c>
      <c r="X166" t="s">
        <v>51</v>
      </c>
      <c r="Y166" s="14">
        <v>19780.34</v>
      </c>
      <c r="Z166" s="14">
        <v>0</v>
      </c>
      <c r="AA166" s="14">
        <v>0</v>
      </c>
      <c r="AB166" s="14">
        <v>-881123.05</v>
      </c>
      <c r="AC166" s="13" t="str">
        <f t="shared" si="20"/>
        <v>OK</v>
      </c>
      <c r="AD166" s="14">
        <v>8019003.9400000004</v>
      </c>
      <c r="AE166" s="14">
        <v>0</v>
      </c>
      <c r="AF166" s="14">
        <v>0</v>
      </c>
      <c r="AG166" s="14">
        <v>81435.23</v>
      </c>
      <c r="AH166" s="14">
        <v>137235.98000000001</v>
      </c>
      <c r="AI166" s="13" t="str">
        <f t="shared" si="21"/>
        <v>OK</v>
      </c>
      <c r="AJ166" s="14">
        <v>0</v>
      </c>
      <c r="AK166" s="14">
        <v>0</v>
      </c>
      <c r="AL166" s="14">
        <v>0</v>
      </c>
      <c r="AM166" s="14">
        <v>0</v>
      </c>
      <c r="AN166" s="14">
        <v>15790626.210000001</v>
      </c>
      <c r="AO166" s="14">
        <v>15790626.210000001</v>
      </c>
      <c r="AP166" s="15">
        <f t="shared" si="22"/>
        <v>0</v>
      </c>
      <c r="AQ166" s="14">
        <v>15790670.210000001</v>
      </c>
      <c r="AR166" s="14">
        <v>15790670.210000001</v>
      </c>
      <c r="AS166" s="14">
        <v>701977.56</v>
      </c>
      <c r="AT166" s="14">
        <v>701977.56</v>
      </c>
      <c r="AU166" s="16">
        <f t="shared" si="23"/>
        <v>701977.56</v>
      </c>
      <c r="AV166" s="13" t="str">
        <f t="shared" si="24"/>
        <v>SIM</v>
      </c>
      <c r="AW166" s="13" t="str">
        <f t="shared" si="25"/>
        <v>OK</v>
      </c>
      <c r="AX166" s="13" t="str">
        <f t="shared" si="26"/>
        <v>OK</v>
      </c>
    </row>
    <row r="167" spans="1:50" x14ac:dyDescent="0.3">
      <c r="A167" s="10" t="s">
        <v>814</v>
      </c>
      <c r="B167" t="s">
        <v>1492</v>
      </c>
      <c r="C167" t="s">
        <v>849</v>
      </c>
      <c r="D167" t="s">
        <v>850</v>
      </c>
      <c r="E167" t="s">
        <v>46</v>
      </c>
      <c r="F167" t="s">
        <v>65</v>
      </c>
      <c r="G167" t="s">
        <v>60</v>
      </c>
      <c r="H167" t="s">
        <v>49</v>
      </c>
      <c r="I167" t="s">
        <v>50</v>
      </c>
      <c r="J167" t="s">
        <v>51</v>
      </c>
      <c r="K167" t="s">
        <v>51</v>
      </c>
      <c r="L167" t="s">
        <v>134</v>
      </c>
      <c r="M167">
        <v>285</v>
      </c>
      <c r="N167" s="11" t="str">
        <f t="shared" si="18"/>
        <v>OK</v>
      </c>
      <c r="O167" t="s">
        <v>54</v>
      </c>
      <c r="P167" t="s">
        <v>54</v>
      </c>
      <c r="Q167" t="s">
        <v>54</v>
      </c>
      <c r="R167" t="str">
        <f>VLOOKUP($D167,[1]Rascunho!$E$2:$S$296,15,FALSE)</f>
        <v>https://www.adepe.pe.gov.br/carta-anual-de-politicas-publicas-e-governanca-corporativa/</v>
      </c>
      <c r="S167" s="12">
        <v>92169977</v>
      </c>
      <c r="T167" s="12">
        <v>29275614.780000001</v>
      </c>
      <c r="U167" s="13" t="str">
        <f t="shared" si="19"/>
        <v>OK</v>
      </c>
      <c r="V167" s="14">
        <v>41986163.609999999</v>
      </c>
      <c r="W167" s="14">
        <v>0</v>
      </c>
      <c r="X167" t="s">
        <v>54</v>
      </c>
      <c r="Y167" s="14">
        <v>191140</v>
      </c>
      <c r="Z167" s="14">
        <v>13873.54</v>
      </c>
      <c r="AA167" s="14">
        <v>16230.72</v>
      </c>
      <c r="AB167" s="14">
        <v>3409177</v>
      </c>
      <c r="AC167" s="13" t="str">
        <f t="shared" si="20"/>
        <v>OK</v>
      </c>
      <c r="AD167" s="14">
        <v>179385785.53</v>
      </c>
      <c r="AE167" s="14">
        <v>0</v>
      </c>
      <c r="AF167" s="14">
        <v>7589341.75</v>
      </c>
      <c r="AG167" s="14">
        <v>0</v>
      </c>
      <c r="AH167" s="14">
        <v>0</v>
      </c>
      <c r="AI167" s="13" t="str">
        <f t="shared" si="21"/>
        <v>OK</v>
      </c>
      <c r="AJ167" s="14">
        <v>0</v>
      </c>
      <c r="AK167" s="14">
        <v>0</v>
      </c>
      <c r="AL167" s="14">
        <v>0</v>
      </c>
      <c r="AM167" s="14">
        <v>0</v>
      </c>
      <c r="AN167" s="14">
        <v>480500421384</v>
      </c>
      <c r="AO167" s="14">
        <v>4805004213.8400002</v>
      </c>
      <c r="AP167" s="15">
        <f t="shared" si="22"/>
        <v>-475695417170.15997</v>
      </c>
      <c r="AQ167" s="14">
        <v>35862477</v>
      </c>
      <c r="AR167" s="14">
        <v>35862477</v>
      </c>
      <c r="AS167" s="14">
        <v>0</v>
      </c>
      <c r="AT167" s="14">
        <v>0</v>
      </c>
      <c r="AU167" s="16">
        <f t="shared" si="23"/>
        <v>0</v>
      </c>
      <c r="AV167" s="13" t="str">
        <f t="shared" si="24"/>
        <v>NÃO</v>
      </c>
      <c r="AW167" s="13" t="str">
        <f t="shared" si="25"/>
        <v>OK</v>
      </c>
      <c r="AX167" s="13" t="str">
        <f t="shared" si="26"/>
        <v>OK</v>
      </c>
    </row>
    <row r="168" spans="1:50" x14ac:dyDescent="0.3">
      <c r="A168" s="10" t="s">
        <v>814</v>
      </c>
      <c r="B168" t="s">
        <v>1493</v>
      </c>
      <c r="C168" t="s">
        <v>854</v>
      </c>
      <c r="D168" t="s">
        <v>855</v>
      </c>
      <c r="E168" t="s">
        <v>46</v>
      </c>
      <c r="F168" t="s">
        <v>71</v>
      </c>
      <c r="G168" t="s">
        <v>60</v>
      </c>
      <c r="H168" t="s">
        <v>49</v>
      </c>
      <c r="I168" t="s">
        <v>50</v>
      </c>
      <c r="J168" t="s">
        <v>51</v>
      </c>
      <c r="K168" t="s">
        <v>51</v>
      </c>
      <c r="L168" t="s">
        <v>134</v>
      </c>
      <c r="M168">
        <v>68</v>
      </c>
      <c r="N168" s="11" t="str">
        <f t="shared" si="18"/>
        <v>OK</v>
      </c>
      <c r="O168" t="s">
        <v>54</v>
      </c>
      <c r="P168" t="s">
        <v>54</v>
      </c>
      <c r="Q168" t="s">
        <v>51</v>
      </c>
      <c r="R168" t="str">
        <f>VLOOKUP($D168,[1]Rascunho!$E$2:$S$296,15,FALSE)</f>
        <v>https://site.age.pe.gov.br/index.php/governanca-corporativa/</v>
      </c>
      <c r="S168" s="12">
        <v>6736775.1900000004</v>
      </c>
      <c r="T168" s="12">
        <v>3947295.06</v>
      </c>
      <c r="U168" s="13" t="str">
        <f t="shared" si="19"/>
        <v>OK</v>
      </c>
      <c r="V168" s="14">
        <v>13201048.640000001</v>
      </c>
      <c r="W168" s="14">
        <v>0</v>
      </c>
      <c r="X168" t="s">
        <v>51</v>
      </c>
      <c r="Y168" s="14">
        <v>169561.06</v>
      </c>
      <c r="Z168" s="14">
        <v>0</v>
      </c>
      <c r="AA168" s="14">
        <v>25496.22</v>
      </c>
      <c r="AB168" s="14">
        <v>-1579619.97</v>
      </c>
      <c r="AC168" s="13" t="str">
        <f t="shared" si="20"/>
        <v>OK</v>
      </c>
      <c r="AD168" s="14">
        <v>68275795.349999994</v>
      </c>
      <c r="AE168" s="14">
        <v>0</v>
      </c>
      <c r="AF168" s="14">
        <v>0</v>
      </c>
      <c r="AG168" s="14">
        <v>0</v>
      </c>
      <c r="AH168" s="14">
        <v>0</v>
      </c>
      <c r="AI168" s="13" t="str">
        <f t="shared" si="21"/>
        <v>OK</v>
      </c>
      <c r="AJ168" s="14">
        <v>0</v>
      </c>
      <c r="AK168" s="14">
        <v>0</v>
      </c>
      <c r="AL168" s="14">
        <v>19400000</v>
      </c>
      <c r="AM168" s="14">
        <v>0</v>
      </c>
      <c r="AN168" s="14">
        <v>96654408</v>
      </c>
      <c r="AO168" s="14">
        <v>96251015</v>
      </c>
      <c r="AP168" s="15">
        <f t="shared" si="22"/>
        <v>-403393</v>
      </c>
      <c r="AQ168" s="14">
        <v>97710010</v>
      </c>
      <c r="AR168" s="14">
        <v>97300000</v>
      </c>
      <c r="AS168" s="14">
        <v>0</v>
      </c>
      <c r="AT168" s="14">
        <v>0</v>
      </c>
      <c r="AU168" s="16">
        <f t="shared" si="23"/>
        <v>-410010</v>
      </c>
      <c r="AV168" s="13" t="str">
        <f t="shared" si="24"/>
        <v>NÃO</v>
      </c>
      <c r="AW168" s="13" t="str">
        <f t="shared" si="25"/>
        <v>OK</v>
      </c>
      <c r="AX168" s="13" t="str">
        <f t="shared" si="26"/>
        <v>OK</v>
      </c>
    </row>
    <row r="169" spans="1:50" x14ac:dyDescent="0.3">
      <c r="A169" s="10" t="s">
        <v>814</v>
      </c>
      <c r="B169" t="s">
        <v>1494</v>
      </c>
      <c r="C169" t="s">
        <v>1495</v>
      </c>
      <c r="D169" t="s">
        <v>817</v>
      </c>
      <c r="E169" t="s">
        <v>46</v>
      </c>
      <c r="F169" t="s">
        <v>93</v>
      </c>
      <c r="G169" t="s">
        <v>60</v>
      </c>
      <c r="H169" t="s">
        <v>49</v>
      </c>
      <c r="I169" t="s">
        <v>50</v>
      </c>
      <c r="J169" t="s">
        <v>51</v>
      </c>
      <c r="K169" t="s">
        <v>51</v>
      </c>
      <c r="L169" t="s">
        <v>52</v>
      </c>
      <c r="M169">
        <v>195</v>
      </c>
      <c r="N169" s="11" t="str">
        <f t="shared" si="18"/>
        <v>OK</v>
      </c>
      <c r="O169" t="s">
        <v>54</v>
      </c>
      <c r="P169" t="s">
        <v>54</v>
      </c>
      <c r="Q169" t="s">
        <v>51</v>
      </c>
      <c r="R169" t="str">
        <f>VLOOKUP($D169,[1]Rascunho!$E$2:$S$296,15,FALSE)</f>
        <v>https://www.cehab.pe.gov.br/carta-anual-de-politicas-publicas-e-governanca-corporativa</v>
      </c>
      <c r="S169" s="12">
        <v>361265</v>
      </c>
      <c r="T169" s="12">
        <v>7797379.2400000002</v>
      </c>
      <c r="U169" s="13" t="str">
        <f t="shared" si="19"/>
        <v>OK</v>
      </c>
      <c r="V169" s="14">
        <v>166018177.93000001</v>
      </c>
      <c r="W169" s="14">
        <v>73733079.75</v>
      </c>
      <c r="X169" t="s">
        <v>51</v>
      </c>
      <c r="Y169" s="14">
        <v>77544.509999999995</v>
      </c>
      <c r="Z169" s="14">
        <v>0</v>
      </c>
      <c r="AA169" s="14">
        <v>0</v>
      </c>
      <c r="AB169" s="14">
        <v>12142611</v>
      </c>
      <c r="AC169" s="13" t="str">
        <f t="shared" si="20"/>
        <v>OK</v>
      </c>
      <c r="AD169" s="14">
        <v>55057495</v>
      </c>
      <c r="AE169" s="14">
        <v>0</v>
      </c>
      <c r="AF169" s="14">
        <v>0</v>
      </c>
      <c r="AG169" s="14">
        <v>424618864.77999997</v>
      </c>
      <c r="AH169" s="14">
        <v>82932230.969999999</v>
      </c>
      <c r="AI169" s="13" t="str">
        <f t="shared" si="21"/>
        <v>OK</v>
      </c>
      <c r="AJ169" s="14">
        <v>315443729.83999997</v>
      </c>
      <c r="AK169" s="14">
        <v>43836538.479999997</v>
      </c>
      <c r="AL169" s="14">
        <v>0</v>
      </c>
      <c r="AM169" s="14">
        <v>0</v>
      </c>
      <c r="AN169" s="14">
        <v>469028</v>
      </c>
      <c r="AO169" s="14">
        <v>469028</v>
      </c>
      <c r="AP169" s="15">
        <f t="shared" si="22"/>
        <v>0</v>
      </c>
      <c r="AQ169" s="14">
        <v>472970</v>
      </c>
      <c r="AR169" s="14">
        <v>472970</v>
      </c>
      <c r="AS169" s="14">
        <v>0</v>
      </c>
      <c r="AT169" s="14">
        <v>0</v>
      </c>
      <c r="AU169" s="16">
        <f t="shared" si="23"/>
        <v>0</v>
      </c>
      <c r="AV169" s="13" t="str">
        <f t="shared" si="24"/>
        <v>NÃO</v>
      </c>
      <c r="AW169" s="13" t="str">
        <f t="shared" si="25"/>
        <v>OK</v>
      </c>
      <c r="AX169" s="13" t="str">
        <f t="shared" si="26"/>
        <v>OK</v>
      </c>
    </row>
    <row r="170" spans="1:50" x14ac:dyDescent="0.3">
      <c r="A170" s="10" t="s">
        <v>814</v>
      </c>
      <c r="B170" t="s">
        <v>1496</v>
      </c>
      <c r="C170" t="s">
        <v>859</v>
      </c>
      <c r="D170" t="s">
        <v>860</v>
      </c>
      <c r="E170" t="s">
        <v>46</v>
      </c>
      <c r="F170" t="s">
        <v>150</v>
      </c>
      <c r="G170" t="s">
        <v>60</v>
      </c>
      <c r="H170" t="s">
        <v>49</v>
      </c>
      <c r="I170" t="s">
        <v>50</v>
      </c>
      <c r="J170" t="s">
        <v>51</v>
      </c>
      <c r="K170" t="s">
        <v>51</v>
      </c>
      <c r="L170" t="s">
        <v>134</v>
      </c>
      <c r="M170">
        <v>441</v>
      </c>
      <c r="N170" s="11" t="str">
        <f t="shared" si="18"/>
        <v>OK</v>
      </c>
      <c r="O170" t="s">
        <v>54</v>
      </c>
      <c r="P170" t="s">
        <v>54</v>
      </c>
      <c r="Q170" t="s">
        <v>51</v>
      </c>
      <c r="R170" t="str">
        <f>VLOOKUP($D170,[1]Rascunho!$E$2:$S$296,15,FALSE)</f>
        <v>https://www.cepe.com.br/transparencia/governanca-corporativa</v>
      </c>
      <c r="S170" s="12">
        <v>52878705</v>
      </c>
      <c r="T170" s="12">
        <v>15425840</v>
      </c>
      <c r="U170" s="13" t="str">
        <f t="shared" si="19"/>
        <v>OK</v>
      </c>
      <c r="V170" s="14">
        <v>26963595.109999999</v>
      </c>
      <c r="W170" s="14">
        <v>1104455.1100000001</v>
      </c>
      <c r="X170" t="s">
        <v>51</v>
      </c>
      <c r="Y170" s="14">
        <v>229642.66</v>
      </c>
      <c r="Z170" s="14">
        <v>0</v>
      </c>
      <c r="AA170" s="14">
        <v>27721.279999999999</v>
      </c>
      <c r="AB170" s="14">
        <v>-1824103</v>
      </c>
      <c r="AC170" s="13" t="str">
        <f t="shared" si="20"/>
        <v>OK</v>
      </c>
      <c r="AD170" s="14">
        <v>41610697</v>
      </c>
      <c r="AE170" s="14">
        <v>0</v>
      </c>
      <c r="AF170" s="14">
        <v>0</v>
      </c>
      <c r="AG170" s="14">
        <v>0</v>
      </c>
      <c r="AH170" s="14">
        <v>0</v>
      </c>
      <c r="AI170" s="13" t="str">
        <f t="shared" si="21"/>
        <v>OK</v>
      </c>
      <c r="AJ170" s="14">
        <v>0</v>
      </c>
      <c r="AK170" s="14">
        <v>0</v>
      </c>
      <c r="AL170" s="14">
        <v>0</v>
      </c>
      <c r="AM170" s="14">
        <v>0</v>
      </c>
      <c r="AN170" s="14">
        <v>131250</v>
      </c>
      <c r="AO170" s="14">
        <v>131250</v>
      </c>
      <c r="AP170" s="15">
        <f t="shared" si="22"/>
        <v>0</v>
      </c>
      <c r="AQ170" s="14">
        <v>66570000</v>
      </c>
      <c r="AR170" s="14">
        <v>66570000</v>
      </c>
      <c r="AS170" s="14">
        <v>0</v>
      </c>
      <c r="AT170" s="14">
        <v>0</v>
      </c>
      <c r="AU170" s="16">
        <f t="shared" si="23"/>
        <v>0</v>
      </c>
      <c r="AV170" s="13" t="str">
        <f t="shared" si="24"/>
        <v>NÃO</v>
      </c>
      <c r="AW170" s="13" t="str">
        <f t="shared" si="25"/>
        <v>OK</v>
      </c>
      <c r="AX170" s="13" t="str">
        <f t="shared" si="26"/>
        <v>OK</v>
      </c>
    </row>
    <row r="171" spans="1:50" x14ac:dyDescent="0.3">
      <c r="A171" s="10" t="s">
        <v>814</v>
      </c>
      <c r="B171" t="s">
        <v>1497</v>
      </c>
      <c r="C171" t="s">
        <v>864</v>
      </c>
      <c r="D171" t="s">
        <v>865</v>
      </c>
      <c r="E171" t="s">
        <v>46</v>
      </c>
      <c r="F171" t="s">
        <v>107</v>
      </c>
      <c r="G171" t="s">
        <v>60</v>
      </c>
      <c r="H171" t="s">
        <v>49</v>
      </c>
      <c r="I171" t="s">
        <v>50</v>
      </c>
      <c r="J171" t="s">
        <v>51</v>
      </c>
      <c r="K171" t="s">
        <v>51</v>
      </c>
      <c r="L171" t="s">
        <v>134</v>
      </c>
      <c r="M171">
        <v>5839</v>
      </c>
      <c r="N171" s="11" t="str">
        <f t="shared" si="18"/>
        <v>OK</v>
      </c>
      <c r="O171" t="s">
        <v>54</v>
      </c>
      <c r="P171" t="s">
        <v>54</v>
      </c>
      <c r="Q171" t="s">
        <v>54</v>
      </c>
      <c r="R171" t="str">
        <f>VLOOKUP($D171,[1]Rascunho!$E$2:$S$296,15,FALSE)</f>
        <v>https://servicos.compesa.com.br/governanca/</v>
      </c>
      <c r="S171" s="12">
        <v>2822431904.6999998</v>
      </c>
      <c r="T171" s="12">
        <v>579504554.84000003</v>
      </c>
      <c r="U171" s="13" t="str">
        <f t="shared" si="19"/>
        <v>OK</v>
      </c>
      <c r="V171" s="14">
        <v>3222939169.98</v>
      </c>
      <c r="W171" s="14">
        <v>494474141.88999999</v>
      </c>
      <c r="X171" t="s">
        <v>51</v>
      </c>
      <c r="Y171" s="14">
        <v>593471.17000000004</v>
      </c>
      <c r="Z171" s="14">
        <v>0</v>
      </c>
      <c r="AA171" s="14">
        <v>12255.95</v>
      </c>
      <c r="AB171" s="14">
        <v>93966876.609999999</v>
      </c>
      <c r="AC171" s="13" t="str">
        <f t="shared" si="20"/>
        <v>OK</v>
      </c>
      <c r="AD171" s="14">
        <v>7903941423.9899998</v>
      </c>
      <c r="AE171" s="14">
        <v>0</v>
      </c>
      <c r="AF171" s="14">
        <v>0</v>
      </c>
      <c r="AG171" s="14">
        <v>0</v>
      </c>
      <c r="AH171" s="14">
        <v>0</v>
      </c>
      <c r="AI171" s="13" t="str">
        <f t="shared" si="21"/>
        <v>OK</v>
      </c>
      <c r="AJ171" s="14">
        <v>0</v>
      </c>
      <c r="AK171" s="14">
        <v>0</v>
      </c>
      <c r="AL171" s="14">
        <v>445929648.49000001</v>
      </c>
      <c r="AM171" s="14">
        <v>231707574.56</v>
      </c>
      <c r="AN171" s="14">
        <v>189962972</v>
      </c>
      <c r="AO171" s="14">
        <v>202971399</v>
      </c>
      <c r="AP171" s="15">
        <f t="shared" si="22"/>
        <v>13008427</v>
      </c>
      <c r="AQ171" s="14">
        <v>6979103387.3800001</v>
      </c>
      <c r="AR171" s="14">
        <v>7468746041.0900002</v>
      </c>
      <c r="AS171" s="14">
        <v>445929648.49000001</v>
      </c>
      <c r="AT171" s="14">
        <v>231707574.56</v>
      </c>
      <c r="AU171" s="16">
        <f t="shared" si="23"/>
        <v>721350228.26999998</v>
      </c>
      <c r="AV171" s="13" t="str">
        <f t="shared" si="24"/>
        <v>SIM</v>
      </c>
      <c r="AW171" s="13" t="str">
        <f t="shared" si="25"/>
        <v>VER CAPITAL</v>
      </c>
      <c r="AX171" s="13" t="str">
        <f t="shared" si="26"/>
        <v>OK</v>
      </c>
    </row>
    <row r="172" spans="1:50" x14ac:dyDescent="0.3">
      <c r="A172" s="10" t="s">
        <v>814</v>
      </c>
      <c r="B172" t="s">
        <v>1498</v>
      </c>
      <c r="C172" t="s">
        <v>869</v>
      </c>
      <c r="D172" t="s">
        <v>870</v>
      </c>
      <c r="E172" t="s">
        <v>46</v>
      </c>
      <c r="F172" t="s">
        <v>139</v>
      </c>
      <c r="G172" t="s">
        <v>60</v>
      </c>
      <c r="H172" t="s">
        <v>49</v>
      </c>
      <c r="I172" t="s">
        <v>50</v>
      </c>
      <c r="J172" t="s">
        <v>51</v>
      </c>
      <c r="K172" t="s">
        <v>51</v>
      </c>
      <c r="L172" t="s">
        <v>134</v>
      </c>
      <c r="M172">
        <v>189</v>
      </c>
      <c r="N172" s="11" t="str">
        <f t="shared" si="18"/>
        <v>OK</v>
      </c>
      <c r="O172" t="s">
        <v>54</v>
      </c>
      <c r="P172" t="s">
        <v>54</v>
      </c>
      <c r="Q172" t="s">
        <v>54</v>
      </c>
      <c r="R172" t="str">
        <f>VLOOKUP($D172,[1]Rascunho!$E$2:$S$296,15,FALSE)</f>
        <v>https://novo.copergas.com.br/portais/portal-da-governanca/index.php?option=com_content&amp;view=article&amp;id=29&amp;Itemid=202</v>
      </c>
      <c r="S172" s="12">
        <v>1397739888</v>
      </c>
      <c r="T172" s="12">
        <v>48338186</v>
      </c>
      <c r="U172" s="13" t="str">
        <f t="shared" si="19"/>
        <v>OK</v>
      </c>
      <c r="V172" s="14">
        <v>663035010</v>
      </c>
      <c r="W172" s="14">
        <v>114103201</v>
      </c>
      <c r="X172" t="s">
        <v>54</v>
      </c>
      <c r="Y172" s="14">
        <v>432413</v>
      </c>
      <c r="Z172" s="14">
        <v>21145.17</v>
      </c>
      <c r="AA172" s="14">
        <v>0</v>
      </c>
      <c r="AB172" s="14">
        <v>95623874</v>
      </c>
      <c r="AC172" s="13" t="str">
        <f t="shared" si="20"/>
        <v>OK</v>
      </c>
      <c r="AD172" s="14">
        <v>487055174</v>
      </c>
      <c r="AE172" s="14">
        <v>0</v>
      </c>
      <c r="AF172" s="14">
        <v>7558629</v>
      </c>
      <c r="AG172" s="14">
        <v>0</v>
      </c>
      <c r="AH172" s="14">
        <v>0</v>
      </c>
      <c r="AI172" s="13" t="str">
        <f t="shared" si="21"/>
        <v>OK</v>
      </c>
      <c r="AJ172" s="14">
        <v>0</v>
      </c>
      <c r="AK172" s="14">
        <v>0</v>
      </c>
      <c r="AL172" s="14">
        <v>0</v>
      </c>
      <c r="AM172" s="14">
        <v>0</v>
      </c>
      <c r="AN172" s="14">
        <v>29524894</v>
      </c>
      <c r="AO172" s="14">
        <v>30622406</v>
      </c>
      <c r="AP172" s="15">
        <f t="shared" si="22"/>
        <v>1097512</v>
      </c>
      <c r="AQ172" s="14">
        <v>234272769</v>
      </c>
      <c r="AR172" s="14">
        <v>41306804.899999999</v>
      </c>
      <c r="AS172" s="14">
        <v>0</v>
      </c>
      <c r="AT172" s="14">
        <v>0</v>
      </c>
      <c r="AU172" s="16">
        <f t="shared" si="23"/>
        <v>-192965964.09999999</v>
      </c>
      <c r="AV172" s="13" t="str">
        <f t="shared" si="24"/>
        <v>SIM</v>
      </c>
      <c r="AW172" s="13" t="str">
        <f t="shared" si="25"/>
        <v>OK</v>
      </c>
      <c r="AX172" s="13" t="str">
        <f t="shared" si="26"/>
        <v>OK</v>
      </c>
    </row>
    <row r="173" spans="1:50" x14ac:dyDescent="0.3">
      <c r="A173" s="10" t="s">
        <v>814</v>
      </c>
      <c r="B173" t="s">
        <v>1499</v>
      </c>
      <c r="C173" t="s">
        <v>821</v>
      </c>
      <c r="D173" t="s">
        <v>822</v>
      </c>
      <c r="E173" t="s">
        <v>46</v>
      </c>
      <c r="F173" t="s">
        <v>240</v>
      </c>
      <c r="G173" t="s">
        <v>48</v>
      </c>
      <c r="H173" t="s">
        <v>363</v>
      </c>
      <c r="I173" t="s">
        <v>50</v>
      </c>
      <c r="J173" t="s">
        <v>51</v>
      </c>
      <c r="K173" t="s">
        <v>51</v>
      </c>
      <c r="L173" t="s">
        <v>52</v>
      </c>
      <c r="M173">
        <v>623</v>
      </c>
      <c r="N173" s="11" t="str">
        <f t="shared" si="18"/>
        <v>OK</v>
      </c>
      <c r="O173" t="s">
        <v>54</v>
      </c>
      <c r="P173" t="s">
        <v>54</v>
      </c>
      <c r="Q173" t="s">
        <v>51</v>
      </c>
      <c r="R173" t="str">
        <f>VLOOKUP($D173,[1]Rascunho!$E$2:$S$296,15,FALSE)</f>
        <v>https://www.granderecife.pe.gov.br/instrumentos-de-governanca/</v>
      </c>
      <c r="S173" s="12">
        <v>1171449.3899999999</v>
      </c>
      <c r="T173" s="12">
        <v>155777055.53</v>
      </c>
      <c r="U173" s="13" t="str">
        <f t="shared" si="19"/>
        <v>OK</v>
      </c>
      <c r="V173" s="14">
        <v>482442238.95999998</v>
      </c>
      <c r="W173" s="14">
        <v>81037.14</v>
      </c>
      <c r="X173" t="s">
        <v>51</v>
      </c>
      <c r="Y173" s="14">
        <v>543574.17000000004</v>
      </c>
      <c r="Z173" s="14">
        <v>0</v>
      </c>
      <c r="AA173" s="14">
        <v>7617.08</v>
      </c>
      <c r="AB173" s="14">
        <v>-16686128.74</v>
      </c>
      <c r="AC173" s="13" t="str">
        <f t="shared" si="20"/>
        <v>OK</v>
      </c>
      <c r="AD173" s="14">
        <v>-246934579.12</v>
      </c>
      <c r="AE173" s="14">
        <v>0</v>
      </c>
      <c r="AF173" s="14">
        <v>0</v>
      </c>
      <c r="AG173" s="14">
        <v>479778494.77999997</v>
      </c>
      <c r="AH173" s="14">
        <v>456342055.38</v>
      </c>
      <c r="AI173" s="13" t="str">
        <f t="shared" si="21"/>
        <v>OK</v>
      </c>
      <c r="AJ173" s="14">
        <v>311752939.70999998</v>
      </c>
      <c r="AK173" s="14">
        <v>264031251.59999999</v>
      </c>
      <c r="AL173" s="14">
        <v>0</v>
      </c>
      <c r="AM173" s="14">
        <v>0</v>
      </c>
      <c r="AN173" s="14">
        <v>575700</v>
      </c>
      <c r="AO173" s="14">
        <v>575700</v>
      </c>
      <c r="AP173" s="15">
        <f t="shared" si="22"/>
        <v>0</v>
      </c>
      <c r="AQ173" s="14">
        <v>575700</v>
      </c>
      <c r="AR173" s="14">
        <v>575700</v>
      </c>
      <c r="AS173" s="14">
        <v>424300</v>
      </c>
      <c r="AT173" s="14">
        <v>424300</v>
      </c>
      <c r="AU173" s="16">
        <f t="shared" si="23"/>
        <v>424300</v>
      </c>
      <c r="AV173" s="13" t="str">
        <f t="shared" si="24"/>
        <v>SIM</v>
      </c>
      <c r="AW173" s="13" t="str">
        <f t="shared" si="25"/>
        <v>OK</v>
      </c>
      <c r="AX173" s="13" t="str">
        <f t="shared" si="26"/>
        <v>OK</v>
      </c>
    </row>
    <row r="174" spans="1:50" x14ac:dyDescent="0.3">
      <c r="A174" s="10" t="s">
        <v>814</v>
      </c>
      <c r="B174" t="s">
        <v>1500</v>
      </c>
      <c r="C174" t="s">
        <v>826</v>
      </c>
      <c r="D174" t="s">
        <v>827</v>
      </c>
      <c r="E174" t="s">
        <v>46</v>
      </c>
      <c r="F174" t="s">
        <v>162</v>
      </c>
      <c r="G174" t="s">
        <v>60</v>
      </c>
      <c r="H174" t="s">
        <v>49</v>
      </c>
      <c r="I174" t="s">
        <v>373</v>
      </c>
      <c r="J174" t="s">
        <v>51</v>
      </c>
      <c r="K174" t="s">
        <v>51</v>
      </c>
      <c r="L174" t="s">
        <v>52</v>
      </c>
      <c r="M174">
        <v>361</v>
      </c>
      <c r="N174" s="11" t="str">
        <f t="shared" si="18"/>
        <v>OK</v>
      </c>
      <c r="O174" t="s">
        <v>54</v>
      </c>
      <c r="P174" t="s">
        <v>54</v>
      </c>
      <c r="Q174" t="s">
        <v>51</v>
      </c>
      <c r="R174" t="str">
        <f>VLOOKUP($D174,[1]Rascunho!$E$2:$S$296,15,FALSE)</f>
        <v>https://www.empetur.pe.gov.br/transparencia/governanca-corporativa/74-transparencia/1410-carta-anual-sobre-politicas-publicas-e-governanca-corporativa</v>
      </c>
      <c r="S174" s="12">
        <v>2828687.45</v>
      </c>
      <c r="T174" s="12">
        <v>29361151.739999998</v>
      </c>
      <c r="U174" s="13" t="str">
        <f t="shared" si="19"/>
        <v>OK</v>
      </c>
      <c r="V174" s="14">
        <v>329734118.80000001</v>
      </c>
      <c r="W174" s="14">
        <v>69851.8</v>
      </c>
      <c r="X174" t="s">
        <v>51</v>
      </c>
      <c r="Y174" s="14">
        <v>188223.75</v>
      </c>
      <c r="Z174" s="14">
        <v>0</v>
      </c>
      <c r="AA174" s="14">
        <v>11059.62</v>
      </c>
      <c r="AB174" s="14">
        <v>-232765381.53999999</v>
      </c>
      <c r="AC174" s="13" t="str">
        <f t="shared" si="20"/>
        <v>OK</v>
      </c>
      <c r="AD174" s="14">
        <v>6893836</v>
      </c>
      <c r="AE174" s="14">
        <v>0</v>
      </c>
      <c r="AF174" s="14">
        <v>0</v>
      </c>
      <c r="AG174" s="14">
        <v>113754701.8</v>
      </c>
      <c r="AH174" s="14">
        <v>89764930.540000007</v>
      </c>
      <c r="AI174" s="13" t="str">
        <f t="shared" si="21"/>
        <v>OK</v>
      </c>
      <c r="AJ174" s="14">
        <v>111660324.98999999</v>
      </c>
      <c r="AK174" s="14">
        <v>329664257.63999999</v>
      </c>
      <c r="AL174" s="14">
        <v>0</v>
      </c>
      <c r="AM174" s="14">
        <v>0</v>
      </c>
      <c r="AN174" s="14">
        <v>47609915475</v>
      </c>
      <c r="AO174" s="14">
        <v>47609915475</v>
      </c>
      <c r="AP174" s="15">
        <f t="shared" si="22"/>
        <v>0</v>
      </c>
      <c r="AQ174" s="14">
        <v>72065680.989999995</v>
      </c>
      <c r="AR174" s="14">
        <v>72065680.989999995</v>
      </c>
      <c r="AS174" s="14">
        <v>0</v>
      </c>
      <c r="AT174" s="14">
        <v>0</v>
      </c>
      <c r="AU174" s="16">
        <f t="shared" si="23"/>
        <v>0</v>
      </c>
      <c r="AV174" s="13" t="str">
        <f t="shared" si="24"/>
        <v>NÃO</v>
      </c>
      <c r="AW174" s="13" t="str">
        <f t="shared" si="25"/>
        <v>OK</v>
      </c>
      <c r="AX174" s="13" t="str">
        <f t="shared" si="26"/>
        <v>OK</v>
      </c>
    </row>
    <row r="175" spans="1:50" x14ac:dyDescent="0.3">
      <c r="A175" s="10" t="s">
        <v>814</v>
      </c>
      <c r="B175" t="s">
        <v>1501</v>
      </c>
      <c r="C175" t="s">
        <v>1502</v>
      </c>
      <c r="D175" t="s">
        <v>831</v>
      </c>
      <c r="E175" t="s">
        <v>46</v>
      </c>
      <c r="F175" t="s">
        <v>150</v>
      </c>
      <c r="G175" t="s">
        <v>48</v>
      </c>
      <c r="H175" t="s">
        <v>49</v>
      </c>
      <c r="I175" t="s">
        <v>50</v>
      </c>
      <c r="J175" t="s">
        <v>51</v>
      </c>
      <c r="K175" t="s">
        <v>51</v>
      </c>
      <c r="L175" t="s">
        <v>52</v>
      </c>
      <c r="M175">
        <v>62</v>
      </c>
      <c r="N175" s="11" t="str">
        <f t="shared" si="18"/>
        <v>OK</v>
      </c>
      <c r="O175" t="s">
        <v>54</v>
      </c>
      <c r="P175" t="s">
        <v>54</v>
      </c>
      <c r="Q175" t="s">
        <v>51</v>
      </c>
      <c r="R175" t="str">
        <f>VLOOKUP($D175,[1]Rascunho!$E$2:$S$296,15,FALSE)</f>
        <v>https://www.epc.pe.gov.br/documentos/</v>
      </c>
      <c r="S175" s="12">
        <v>1380820</v>
      </c>
      <c r="T175" s="12">
        <v>4278641</v>
      </c>
      <c r="U175" s="13" t="str">
        <f t="shared" si="19"/>
        <v>OK</v>
      </c>
      <c r="V175" s="14">
        <v>7797341</v>
      </c>
      <c r="W175" s="14">
        <v>58684</v>
      </c>
      <c r="X175" t="s">
        <v>51</v>
      </c>
      <c r="Y175" s="14">
        <v>85553.52</v>
      </c>
      <c r="Z175" s="14">
        <v>0</v>
      </c>
      <c r="AA175" s="14">
        <v>0</v>
      </c>
      <c r="AB175" s="14">
        <v>121231</v>
      </c>
      <c r="AC175" s="13" t="str">
        <f t="shared" si="20"/>
        <v>OK</v>
      </c>
      <c r="AD175" s="14">
        <v>5291380</v>
      </c>
      <c r="AE175" s="14">
        <v>0</v>
      </c>
      <c r="AF175" s="14">
        <v>0</v>
      </c>
      <c r="AG175" s="14">
        <v>5273241</v>
      </c>
      <c r="AH175" s="14">
        <v>6013099</v>
      </c>
      <c r="AI175" s="13" t="str">
        <f t="shared" si="21"/>
        <v>OK</v>
      </c>
      <c r="AJ175" s="14">
        <v>6226360.9199999999</v>
      </c>
      <c r="AK175" s="14">
        <v>6034464</v>
      </c>
      <c r="AL175" s="14">
        <v>0</v>
      </c>
      <c r="AM175" s="14">
        <v>0</v>
      </c>
      <c r="AN175" s="14">
        <v>3488600</v>
      </c>
      <c r="AO175" s="14">
        <v>3488600</v>
      </c>
      <c r="AP175" s="15">
        <f t="shared" si="22"/>
        <v>0</v>
      </c>
      <c r="AQ175" s="14">
        <v>3488600</v>
      </c>
      <c r="AR175" s="14">
        <v>3488600</v>
      </c>
      <c r="AS175" s="14">
        <v>0</v>
      </c>
      <c r="AT175" s="14">
        <v>0</v>
      </c>
      <c r="AU175" s="16">
        <f t="shared" si="23"/>
        <v>0</v>
      </c>
      <c r="AV175" s="13" t="str">
        <f t="shared" si="24"/>
        <v>NÃO</v>
      </c>
      <c r="AW175" s="13" t="str">
        <f t="shared" si="25"/>
        <v>OK</v>
      </c>
      <c r="AX175" s="13" t="str">
        <f t="shared" si="26"/>
        <v>OK</v>
      </c>
    </row>
    <row r="176" spans="1:50" x14ac:dyDescent="0.3">
      <c r="A176" s="10" t="s">
        <v>814</v>
      </c>
      <c r="B176" t="s">
        <v>1503</v>
      </c>
      <c r="C176" t="s">
        <v>834</v>
      </c>
      <c r="D176" t="s">
        <v>835</v>
      </c>
      <c r="E176" t="s">
        <v>46</v>
      </c>
      <c r="F176" t="s">
        <v>240</v>
      </c>
      <c r="G176" t="s">
        <v>48</v>
      </c>
      <c r="H176" t="s">
        <v>76</v>
      </c>
      <c r="I176" t="s">
        <v>50</v>
      </c>
      <c r="J176" t="s">
        <v>51</v>
      </c>
      <c r="K176" t="s">
        <v>51</v>
      </c>
      <c r="L176" t="s">
        <v>52</v>
      </c>
      <c r="M176">
        <v>43</v>
      </c>
      <c r="N176" s="11" t="str">
        <f t="shared" si="18"/>
        <v>OK</v>
      </c>
      <c r="O176" t="s">
        <v>54</v>
      </c>
      <c r="P176" t="s">
        <v>54</v>
      </c>
      <c r="Q176" t="s">
        <v>51</v>
      </c>
      <c r="R176" t="str">
        <f>VLOOKUP($D176,[1]Rascunho!$E$2:$S$296,15,FALSE)</f>
        <v>https://www.epti.pe.gov.br/carta-anual-de-politicas-publicas-e-governanca-corporativa/</v>
      </c>
      <c r="S176" s="12">
        <v>5372389</v>
      </c>
      <c r="T176" s="12">
        <v>3184064.37</v>
      </c>
      <c r="U176" s="13" t="str">
        <f t="shared" si="19"/>
        <v>OK</v>
      </c>
      <c r="V176" s="14">
        <v>8536026.1300000008</v>
      </c>
      <c r="W176" s="14">
        <v>3344179.13</v>
      </c>
      <c r="X176" t="s">
        <v>51</v>
      </c>
      <c r="Y176" s="14">
        <v>91000</v>
      </c>
      <c r="Z176" s="14">
        <v>0</v>
      </c>
      <c r="AA176" s="14">
        <v>0</v>
      </c>
      <c r="AB176" s="14">
        <v>183586</v>
      </c>
      <c r="AC176" s="13" t="str">
        <f t="shared" si="20"/>
        <v>OK</v>
      </c>
      <c r="AD176" s="14">
        <v>8663136</v>
      </c>
      <c r="AE176" s="14">
        <v>0</v>
      </c>
      <c r="AF176" s="14">
        <v>0</v>
      </c>
      <c r="AG176" s="14">
        <v>15978160</v>
      </c>
      <c r="AH176" s="14">
        <v>3545444.26</v>
      </c>
      <c r="AI176" s="13" t="str">
        <f t="shared" si="21"/>
        <v>OK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5">
        <f t="shared" si="22"/>
        <v>0</v>
      </c>
      <c r="AQ176" s="14">
        <v>0</v>
      </c>
      <c r="AR176" s="14">
        <v>0</v>
      </c>
      <c r="AS176" s="14">
        <v>0</v>
      </c>
      <c r="AT176" s="14">
        <v>0</v>
      </c>
      <c r="AU176" s="16">
        <f t="shared" si="23"/>
        <v>0</v>
      </c>
      <c r="AV176" s="13" t="str">
        <f t="shared" si="24"/>
        <v>NÃO</v>
      </c>
      <c r="AW176" s="13" t="str">
        <f t="shared" si="25"/>
        <v>OK</v>
      </c>
      <c r="AX176" s="13" t="str">
        <f t="shared" si="26"/>
        <v>OK</v>
      </c>
    </row>
    <row r="177" spans="1:50" x14ac:dyDescent="0.3">
      <c r="A177" s="10" t="s">
        <v>814</v>
      </c>
      <c r="B177" t="s">
        <v>1504</v>
      </c>
      <c r="C177" t="s">
        <v>839</v>
      </c>
      <c r="D177" t="s">
        <v>840</v>
      </c>
      <c r="E177" t="s">
        <v>46</v>
      </c>
      <c r="F177" t="s">
        <v>102</v>
      </c>
      <c r="G177" t="s">
        <v>48</v>
      </c>
      <c r="H177" t="s">
        <v>76</v>
      </c>
      <c r="I177" t="s">
        <v>50</v>
      </c>
      <c r="J177" t="s">
        <v>51</v>
      </c>
      <c r="K177" t="s">
        <v>51</v>
      </c>
      <c r="L177" t="s">
        <v>52</v>
      </c>
      <c r="M177">
        <v>1142</v>
      </c>
      <c r="N177" s="11" t="str">
        <f t="shared" si="18"/>
        <v>OK</v>
      </c>
      <c r="O177" t="s">
        <v>54</v>
      </c>
      <c r="P177" t="s">
        <v>54</v>
      </c>
      <c r="Q177" t="s">
        <v>51</v>
      </c>
      <c r="R177" t="str">
        <f>VLOOKUP($D177,[1]Rascunho!$E$2:$S$296,15,FALSE)</f>
        <v>https://site.ipa.br/transparencia/</v>
      </c>
      <c r="S177" s="12">
        <v>1153119</v>
      </c>
      <c r="T177" s="12">
        <v>90523115</v>
      </c>
      <c r="U177" s="13" t="str">
        <f t="shared" si="19"/>
        <v>OK</v>
      </c>
      <c r="V177" s="14">
        <v>128713871.34999999</v>
      </c>
      <c r="W177" s="14">
        <v>250562.35</v>
      </c>
      <c r="X177" t="s">
        <v>51</v>
      </c>
      <c r="Y177" s="14">
        <v>199700.4</v>
      </c>
      <c r="Z177" s="14">
        <v>0</v>
      </c>
      <c r="AA177" s="14">
        <v>0</v>
      </c>
      <c r="AB177" s="14">
        <v>-8747345</v>
      </c>
      <c r="AC177" s="13" t="str">
        <f t="shared" si="20"/>
        <v>OK</v>
      </c>
      <c r="AD177" s="14">
        <v>30174528</v>
      </c>
      <c r="AE177" s="14">
        <v>0</v>
      </c>
      <c r="AF177" s="14">
        <v>0</v>
      </c>
      <c r="AG177" s="14">
        <v>139635060</v>
      </c>
      <c r="AH177" s="14">
        <v>103554690</v>
      </c>
      <c r="AI177" s="13" t="str">
        <f t="shared" si="21"/>
        <v>OK</v>
      </c>
      <c r="AJ177" s="14">
        <v>136575186</v>
      </c>
      <c r="AK177" s="14">
        <v>105004217.42</v>
      </c>
      <c r="AL177" s="14">
        <v>0</v>
      </c>
      <c r="AM177" s="14">
        <v>0</v>
      </c>
      <c r="AN177" s="14">
        <v>0</v>
      </c>
      <c r="AO177" s="14">
        <v>0</v>
      </c>
      <c r="AP177" s="15">
        <f t="shared" si="22"/>
        <v>0</v>
      </c>
      <c r="AQ177" s="14">
        <v>25601618</v>
      </c>
      <c r="AR177" s="14">
        <v>25601618</v>
      </c>
      <c r="AS177" s="14">
        <v>0</v>
      </c>
      <c r="AT177" s="14">
        <v>0</v>
      </c>
      <c r="AU177" s="16">
        <f t="shared" si="23"/>
        <v>0</v>
      </c>
      <c r="AV177" s="13" t="str">
        <f t="shared" si="24"/>
        <v>NÃO</v>
      </c>
      <c r="AW177" s="13" t="str">
        <f t="shared" si="25"/>
        <v>OK</v>
      </c>
      <c r="AX177" s="13" t="str">
        <f t="shared" si="26"/>
        <v>OK</v>
      </c>
    </row>
    <row r="178" spans="1:50" x14ac:dyDescent="0.3">
      <c r="A178" s="10" t="s">
        <v>814</v>
      </c>
      <c r="B178" t="s">
        <v>1505</v>
      </c>
      <c r="C178" t="s">
        <v>873</v>
      </c>
      <c r="D178" t="s">
        <v>874</v>
      </c>
      <c r="E178" t="s">
        <v>46</v>
      </c>
      <c r="F178" t="s">
        <v>121</v>
      </c>
      <c r="G178" t="s">
        <v>60</v>
      </c>
      <c r="H178" t="s">
        <v>49</v>
      </c>
      <c r="I178" t="s">
        <v>50</v>
      </c>
      <c r="J178" t="s">
        <v>51</v>
      </c>
      <c r="K178" t="s">
        <v>51</v>
      </c>
      <c r="L178" t="s">
        <v>134</v>
      </c>
      <c r="M178">
        <v>703</v>
      </c>
      <c r="N178" s="11" t="str">
        <f t="shared" si="18"/>
        <v>OK</v>
      </c>
      <c r="O178" t="s">
        <v>54</v>
      </c>
      <c r="P178" t="s">
        <v>54</v>
      </c>
      <c r="Q178" t="s">
        <v>54</v>
      </c>
      <c r="R178" t="str">
        <f>VLOOKUP($D178,[1]Rascunho!$E$2:$S$296,15,FALSE)</f>
        <v>https://www.lafepe.pe.gov.br/governanca</v>
      </c>
      <c r="S178" s="12">
        <v>409594721.12</v>
      </c>
      <c r="T178" s="12">
        <v>58747326.100000001</v>
      </c>
      <c r="U178" s="13" t="str">
        <f t="shared" si="19"/>
        <v>OK</v>
      </c>
      <c r="V178" s="14">
        <v>95594929.299999997</v>
      </c>
      <c r="W178" s="14">
        <v>29290631</v>
      </c>
      <c r="X178" t="s">
        <v>54</v>
      </c>
      <c r="Y178" s="14">
        <v>348778.71</v>
      </c>
      <c r="Z178" s="14">
        <v>4578.2</v>
      </c>
      <c r="AA178" s="14">
        <v>19549.2</v>
      </c>
      <c r="AB178" s="14">
        <v>15611346.699999999</v>
      </c>
      <c r="AC178" s="13" t="str">
        <f t="shared" si="20"/>
        <v>OK</v>
      </c>
      <c r="AD178" s="14">
        <v>218336615.96000001</v>
      </c>
      <c r="AE178" s="14">
        <v>0</v>
      </c>
      <c r="AF178" s="14">
        <v>25000000</v>
      </c>
      <c r="AG178" s="14">
        <v>0</v>
      </c>
      <c r="AH178" s="14">
        <v>0</v>
      </c>
      <c r="AI178" s="13" t="str">
        <f t="shared" si="21"/>
        <v>OK</v>
      </c>
      <c r="AJ178" s="14">
        <v>0</v>
      </c>
      <c r="AK178" s="14">
        <v>0</v>
      </c>
      <c r="AL178" s="14">
        <v>0</v>
      </c>
      <c r="AM178" s="14">
        <v>0</v>
      </c>
      <c r="AN178" s="14">
        <v>91425333</v>
      </c>
      <c r="AO178" s="14">
        <v>91425333</v>
      </c>
      <c r="AP178" s="15">
        <f t="shared" si="22"/>
        <v>0</v>
      </c>
      <c r="AQ178" s="14">
        <v>87989242</v>
      </c>
      <c r="AR178" s="14">
        <v>87989242</v>
      </c>
      <c r="AS178" s="14">
        <v>0</v>
      </c>
      <c r="AT178" s="14">
        <v>0</v>
      </c>
      <c r="AU178" s="16">
        <f t="shared" si="23"/>
        <v>0</v>
      </c>
      <c r="AV178" s="13" t="str">
        <f t="shared" si="24"/>
        <v>NÃO</v>
      </c>
      <c r="AW178" s="13" t="str">
        <f t="shared" si="25"/>
        <v>OK</v>
      </c>
      <c r="AX178" s="13" t="str">
        <f t="shared" si="26"/>
        <v>OK</v>
      </c>
    </row>
    <row r="179" spans="1:50" x14ac:dyDescent="0.3">
      <c r="A179" s="10" t="s">
        <v>814</v>
      </c>
      <c r="B179" t="s">
        <v>1506</v>
      </c>
      <c r="C179" t="s">
        <v>844</v>
      </c>
      <c r="D179" t="s">
        <v>845</v>
      </c>
      <c r="E179" t="s">
        <v>46</v>
      </c>
      <c r="F179" t="s">
        <v>133</v>
      </c>
      <c r="G179" t="s">
        <v>60</v>
      </c>
      <c r="H179" t="s">
        <v>49</v>
      </c>
      <c r="I179" t="s">
        <v>50</v>
      </c>
      <c r="J179" t="s">
        <v>51</v>
      </c>
      <c r="K179" t="s">
        <v>51</v>
      </c>
      <c r="L179" t="s">
        <v>52</v>
      </c>
      <c r="M179">
        <v>287</v>
      </c>
      <c r="N179" s="11" t="str">
        <f t="shared" si="18"/>
        <v>OK</v>
      </c>
      <c r="O179" t="s">
        <v>54</v>
      </c>
      <c r="P179" t="s">
        <v>54</v>
      </c>
      <c r="Q179" t="s">
        <v>51</v>
      </c>
      <c r="R179" t="str">
        <f>VLOOKUP($D179,[1]Rascunho!$E$2:$S$296,15,FALSE)</f>
        <v>https://www.perpart.pe.gov.br/transparencia/governanca/politicas-e-regulamentos</v>
      </c>
      <c r="S179" s="12">
        <v>3982196.95</v>
      </c>
      <c r="T179" s="12">
        <v>95361144.450000003</v>
      </c>
      <c r="U179" s="13" t="str">
        <f t="shared" si="19"/>
        <v>OK</v>
      </c>
      <c r="V179" s="14">
        <v>119869927.40000001</v>
      </c>
      <c r="W179" s="14">
        <v>9015.39</v>
      </c>
      <c r="X179" t="s">
        <v>51</v>
      </c>
      <c r="Y179" s="14">
        <v>229195.88</v>
      </c>
      <c r="Z179" s="14">
        <v>0</v>
      </c>
      <c r="AA179" s="14">
        <v>6183.1</v>
      </c>
      <c r="AB179" s="14">
        <v>6934291.6100000003</v>
      </c>
      <c r="AC179" s="13" t="str">
        <f t="shared" si="20"/>
        <v>OK</v>
      </c>
      <c r="AD179" s="14">
        <v>-180516878.59999999</v>
      </c>
      <c r="AE179" s="14">
        <v>0</v>
      </c>
      <c r="AF179" s="14">
        <v>0</v>
      </c>
      <c r="AG179" s="14">
        <v>108124076.62</v>
      </c>
      <c r="AH179" s="14">
        <v>116576907.02</v>
      </c>
      <c r="AI179" s="13" t="str">
        <f t="shared" si="21"/>
        <v>OK</v>
      </c>
      <c r="AJ179" s="14">
        <v>107951603.48</v>
      </c>
      <c r="AK179" s="14">
        <v>119184635.69</v>
      </c>
      <c r="AL179" s="14">
        <v>3627023.03</v>
      </c>
      <c r="AM179" s="14">
        <v>3411145.63</v>
      </c>
      <c r="AN179" s="14">
        <v>432087</v>
      </c>
      <c r="AO179" s="14">
        <v>435714</v>
      </c>
      <c r="AP179" s="15">
        <f t="shared" si="22"/>
        <v>3627</v>
      </c>
      <c r="AQ179" s="14">
        <v>439400256.06999999</v>
      </c>
      <c r="AR179" s="14">
        <v>443027279.10000002</v>
      </c>
      <c r="AS179" s="14">
        <v>3627023.03</v>
      </c>
      <c r="AT179" s="14">
        <v>3411145.63</v>
      </c>
      <c r="AU179" s="16">
        <f t="shared" si="23"/>
        <v>7038168.6600000309</v>
      </c>
      <c r="AV179" s="13" t="str">
        <f t="shared" si="24"/>
        <v>SIM</v>
      </c>
      <c r="AW179" s="13" t="str">
        <f t="shared" si="25"/>
        <v>OK</v>
      </c>
      <c r="AX179" s="13" t="str">
        <f t="shared" si="26"/>
        <v>OK</v>
      </c>
    </row>
    <row r="180" spans="1:50" x14ac:dyDescent="0.3">
      <c r="A180" s="10" t="s">
        <v>814</v>
      </c>
      <c r="B180" t="s">
        <v>1507</v>
      </c>
      <c r="C180" t="s">
        <v>878</v>
      </c>
      <c r="D180" t="s">
        <v>879</v>
      </c>
      <c r="E180" t="s">
        <v>46</v>
      </c>
      <c r="F180" t="s">
        <v>314</v>
      </c>
      <c r="G180" t="s">
        <v>60</v>
      </c>
      <c r="H180" t="s">
        <v>49</v>
      </c>
      <c r="I180" t="s">
        <v>50</v>
      </c>
      <c r="J180" t="s">
        <v>51</v>
      </c>
      <c r="K180" t="s">
        <v>51</v>
      </c>
      <c r="L180" t="s">
        <v>134</v>
      </c>
      <c r="M180">
        <v>202</v>
      </c>
      <c r="N180" s="11" t="str">
        <f t="shared" si="18"/>
        <v>OK</v>
      </c>
      <c r="O180" t="s">
        <v>54</v>
      </c>
      <c r="P180" t="s">
        <v>54</v>
      </c>
      <c r="Q180" t="s">
        <v>51</v>
      </c>
      <c r="R180" t="str">
        <f>VLOOKUP($D180,[1]Rascunho!$E$2:$S$296,15,FALSE)</f>
        <v>https://www.portodorecife.pe.gov.br/governanca-corporativa.php</v>
      </c>
      <c r="S180" s="12">
        <v>35754911.670000002</v>
      </c>
      <c r="T180" s="12">
        <v>19670852.309999999</v>
      </c>
      <c r="U180" s="13" t="str">
        <f t="shared" si="19"/>
        <v>OK</v>
      </c>
      <c r="V180" s="14">
        <v>34960757.439999998</v>
      </c>
      <c r="W180" s="14">
        <v>1415840.69</v>
      </c>
      <c r="X180" t="s">
        <v>51</v>
      </c>
      <c r="Y180" s="14">
        <v>310002.90999999997</v>
      </c>
      <c r="Z180" s="14">
        <v>0</v>
      </c>
      <c r="AA180" s="14">
        <v>19900.64</v>
      </c>
      <c r="AB180" s="14">
        <v>2209994.92</v>
      </c>
      <c r="AC180" s="13" t="str">
        <f t="shared" si="20"/>
        <v>OK</v>
      </c>
      <c r="AD180" s="14">
        <v>2779886.22</v>
      </c>
      <c r="AE180" s="14">
        <v>0</v>
      </c>
      <c r="AF180" s="14">
        <v>0</v>
      </c>
      <c r="AG180" s="14">
        <v>0</v>
      </c>
      <c r="AH180" s="14">
        <v>0</v>
      </c>
      <c r="AI180" s="13" t="str">
        <f t="shared" si="21"/>
        <v>OK</v>
      </c>
      <c r="AJ180" s="14">
        <v>0</v>
      </c>
      <c r="AK180" s="14">
        <v>0</v>
      </c>
      <c r="AL180" s="14">
        <v>11220000</v>
      </c>
      <c r="AM180" s="14">
        <v>0</v>
      </c>
      <c r="AN180" s="14">
        <v>205862946</v>
      </c>
      <c r="AO180" s="14">
        <v>205862946</v>
      </c>
      <c r="AP180" s="15">
        <f t="shared" si="22"/>
        <v>0</v>
      </c>
      <c r="AQ180" s="14">
        <v>205862946</v>
      </c>
      <c r="AR180" s="14">
        <v>205862945.88999999</v>
      </c>
      <c r="AS180" s="14">
        <v>11220000</v>
      </c>
      <c r="AT180" s="14">
        <v>11220000</v>
      </c>
      <c r="AU180" s="16">
        <f t="shared" si="23"/>
        <v>11219999.889999986</v>
      </c>
      <c r="AV180" s="13" t="str">
        <f t="shared" si="24"/>
        <v>SIM</v>
      </c>
      <c r="AW180" s="13" t="str">
        <f t="shared" si="25"/>
        <v>OK</v>
      </c>
      <c r="AX180" s="13" t="str">
        <f t="shared" si="26"/>
        <v>OK</v>
      </c>
    </row>
    <row r="181" spans="1:50" x14ac:dyDescent="0.3">
      <c r="A181" s="10" t="s">
        <v>814</v>
      </c>
      <c r="B181" t="s">
        <v>1508</v>
      </c>
      <c r="C181" t="s">
        <v>883</v>
      </c>
      <c r="D181" t="s">
        <v>884</v>
      </c>
      <c r="E181" t="s">
        <v>46</v>
      </c>
      <c r="F181" t="s">
        <v>314</v>
      </c>
      <c r="G181" t="s">
        <v>48</v>
      </c>
      <c r="H181" t="s">
        <v>76</v>
      </c>
      <c r="I181" t="s">
        <v>50</v>
      </c>
      <c r="J181" t="s">
        <v>51</v>
      </c>
      <c r="K181" t="s">
        <v>51</v>
      </c>
      <c r="L181" t="s">
        <v>134</v>
      </c>
      <c r="M181">
        <v>639</v>
      </c>
      <c r="N181" s="11" t="str">
        <f t="shared" si="18"/>
        <v>OK</v>
      </c>
      <c r="O181" t="s">
        <v>54</v>
      </c>
      <c r="P181" t="s">
        <v>54</v>
      </c>
      <c r="Q181" t="s">
        <v>54</v>
      </c>
      <c r="R181" t="str">
        <f>VLOOKUP($D181,[1]Rascunho!$E$2:$S$296,15,FALSE)</f>
        <v>https://www.suape.pe.gov.br/pt/transparencia/governanca-corporativa/carta-anual-de-politicas-publicas-e-de-governanca-corporativa</v>
      </c>
      <c r="S181" s="12">
        <v>358612951.83999997</v>
      </c>
      <c r="T181" s="12">
        <v>82621104.200000003</v>
      </c>
      <c r="U181" s="13" t="str">
        <f t="shared" si="19"/>
        <v>OK</v>
      </c>
      <c r="V181" s="14">
        <v>380671296.97000003</v>
      </c>
      <c r="W181" s="14">
        <v>112049191.34</v>
      </c>
      <c r="X181" t="s">
        <v>54</v>
      </c>
      <c r="Y181" s="14">
        <v>423579.54</v>
      </c>
      <c r="Z181" s="14">
        <v>3408.75</v>
      </c>
      <c r="AA181" s="14">
        <v>20020</v>
      </c>
      <c r="AB181" s="14">
        <v>114358033.03</v>
      </c>
      <c r="AC181" s="13" t="str">
        <f t="shared" si="20"/>
        <v>OK</v>
      </c>
      <c r="AD181" s="14">
        <v>3812337505.52</v>
      </c>
      <c r="AE181" s="14">
        <v>0</v>
      </c>
      <c r="AF181" s="14">
        <v>0</v>
      </c>
      <c r="AG181" s="14">
        <v>0</v>
      </c>
      <c r="AH181" s="14">
        <v>0</v>
      </c>
      <c r="AI181" s="13" t="str">
        <f t="shared" si="21"/>
        <v>OK</v>
      </c>
      <c r="AJ181" s="14">
        <v>0</v>
      </c>
      <c r="AK181" s="14">
        <v>0</v>
      </c>
      <c r="AL181" s="14">
        <v>381473211.01999998</v>
      </c>
      <c r="AM181" s="14">
        <v>934607.44</v>
      </c>
      <c r="AN181" s="14">
        <v>0</v>
      </c>
      <c r="AO181" s="14">
        <v>0</v>
      </c>
      <c r="AP181" s="15">
        <f t="shared" si="22"/>
        <v>0</v>
      </c>
      <c r="AQ181" s="14">
        <v>1964551500.4400001</v>
      </c>
      <c r="AR181" s="14">
        <v>1965486107.8800001</v>
      </c>
      <c r="AS181" s="14">
        <v>0</v>
      </c>
      <c r="AT181" s="14">
        <v>0</v>
      </c>
      <c r="AU181" s="16">
        <f t="shared" si="23"/>
        <v>934607.44000005722</v>
      </c>
      <c r="AV181" s="13" t="str">
        <f t="shared" si="24"/>
        <v>SIM</v>
      </c>
      <c r="AW181" s="13" t="str">
        <f t="shared" si="25"/>
        <v>VER CAPITAL</v>
      </c>
      <c r="AX181" s="13" t="str">
        <f t="shared" si="26"/>
        <v>OK</v>
      </c>
    </row>
    <row r="182" spans="1:50" x14ac:dyDescent="0.3">
      <c r="A182" s="10" t="s">
        <v>887</v>
      </c>
      <c r="B182" t="s">
        <v>1509</v>
      </c>
      <c r="C182" t="s">
        <v>902</v>
      </c>
      <c r="D182" t="s">
        <v>903</v>
      </c>
      <c r="E182" t="s">
        <v>46</v>
      </c>
      <c r="F182" t="s">
        <v>107</v>
      </c>
      <c r="G182" t="s">
        <v>60</v>
      </c>
      <c r="H182" t="s">
        <v>49</v>
      </c>
      <c r="I182" t="s">
        <v>50</v>
      </c>
      <c r="J182" t="s">
        <v>51</v>
      </c>
      <c r="K182" t="s">
        <v>51</v>
      </c>
      <c r="L182" t="s">
        <v>134</v>
      </c>
      <c r="M182">
        <v>904</v>
      </c>
      <c r="N182" s="11" t="str">
        <f t="shared" si="18"/>
        <v>OK</v>
      </c>
      <c r="O182" t="s">
        <v>54</v>
      </c>
      <c r="P182" t="s">
        <v>54</v>
      </c>
      <c r="Q182" t="s">
        <v>54</v>
      </c>
      <c r="R182" t="str">
        <f>VLOOKUP($D182,[1]Rascunho!$E$2:$S$296,15,FALSE)</f>
        <v>https://www.agespisa.com.br/site/pages/public/index.jsf</v>
      </c>
      <c r="S182" s="12">
        <v>3374438505.1500001</v>
      </c>
      <c r="T182" s="12">
        <v>186814308</v>
      </c>
      <c r="U182" s="13" t="str">
        <f t="shared" si="19"/>
        <v>OK</v>
      </c>
      <c r="V182" s="14">
        <v>1006220251</v>
      </c>
      <c r="W182" s="14">
        <v>0</v>
      </c>
      <c r="X182" t="s">
        <v>51</v>
      </c>
      <c r="Y182" s="14">
        <v>59048.6</v>
      </c>
      <c r="Z182" s="14">
        <v>0</v>
      </c>
      <c r="AA182" s="14">
        <v>0</v>
      </c>
      <c r="AB182" s="14">
        <v>-113845359</v>
      </c>
      <c r="AC182" s="13" t="str">
        <f t="shared" si="20"/>
        <v>OK</v>
      </c>
      <c r="AD182" s="14">
        <v>-1037910757</v>
      </c>
      <c r="AE182" s="14">
        <v>-107361110</v>
      </c>
      <c r="AF182" s="14">
        <v>0</v>
      </c>
      <c r="AG182" s="14">
        <v>107361110</v>
      </c>
      <c r="AH182" s="14">
        <v>786512172</v>
      </c>
      <c r="AI182" s="13" t="str">
        <f t="shared" si="21"/>
        <v>INDÍCIO DE DEPENDÊNCIA POR SUBVENÇÃO</v>
      </c>
      <c r="AJ182" s="14">
        <v>16593484.130000001</v>
      </c>
      <c r="AK182" s="14">
        <v>0</v>
      </c>
      <c r="AL182" s="14">
        <v>34408805</v>
      </c>
      <c r="AM182" s="14">
        <v>34408805</v>
      </c>
      <c r="AN182" s="14">
        <v>4.71</v>
      </c>
      <c r="AO182" s="14">
        <v>4.71</v>
      </c>
      <c r="AP182" s="15">
        <f t="shared" si="22"/>
        <v>0</v>
      </c>
      <c r="AQ182" s="14">
        <v>152286319</v>
      </c>
      <c r="AR182" s="14">
        <v>152286319</v>
      </c>
      <c r="AS182" s="14">
        <v>0</v>
      </c>
      <c r="AT182" s="14">
        <v>0</v>
      </c>
      <c r="AU182" s="16">
        <f t="shared" si="23"/>
        <v>0</v>
      </c>
      <c r="AV182" s="13" t="str">
        <f t="shared" si="24"/>
        <v>NÃO</v>
      </c>
      <c r="AW182" s="13" t="str">
        <f t="shared" si="25"/>
        <v>VER CAPITAL</v>
      </c>
      <c r="AX182" s="13" t="str">
        <f t="shared" si="26"/>
        <v>INDÍCIO DE DEPENDÊNCIA POR CAPITAL</v>
      </c>
    </row>
    <row r="183" spans="1:50" x14ac:dyDescent="0.3">
      <c r="A183" s="10" t="s">
        <v>887</v>
      </c>
      <c r="B183" t="s">
        <v>1510</v>
      </c>
      <c r="C183" t="s">
        <v>906</v>
      </c>
      <c r="D183" t="s">
        <v>907</v>
      </c>
      <c r="E183" t="s">
        <v>46</v>
      </c>
      <c r="F183" t="s">
        <v>71</v>
      </c>
      <c r="G183" t="s">
        <v>60</v>
      </c>
      <c r="H183" t="s">
        <v>49</v>
      </c>
      <c r="I183" t="s">
        <v>50</v>
      </c>
      <c r="J183" t="s">
        <v>51</v>
      </c>
      <c r="K183" t="s">
        <v>51</v>
      </c>
      <c r="L183" t="s">
        <v>134</v>
      </c>
      <c r="M183">
        <v>31</v>
      </c>
      <c r="N183" s="11" t="str">
        <f t="shared" si="18"/>
        <v>OK</v>
      </c>
      <c r="O183" t="s">
        <v>54</v>
      </c>
      <c r="P183" t="s">
        <v>54</v>
      </c>
      <c r="Q183" t="s">
        <v>54</v>
      </c>
      <c r="R183" t="str">
        <f>VLOOKUP($D183,[1]Rascunho!$E$2:$S$296,15,FALSE)</f>
        <v>https://portal.pi.gov.br/fomento/carta-anual-de-governanca/#123-124-2023-1679469123</v>
      </c>
      <c r="S183" s="12">
        <v>14795172.130000001</v>
      </c>
      <c r="T183" s="12">
        <v>2652262.64</v>
      </c>
      <c r="U183" s="13" t="str">
        <f t="shared" si="19"/>
        <v>OK</v>
      </c>
      <c r="V183" s="14">
        <v>13259297.039999999</v>
      </c>
      <c r="W183" s="14">
        <v>0</v>
      </c>
      <c r="X183" t="s">
        <v>51</v>
      </c>
      <c r="Y183" s="14">
        <v>182329.28</v>
      </c>
      <c r="Z183" s="14">
        <v>0</v>
      </c>
      <c r="AA183" s="14">
        <v>35687.199999999997</v>
      </c>
      <c r="AB183" s="14">
        <v>1535875.09</v>
      </c>
      <c r="AC183" s="13" t="str">
        <f t="shared" si="20"/>
        <v>OK</v>
      </c>
      <c r="AD183" s="14">
        <v>61368766.18</v>
      </c>
      <c r="AE183" s="14">
        <v>0</v>
      </c>
      <c r="AF183" s="14">
        <v>0</v>
      </c>
      <c r="AG183" s="14">
        <v>0</v>
      </c>
      <c r="AH183" s="14">
        <v>0</v>
      </c>
      <c r="AI183" s="13" t="str">
        <f t="shared" si="21"/>
        <v>OK</v>
      </c>
      <c r="AJ183" s="14">
        <v>0</v>
      </c>
      <c r="AK183" s="14">
        <v>0</v>
      </c>
      <c r="AL183" s="14">
        <v>10002000</v>
      </c>
      <c r="AM183" s="14">
        <v>24004800</v>
      </c>
      <c r="AN183" s="14">
        <v>4580856</v>
      </c>
      <c r="AO183" s="14">
        <v>6981336</v>
      </c>
      <c r="AP183" s="15">
        <f t="shared" si="22"/>
        <v>2400480</v>
      </c>
      <c r="AQ183" s="14">
        <v>45808560</v>
      </c>
      <c r="AR183" s="14">
        <v>69813360</v>
      </c>
      <c r="AS183" s="14">
        <v>0</v>
      </c>
      <c r="AT183" s="14">
        <v>0</v>
      </c>
      <c r="AU183" s="16">
        <f t="shared" si="23"/>
        <v>24004800</v>
      </c>
      <c r="AV183" s="13" t="str">
        <f t="shared" si="24"/>
        <v>SIM</v>
      </c>
      <c r="AW183" s="13" t="str">
        <f t="shared" si="25"/>
        <v>VER CAPITAL</v>
      </c>
      <c r="AX183" s="13" t="str">
        <f t="shared" si="26"/>
        <v>OK</v>
      </c>
    </row>
    <row r="184" spans="1:50" x14ac:dyDescent="0.3">
      <c r="A184" s="10" t="s">
        <v>887</v>
      </c>
      <c r="B184" t="s">
        <v>888</v>
      </c>
      <c r="C184" t="s">
        <v>889</v>
      </c>
      <c r="D184" t="s">
        <v>890</v>
      </c>
      <c r="E184" t="s">
        <v>46</v>
      </c>
      <c r="F184" t="s">
        <v>240</v>
      </c>
      <c r="G184" t="s">
        <v>60</v>
      </c>
      <c r="H184" t="s">
        <v>49</v>
      </c>
      <c r="I184" t="s">
        <v>50</v>
      </c>
      <c r="J184" t="s">
        <v>51</v>
      </c>
      <c r="K184" t="s">
        <v>51</v>
      </c>
      <c r="L184" t="s">
        <v>52</v>
      </c>
      <c r="M184">
        <v>135</v>
      </c>
      <c r="N184" s="11" t="str">
        <f t="shared" si="18"/>
        <v>OK</v>
      </c>
      <c r="O184" t="s">
        <v>54</v>
      </c>
      <c r="P184" t="s">
        <v>54</v>
      </c>
      <c r="Q184" t="s">
        <v>51</v>
      </c>
      <c r="R184" t="str">
        <f>VLOOKUP($D184,[1]Rascunho!$E$2:$S$296,15,FALSE)</f>
        <v>Site não disponível</v>
      </c>
      <c r="S184" s="12">
        <v>28780000</v>
      </c>
      <c r="T184" s="12">
        <v>4420840</v>
      </c>
      <c r="U184" s="13" t="str">
        <f t="shared" si="19"/>
        <v>OK</v>
      </c>
      <c r="V184" s="14">
        <v>28047900</v>
      </c>
      <c r="W184" s="14">
        <v>22411260</v>
      </c>
      <c r="X184" t="s">
        <v>51</v>
      </c>
      <c r="Y184" s="14">
        <v>360000</v>
      </c>
      <c r="Z184" s="14">
        <v>0</v>
      </c>
      <c r="AA184" s="14">
        <v>257900</v>
      </c>
      <c r="AB184" s="14">
        <v>1690000</v>
      </c>
      <c r="AC184" s="13" t="str">
        <f t="shared" si="20"/>
        <v>OK</v>
      </c>
      <c r="AD184" s="14">
        <v>2340000</v>
      </c>
      <c r="AE184" s="14">
        <v>0</v>
      </c>
      <c r="AF184" s="14">
        <v>0</v>
      </c>
      <c r="AG184" s="14">
        <v>12000000</v>
      </c>
      <c r="AH184" s="14">
        <v>28300000</v>
      </c>
      <c r="AI184" s="13" t="str">
        <f t="shared" si="21"/>
        <v>OK</v>
      </c>
      <c r="AJ184" s="14">
        <v>75900</v>
      </c>
      <c r="AK184" s="14">
        <v>317300</v>
      </c>
      <c r="AL184" s="14">
        <v>0</v>
      </c>
      <c r="AM184" s="14">
        <v>0</v>
      </c>
      <c r="AN184" s="14">
        <v>99.99</v>
      </c>
      <c r="AO184" s="14">
        <v>99.99</v>
      </c>
      <c r="AP184" s="15">
        <f t="shared" si="22"/>
        <v>0</v>
      </c>
      <c r="AQ184" s="14">
        <v>0</v>
      </c>
      <c r="AR184" s="14">
        <v>0</v>
      </c>
      <c r="AS184" s="14">
        <v>0</v>
      </c>
      <c r="AT184" s="14">
        <v>0</v>
      </c>
      <c r="AU184" s="16">
        <f t="shared" si="23"/>
        <v>0</v>
      </c>
      <c r="AV184" s="13" t="str">
        <f t="shared" si="24"/>
        <v>NÃO</v>
      </c>
      <c r="AW184" s="13" t="str">
        <f t="shared" si="25"/>
        <v>OK</v>
      </c>
      <c r="AX184" s="13" t="str">
        <f t="shared" si="26"/>
        <v>OK</v>
      </c>
    </row>
    <row r="185" spans="1:50" x14ac:dyDescent="0.3">
      <c r="A185" s="10" t="s">
        <v>887</v>
      </c>
      <c r="B185" t="s">
        <v>1511</v>
      </c>
      <c r="C185" t="s">
        <v>893</v>
      </c>
      <c r="D185" t="s">
        <v>894</v>
      </c>
      <c r="E185" t="s">
        <v>46</v>
      </c>
      <c r="F185" t="s">
        <v>133</v>
      </c>
      <c r="G185" t="s">
        <v>60</v>
      </c>
      <c r="H185" t="s">
        <v>49</v>
      </c>
      <c r="I185" t="s">
        <v>50</v>
      </c>
      <c r="J185" t="s">
        <v>51</v>
      </c>
      <c r="K185" t="s">
        <v>51</v>
      </c>
      <c r="L185" t="s">
        <v>52</v>
      </c>
      <c r="M185">
        <v>687</v>
      </c>
      <c r="N185" s="11" t="str">
        <f t="shared" si="18"/>
        <v>OK</v>
      </c>
      <c r="O185" t="s">
        <v>54</v>
      </c>
      <c r="P185" t="s">
        <v>54</v>
      </c>
      <c r="Q185" t="s">
        <v>51</v>
      </c>
      <c r="R185" t="str">
        <f>VLOOKUP($D185,[1]Rascunho!$E$2:$S$296,15,FALSE)</f>
        <v>https://portal.pi.gov.br/emgerpi/</v>
      </c>
      <c r="S185" s="12">
        <v>119403742.14</v>
      </c>
      <c r="T185" s="12">
        <v>84044179.859999999</v>
      </c>
      <c r="U185" s="13" t="str">
        <f t="shared" si="19"/>
        <v>OK</v>
      </c>
      <c r="V185" s="14">
        <v>119031855.56</v>
      </c>
      <c r="W185" s="14">
        <v>0</v>
      </c>
      <c r="X185" t="s">
        <v>51</v>
      </c>
      <c r="Y185" s="14">
        <v>386186.62</v>
      </c>
      <c r="Z185" s="14">
        <v>0</v>
      </c>
      <c r="AA185" s="14">
        <v>22972.99</v>
      </c>
      <c r="AB185" s="14">
        <v>376601.21</v>
      </c>
      <c r="AC185" s="13" t="str">
        <f t="shared" si="20"/>
        <v>OK</v>
      </c>
      <c r="AD185" s="14">
        <v>66698554.780000001</v>
      </c>
      <c r="AE185" s="14">
        <v>0</v>
      </c>
      <c r="AF185" s="14">
        <v>0</v>
      </c>
      <c r="AG185" s="14">
        <v>103229895.55</v>
      </c>
      <c r="AH185" s="14">
        <v>119403742.14</v>
      </c>
      <c r="AI185" s="13" t="str">
        <f t="shared" si="21"/>
        <v>OK</v>
      </c>
      <c r="AJ185" s="14">
        <v>5707719.8099999996</v>
      </c>
      <c r="AK185" s="14">
        <v>24498908.870000001</v>
      </c>
      <c r="AL185" s="14">
        <v>0</v>
      </c>
      <c r="AM185" s="14">
        <v>0</v>
      </c>
      <c r="AN185" s="14">
        <v>99.64</v>
      </c>
      <c r="AO185" s="14">
        <v>99.64</v>
      </c>
      <c r="AP185" s="15">
        <f t="shared" si="22"/>
        <v>0</v>
      </c>
      <c r="AQ185" s="14">
        <v>125885754.92</v>
      </c>
      <c r="AR185" s="14">
        <v>125885754.92</v>
      </c>
      <c r="AS185" s="14">
        <v>132926878.69</v>
      </c>
      <c r="AT185" s="14">
        <v>132327076.70999999</v>
      </c>
      <c r="AU185" s="16">
        <f t="shared" si="23"/>
        <v>132327076.70999999</v>
      </c>
      <c r="AV185" s="13" t="str">
        <f t="shared" si="24"/>
        <v>SIM</v>
      </c>
      <c r="AW185" s="13" t="str">
        <f t="shared" si="25"/>
        <v>OK</v>
      </c>
      <c r="AX185" s="13" t="str">
        <f t="shared" si="26"/>
        <v>OK</v>
      </c>
    </row>
    <row r="186" spans="1:50" x14ac:dyDescent="0.3">
      <c r="A186" s="10" t="s">
        <v>887</v>
      </c>
      <c r="B186" t="s">
        <v>1512</v>
      </c>
      <c r="C186" t="s">
        <v>910</v>
      </c>
      <c r="D186" t="s">
        <v>911</v>
      </c>
      <c r="E186" t="s">
        <v>46</v>
      </c>
      <c r="F186" t="s">
        <v>47</v>
      </c>
      <c r="G186" t="s">
        <v>60</v>
      </c>
      <c r="H186" t="s">
        <v>49</v>
      </c>
      <c r="I186" t="s">
        <v>50</v>
      </c>
      <c r="J186" t="s">
        <v>51</v>
      </c>
      <c r="K186" t="s">
        <v>51</v>
      </c>
      <c r="L186" t="s">
        <v>134</v>
      </c>
      <c r="M186">
        <v>268</v>
      </c>
      <c r="N186" s="11" t="str">
        <f t="shared" si="18"/>
        <v>OK</v>
      </c>
      <c r="O186" t="s">
        <v>54</v>
      </c>
      <c r="P186" t="s">
        <v>54</v>
      </c>
      <c r="Q186" t="s">
        <v>54</v>
      </c>
      <c r="R186" t="str">
        <f>VLOOKUP($D186,[1]Rascunho!$E$2:$S$296,15,FALSE)</f>
        <v>https://www.etipi.com.br/documentos/governanca</v>
      </c>
      <c r="S186" s="12">
        <v>2181361.36</v>
      </c>
      <c r="T186" s="12">
        <v>6096201.71</v>
      </c>
      <c r="U186" s="13" t="str">
        <f t="shared" si="19"/>
        <v>OK</v>
      </c>
      <c r="V186" s="14">
        <v>17000757.41</v>
      </c>
      <c r="W186" s="14">
        <v>2972850.09</v>
      </c>
      <c r="X186" t="s">
        <v>51</v>
      </c>
      <c r="Y186" s="14">
        <v>237145.09</v>
      </c>
      <c r="Z186" s="14">
        <v>0</v>
      </c>
      <c r="AA186" s="14">
        <v>0</v>
      </c>
      <c r="AB186" s="14">
        <v>-87174869.650000006</v>
      </c>
      <c r="AC186" s="13" t="str">
        <f t="shared" si="20"/>
        <v>OK</v>
      </c>
      <c r="AD186" s="14">
        <v>18490616</v>
      </c>
      <c r="AE186" s="14">
        <v>0</v>
      </c>
      <c r="AF186" s="14">
        <v>0</v>
      </c>
      <c r="AG186" s="14">
        <v>18547291.739999998</v>
      </c>
      <c r="AH186" s="14">
        <v>100030895.66</v>
      </c>
      <c r="AI186" s="13" t="str">
        <f t="shared" si="21"/>
        <v>INDÍCIO DE DEPENDÊNCIA POR SUBVENÇÃO</v>
      </c>
      <c r="AJ186" s="14">
        <v>0</v>
      </c>
      <c r="AK186" s="14">
        <v>0</v>
      </c>
      <c r="AL186" s="14">
        <v>0</v>
      </c>
      <c r="AM186" s="14">
        <v>0</v>
      </c>
      <c r="AN186" s="14">
        <v>1596982</v>
      </c>
      <c r="AO186" s="14">
        <v>369006219.42000002</v>
      </c>
      <c r="AP186" s="15">
        <f t="shared" si="22"/>
        <v>367409237.42000002</v>
      </c>
      <c r="AQ186" s="14">
        <v>18490616</v>
      </c>
      <c r="AR186" s="14">
        <v>100030895.66</v>
      </c>
      <c r="AS186" s="14">
        <v>0</v>
      </c>
      <c r="AT186" s="14">
        <v>268975323.75999999</v>
      </c>
      <c r="AU186" s="16">
        <f t="shared" si="23"/>
        <v>350515603.41999996</v>
      </c>
      <c r="AV186" s="13" t="str">
        <f t="shared" si="24"/>
        <v>SIM</v>
      </c>
      <c r="AW186" s="13" t="str">
        <f t="shared" si="25"/>
        <v>OK</v>
      </c>
      <c r="AX186" s="13" t="str">
        <f t="shared" si="26"/>
        <v>OK</v>
      </c>
    </row>
    <row r="187" spans="1:50" x14ac:dyDescent="0.3">
      <c r="A187" s="10" t="s">
        <v>887</v>
      </c>
      <c r="B187" t="s">
        <v>1513</v>
      </c>
      <c r="C187" t="s">
        <v>898</v>
      </c>
      <c r="D187" t="s">
        <v>899</v>
      </c>
      <c r="E187" t="s">
        <v>46</v>
      </c>
      <c r="F187" t="s">
        <v>139</v>
      </c>
      <c r="G187" t="s">
        <v>60</v>
      </c>
      <c r="H187" t="s">
        <v>49</v>
      </c>
      <c r="I187" t="s">
        <v>50</v>
      </c>
      <c r="J187" t="s">
        <v>51</v>
      </c>
      <c r="K187" t="s">
        <v>51</v>
      </c>
      <c r="L187" t="s">
        <v>134</v>
      </c>
      <c r="M187">
        <v>2</v>
      </c>
      <c r="N187" s="11" t="str">
        <f t="shared" si="18"/>
        <v>OK</v>
      </c>
      <c r="O187" t="s">
        <v>54</v>
      </c>
      <c r="P187" t="s">
        <v>54</v>
      </c>
      <c r="Q187" t="s">
        <v>51</v>
      </c>
      <c r="R187" t="str">
        <f>VLOOKUP($D187,[1]Rascunho!$E$2:$S$296,15,FALSE)</f>
        <v>Site não disponível</v>
      </c>
      <c r="S187" s="12">
        <v>0</v>
      </c>
      <c r="T187" s="12">
        <v>1106630.57</v>
      </c>
      <c r="U187" s="13" t="str">
        <f t="shared" si="19"/>
        <v>OK</v>
      </c>
      <c r="V187" s="14">
        <v>1621674.85</v>
      </c>
      <c r="W187" s="14">
        <v>40461.5</v>
      </c>
      <c r="X187" t="s">
        <v>51</v>
      </c>
      <c r="Y187" s="14">
        <v>283654.48</v>
      </c>
      <c r="Z187" s="14">
        <v>0</v>
      </c>
      <c r="AA187" s="14">
        <v>0</v>
      </c>
      <c r="AB187" s="14">
        <v>-1611218.06</v>
      </c>
      <c r="AC187" s="13" t="str">
        <f t="shared" si="20"/>
        <v>OK</v>
      </c>
      <c r="AD187" s="14">
        <v>-17744</v>
      </c>
      <c r="AE187" s="14">
        <v>0</v>
      </c>
      <c r="AF187" s="14">
        <v>0</v>
      </c>
      <c r="AG187" s="14">
        <v>0</v>
      </c>
      <c r="AH187" s="14">
        <v>0</v>
      </c>
      <c r="AI187" s="13" t="str">
        <f t="shared" si="21"/>
        <v>OK</v>
      </c>
      <c r="AJ187" s="14">
        <v>0</v>
      </c>
      <c r="AK187" s="14">
        <v>0</v>
      </c>
      <c r="AL187" s="14">
        <v>655813.19999999995</v>
      </c>
      <c r="AM187" s="14">
        <v>629920</v>
      </c>
      <c r="AN187" s="14">
        <v>1447287</v>
      </c>
      <c r="AO187" s="14">
        <v>1447287</v>
      </c>
      <c r="AP187" s="15">
        <f t="shared" si="22"/>
        <v>0</v>
      </c>
      <c r="AQ187" s="14">
        <v>10002674</v>
      </c>
      <c r="AR187" s="14">
        <v>10002674</v>
      </c>
      <c r="AS187" s="14">
        <v>0</v>
      </c>
      <c r="AT187" s="14">
        <v>0</v>
      </c>
      <c r="AU187" s="16">
        <f t="shared" si="23"/>
        <v>0</v>
      </c>
      <c r="AV187" s="13" t="str">
        <f t="shared" si="24"/>
        <v>NÃO</v>
      </c>
      <c r="AW187" s="13" t="str">
        <f t="shared" si="25"/>
        <v>VER CAPITAL</v>
      </c>
      <c r="AX187" s="13" t="str">
        <f t="shared" si="26"/>
        <v>INDÍCIO DE DEPENDÊNCIA POR CAPITAL</v>
      </c>
    </row>
    <row r="188" spans="1:50" ht="43.2" x14ac:dyDescent="0.3">
      <c r="A188" s="10" t="s">
        <v>887</v>
      </c>
      <c r="B188" t="s">
        <v>914</v>
      </c>
      <c r="C188" t="s">
        <v>915</v>
      </c>
      <c r="D188" t="s">
        <v>916</v>
      </c>
      <c r="E188" t="s">
        <v>46</v>
      </c>
      <c r="F188" s="6" t="s">
        <v>1514</v>
      </c>
      <c r="G188" t="s">
        <v>60</v>
      </c>
      <c r="H188" t="s">
        <v>49</v>
      </c>
      <c r="I188" t="s">
        <v>50</v>
      </c>
      <c r="J188" t="s">
        <v>51</v>
      </c>
      <c r="K188" t="s">
        <v>51</v>
      </c>
      <c r="L188" t="s">
        <v>134</v>
      </c>
      <c r="M188">
        <v>74</v>
      </c>
      <c r="N188" s="11" t="str">
        <f t="shared" si="18"/>
        <v>OK</v>
      </c>
      <c r="O188" t="s">
        <v>54</v>
      </c>
      <c r="P188" t="s">
        <v>54</v>
      </c>
      <c r="Q188" t="s">
        <v>54</v>
      </c>
      <c r="R188" t="str">
        <f>VLOOKUP($D188,[1]Rascunho!$E$2:$S$296,15,FALSE)</f>
        <v>https://investepiaui.com/nossos-servicos/</v>
      </c>
      <c r="S188" s="12">
        <v>0</v>
      </c>
      <c r="T188" s="12">
        <v>8075556.6200000001</v>
      </c>
      <c r="U188" s="13" t="str">
        <f t="shared" si="19"/>
        <v>OK</v>
      </c>
      <c r="V188" s="14">
        <v>108245654.73999999</v>
      </c>
      <c r="W188" s="14">
        <v>77973358.629999995</v>
      </c>
      <c r="X188" t="s">
        <v>51</v>
      </c>
      <c r="Y188" s="14">
        <v>116421.29</v>
      </c>
      <c r="Z188" s="14">
        <v>0</v>
      </c>
      <c r="AA188" s="14">
        <v>0</v>
      </c>
      <c r="AB188" s="14">
        <v>-30272296.109999999</v>
      </c>
      <c r="AC188" s="13" t="str">
        <f t="shared" si="20"/>
        <v>OK</v>
      </c>
      <c r="AD188" s="14">
        <v>81020433.989999995</v>
      </c>
      <c r="AE188" s="14">
        <v>0</v>
      </c>
      <c r="AF188" s="14">
        <v>0</v>
      </c>
      <c r="AG188" s="14">
        <v>0</v>
      </c>
      <c r="AH188" s="14">
        <v>0</v>
      </c>
      <c r="AI188" s="13" t="str">
        <f t="shared" si="21"/>
        <v>OK</v>
      </c>
      <c r="AJ188" s="14">
        <v>0</v>
      </c>
      <c r="AK188" s="14">
        <v>0</v>
      </c>
      <c r="AL188" s="14">
        <v>3742042.32</v>
      </c>
      <c r="AM188" s="14">
        <v>110973736.45999999</v>
      </c>
      <c r="AN188" s="14">
        <v>1005000</v>
      </c>
      <c r="AO188" s="14">
        <v>4705000</v>
      </c>
      <c r="AP188" s="15">
        <f t="shared" si="22"/>
        <v>3700000</v>
      </c>
      <c r="AQ188" s="14">
        <v>1000500</v>
      </c>
      <c r="AR188" s="14">
        <v>4700500</v>
      </c>
      <c r="AS188" s="14">
        <v>48999500</v>
      </c>
      <c r="AT188" s="14">
        <v>4500</v>
      </c>
      <c r="AU188" s="16">
        <f t="shared" si="23"/>
        <v>3704500</v>
      </c>
      <c r="AV188" s="13" t="str">
        <f t="shared" si="24"/>
        <v>SIM</v>
      </c>
      <c r="AW188" s="13" t="str">
        <f t="shared" si="25"/>
        <v>VER CAPITAL</v>
      </c>
      <c r="AX188" s="13" t="str">
        <f t="shared" si="26"/>
        <v>OK</v>
      </c>
    </row>
    <row r="189" spans="1:50" x14ac:dyDescent="0.3">
      <c r="A189" s="10" t="s">
        <v>887</v>
      </c>
      <c r="B189" t="s">
        <v>1515</v>
      </c>
      <c r="C189" t="s">
        <v>925</v>
      </c>
      <c r="D189" t="s">
        <v>926</v>
      </c>
      <c r="E189" t="s">
        <v>46</v>
      </c>
      <c r="F189" t="s">
        <v>314</v>
      </c>
      <c r="G189" t="s">
        <v>60</v>
      </c>
      <c r="H189" t="s">
        <v>49</v>
      </c>
      <c r="I189" t="s">
        <v>50</v>
      </c>
      <c r="J189" t="s">
        <v>51</v>
      </c>
      <c r="K189" t="s">
        <v>54</v>
      </c>
      <c r="L189" t="s">
        <v>134</v>
      </c>
      <c r="M189">
        <v>20</v>
      </c>
      <c r="N189" s="11" t="str">
        <f t="shared" si="18"/>
        <v>OK</v>
      </c>
      <c r="O189" t="s">
        <v>54</v>
      </c>
      <c r="P189" t="s">
        <v>54</v>
      </c>
      <c r="Q189" t="s">
        <v>54</v>
      </c>
      <c r="R189" t="str">
        <f>VLOOKUP($D189,[1]Rascunho!$E$2:$S$296,15,FALSE)</f>
        <v>https://portopiaui.com/#</v>
      </c>
      <c r="S189" s="12">
        <v>0</v>
      </c>
      <c r="T189" s="12">
        <v>1018276.93</v>
      </c>
      <c r="U189" s="13" t="str">
        <f t="shared" si="19"/>
        <v>OK</v>
      </c>
      <c r="V189" s="14">
        <v>4550056.17</v>
      </c>
      <c r="W189" s="14">
        <v>648956.25</v>
      </c>
      <c r="X189" t="s">
        <v>51</v>
      </c>
      <c r="Y189" s="14">
        <v>247547.88</v>
      </c>
      <c r="Z189" s="14">
        <v>0</v>
      </c>
      <c r="AA189" s="14">
        <v>81599.12</v>
      </c>
      <c r="AB189" s="14">
        <v>0</v>
      </c>
      <c r="AC189" s="13" t="str">
        <f t="shared" si="20"/>
        <v>OK</v>
      </c>
      <c r="AD189" s="14">
        <v>1413852.61</v>
      </c>
      <c r="AE189" s="14">
        <v>0</v>
      </c>
      <c r="AF189" s="14">
        <v>0</v>
      </c>
      <c r="AG189" s="14">
        <v>1917289.87</v>
      </c>
      <c r="AH189" s="14">
        <v>4411871.4000000004</v>
      </c>
      <c r="AI189" s="13" t="str">
        <f t="shared" si="21"/>
        <v>INDÍCIO DE DEPENDÊNCIA POR SUBVENÇÃO</v>
      </c>
      <c r="AJ189" s="14">
        <v>0</v>
      </c>
      <c r="AK189" s="14">
        <v>0</v>
      </c>
      <c r="AL189" s="14">
        <v>0</v>
      </c>
      <c r="AM189" s="14">
        <v>0</v>
      </c>
      <c r="AN189" s="14">
        <v>2500000</v>
      </c>
      <c r="AO189" s="14">
        <v>25000000</v>
      </c>
      <c r="AP189" s="15">
        <f t="shared" si="22"/>
        <v>22500000</v>
      </c>
      <c r="AQ189" s="14">
        <v>134544.18</v>
      </c>
      <c r="AR189" s="14">
        <v>0</v>
      </c>
      <c r="AS189" s="14">
        <v>21293103.469999999</v>
      </c>
      <c r="AT189" s="14">
        <v>21293103.469999999</v>
      </c>
      <c r="AU189" s="16">
        <f t="shared" si="23"/>
        <v>21158559.289999999</v>
      </c>
      <c r="AV189" s="13" t="str">
        <f t="shared" si="24"/>
        <v>SIM</v>
      </c>
      <c r="AW189" s="13" t="str">
        <f t="shared" si="25"/>
        <v>OK</v>
      </c>
      <c r="AX189" s="13" t="str">
        <f t="shared" si="26"/>
        <v>OK</v>
      </c>
    </row>
    <row r="190" spans="1:50" x14ac:dyDescent="0.3">
      <c r="A190" s="10" t="s">
        <v>887</v>
      </c>
      <c r="B190" t="s">
        <v>1516</v>
      </c>
      <c r="C190" t="s">
        <v>929</v>
      </c>
      <c r="D190" t="s">
        <v>930</v>
      </c>
      <c r="E190" t="s">
        <v>46</v>
      </c>
      <c r="F190" t="s">
        <v>65</v>
      </c>
      <c r="G190" t="s">
        <v>60</v>
      </c>
      <c r="H190" t="s">
        <v>49</v>
      </c>
      <c r="I190" t="s">
        <v>50</v>
      </c>
      <c r="J190" t="s">
        <v>51</v>
      </c>
      <c r="K190" t="s">
        <v>54</v>
      </c>
      <c r="L190" t="s">
        <v>134</v>
      </c>
      <c r="M190">
        <v>35</v>
      </c>
      <c r="N190" s="11" t="str">
        <f t="shared" si="18"/>
        <v>OK</v>
      </c>
      <c r="O190" t="s">
        <v>54</v>
      </c>
      <c r="P190" t="s">
        <v>54</v>
      </c>
      <c r="Q190" t="s">
        <v>51</v>
      </c>
      <c r="R190" t="str">
        <f>VLOOKUP($D190,[1]Rascunho!$E$2:$S$296,15,FALSE)</f>
        <v>https://investepiaui.com/zpe/</v>
      </c>
      <c r="S190" s="12">
        <v>0</v>
      </c>
      <c r="T190" s="12">
        <v>2982893.23</v>
      </c>
      <c r="U190" s="13" t="str">
        <f t="shared" si="19"/>
        <v>OK</v>
      </c>
      <c r="V190" s="14">
        <v>8712080.4000000004</v>
      </c>
      <c r="W190" s="14">
        <v>772529.03</v>
      </c>
      <c r="X190" t="s">
        <v>51</v>
      </c>
      <c r="Y190" s="14">
        <v>280554.27</v>
      </c>
      <c r="Z190" s="14">
        <v>0</v>
      </c>
      <c r="AA190" s="14">
        <v>0</v>
      </c>
      <c r="AB190" s="14">
        <v>-8655555.2899999991</v>
      </c>
      <c r="AC190" s="13" t="str">
        <f t="shared" si="20"/>
        <v>OK</v>
      </c>
      <c r="AD190" s="14">
        <v>72117960.579999998</v>
      </c>
      <c r="AE190" s="14">
        <v>0</v>
      </c>
      <c r="AF190" s="14">
        <v>0</v>
      </c>
      <c r="AG190" s="14">
        <v>0</v>
      </c>
      <c r="AH190" s="14">
        <v>0</v>
      </c>
      <c r="AI190" s="13" t="str">
        <f t="shared" si="21"/>
        <v>OK</v>
      </c>
      <c r="AJ190" s="14">
        <v>0</v>
      </c>
      <c r="AK190" s="14">
        <v>0</v>
      </c>
      <c r="AL190" s="14">
        <v>17555033.359999999</v>
      </c>
      <c r="AM190" s="14">
        <v>8924315.8399999999</v>
      </c>
      <c r="AN190" s="14">
        <v>34947188</v>
      </c>
      <c r="AO190" s="14">
        <v>55091217.200000003</v>
      </c>
      <c r="AP190" s="15">
        <f t="shared" si="22"/>
        <v>20144029.200000003</v>
      </c>
      <c r="AQ190" s="14">
        <v>34947188</v>
      </c>
      <c r="AR190" s="14">
        <v>20144029.199999999</v>
      </c>
      <c r="AS190" s="14">
        <v>0</v>
      </c>
      <c r="AT190" s="14">
        <v>0</v>
      </c>
      <c r="AU190" s="16">
        <f t="shared" si="23"/>
        <v>-14803158.800000001</v>
      </c>
      <c r="AV190" s="13" t="str">
        <f t="shared" si="24"/>
        <v>SIM</v>
      </c>
      <c r="AW190" s="13" t="str">
        <f t="shared" si="25"/>
        <v>VER CAPITAL</v>
      </c>
      <c r="AX190" s="13" t="str">
        <f t="shared" si="26"/>
        <v>OK</v>
      </c>
    </row>
    <row r="191" spans="1:50" x14ac:dyDescent="0.3">
      <c r="A191" s="10" t="s">
        <v>932</v>
      </c>
      <c r="B191" t="s">
        <v>944</v>
      </c>
      <c r="C191" t="s">
        <v>945</v>
      </c>
      <c r="D191" t="s">
        <v>946</v>
      </c>
      <c r="E191" t="s">
        <v>46</v>
      </c>
      <c r="F191" t="s">
        <v>314</v>
      </c>
      <c r="G191" t="s">
        <v>48</v>
      </c>
      <c r="H191" t="s">
        <v>76</v>
      </c>
      <c r="I191" t="s">
        <v>50</v>
      </c>
      <c r="J191" t="s">
        <v>51</v>
      </c>
      <c r="K191" t="s">
        <v>51</v>
      </c>
      <c r="L191" t="s">
        <v>134</v>
      </c>
      <c r="M191">
        <v>526</v>
      </c>
      <c r="N191" s="11" t="str">
        <f t="shared" si="18"/>
        <v>OK</v>
      </c>
      <c r="O191" t="s">
        <v>54</v>
      </c>
      <c r="P191" t="s">
        <v>54</v>
      </c>
      <c r="Q191" t="s">
        <v>54</v>
      </c>
      <c r="R191" t="str">
        <f>VLOOKUP($D191,[1]Rascunho!$E$2:$S$296,15,FALSE)</f>
        <v>https://www.portosdoparana.pr.gov.br/sites/portos/arquivos_restritos/files/documento/2024-04/carta_de_governanca_2023_publicavel.pdf</v>
      </c>
      <c r="S191" s="12">
        <v>620959445.5</v>
      </c>
      <c r="T191" s="12">
        <v>148262022.88999999</v>
      </c>
      <c r="U191" s="13" t="str">
        <f t="shared" si="19"/>
        <v>OK</v>
      </c>
      <c r="V191" s="14">
        <v>178092818.63</v>
      </c>
      <c r="W191" s="14">
        <v>14859088.35</v>
      </c>
      <c r="X191" t="s">
        <v>51</v>
      </c>
      <c r="Y191" s="14">
        <v>489443.7</v>
      </c>
      <c r="Z191" s="14">
        <v>0</v>
      </c>
      <c r="AA191" s="14">
        <v>18365.55</v>
      </c>
      <c r="AB191" s="14">
        <v>188678079.41</v>
      </c>
      <c r="AC191" s="13" t="str">
        <f t="shared" si="20"/>
        <v>OK</v>
      </c>
      <c r="AD191" s="14">
        <v>1038000741.72</v>
      </c>
      <c r="AE191" s="14">
        <v>0</v>
      </c>
      <c r="AF191" s="14">
        <v>0</v>
      </c>
      <c r="AG191" s="14">
        <v>0</v>
      </c>
      <c r="AH191" s="14">
        <v>0</v>
      </c>
      <c r="AI191" s="13" t="str">
        <f t="shared" si="21"/>
        <v>OK</v>
      </c>
      <c r="AJ191" s="14">
        <v>0</v>
      </c>
      <c r="AK191" s="14">
        <v>0</v>
      </c>
      <c r="AL191" s="14">
        <v>0</v>
      </c>
      <c r="AM191" s="14">
        <v>0</v>
      </c>
      <c r="AN191" s="14">
        <v>100</v>
      </c>
      <c r="AO191" s="14">
        <v>100</v>
      </c>
      <c r="AP191" s="15">
        <f t="shared" si="22"/>
        <v>0</v>
      </c>
      <c r="AQ191" s="14">
        <v>1086443861.3800001</v>
      </c>
      <c r="AR191" s="14">
        <v>1086443861.3800001</v>
      </c>
      <c r="AS191" s="14">
        <v>0</v>
      </c>
      <c r="AT191" s="14">
        <v>0</v>
      </c>
      <c r="AU191" s="16">
        <f t="shared" si="23"/>
        <v>0</v>
      </c>
      <c r="AV191" s="13" t="str">
        <f t="shared" si="24"/>
        <v>NÃO</v>
      </c>
      <c r="AW191" s="13" t="str">
        <f t="shared" si="25"/>
        <v>OK</v>
      </c>
      <c r="AX191" s="13" t="str">
        <f t="shared" si="26"/>
        <v>OK</v>
      </c>
    </row>
    <row r="192" spans="1:50" x14ac:dyDescent="0.3">
      <c r="A192" s="10" t="s">
        <v>932</v>
      </c>
      <c r="B192" t="s">
        <v>949</v>
      </c>
      <c r="C192" t="s">
        <v>1517</v>
      </c>
      <c r="D192" t="s">
        <v>950</v>
      </c>
      <c r="E192" t="s">
        <v>46</v>
      </c>
      <c r="F192" t="s">
        <v>75</v>
      </c>
      <c r="G192" t="s">
        <v>60</v>
      </c>
      <c r="H192" t="s">
        <v>76</v>
      </c>
      <c r="I192" t="s">
        <v>50</v>
      </c>
      <c r="J192" t="s">
        <v>51</v>
      </c>
      <c r="K192" t="s">
        <v>51</v>
      </c>
      <c r="L192" t="s">
        <v>134</v>
      </c>
      <c r="M192">
        <v>138</v>
      </c>
      <c r="N192" s="11" t="str">
        <f t="shared" si="18"/>
        <v>OK</v>
      </c>
      <c r="O192" t="s">
        <v>54</v>
      </c>
      <c r="P192" t="s">
        <v>54</v>
      </c>
      <c r="Q192" t="s">
        <v>51</v>
      </c>
      <c r="R192" t="str">
        <f>VLOOKUP($D192,[1]Rascunho!$E$2:$S$296,15,FALSE)</f>
        <v>https://www.ceasa.pr.gov.br/Pagina/Governanca-Corporativa</v>
      </c>
      <c r="S192" s="12">
        <v>30959077.789999999</v>
      </c>
      <c r="T192" s="12">
        <v>22752935.300000001</v>
      </c>
      <c r="U192" s="13" t="str">
        <f t="shared" si="19"/>
        <v>OK</v>
      </c>
      <c r="V192" s="14">
        <v>30216163.390000001</v>
      </c>
      <c r="W192" s="14">
        <v>7463228.0800000001</v>
      </c>
      <c r="X192" t="s">
        <v>51</v>
      </c>
      <c r="Y192" s="14">
        <v>332054.84000000003</v>
      </c>
      <c r="Z192" s="14">
        <v>0</v>
      </c>
      <c r="AA192" s="14">
        <v>1446725.64</v>
      </c>
      <c r="AB192" s="14">
        <v>4967533.1399999997</v>
      </c>
      <c r="AC192" s="13" t="str">
        <f t="shared" si="20"/>
        <v>OK</v>
      </c>
      <c r="AD192" s="14">
        <v>166678807.21000001</v>
      </c>
      <c r="AE192" s="14">
        <v>0</v>
      </c>
      <c r="AF192" s="14">
        <v>0</v>
      </c>
      <c r="AG192" s="14">
        <v>0</v>
      </c>
      <c r="AH192" s="14">
        <v>0</v>
      </c>
      <c r="AI192" s="13" t="str">
        <f t="shared" si="21"/>
        <v>OK</v>
      </c>
      <c r="AJ192" s="14">
        <v>0</v>
      </c>
      <c r="AK192" s="14">
        <v>0</v>
      </c>
      <c r="AL192" s="14">
        <v>0</v>
      </c>
      <c r="AM192" s="14">
        <v>0</v>
      </c>
      <c r="AN192" s="14">
        <v>32830825</v>
      </c>
      <c r="AO192" s="14">
        <v>32830825</v>
      </c>
      <c r="AP192" s="15">
        <f t="shared" si="22"/>
        <v>0</v>
      </c>
      <c r="AQ192" s="14">
        <v>31114102</v>
      </c>
      <c r="AR192" s="14">
        <v>33114102</v>
      </c>
      <c r="AS192" s="14">
        <v>0</v>
      </c>
      <c r="AT192" s="14">
        <v>0</v>
      </c>
      <c r="AU192" s="16">
        <f t="shared" si="23"/>
        <v>2000000</v>
      </c>
      <c r="AV192" s="13" t="str">
        <f t="shared" si="24"/>
        <v>SIM</v>
      </c>
      <c r="AW192" s="13" t="str">
        <f t="shared" si="25"/>
        <v>OK</v>
      </c>
      <c r="AX192" s="13" t="str">
        <f t="shared" si="26"/>
        <v>OK</v>
      </c>
    </row>
    <row r="193" spans="1:50" x14ac:dyDescent="0.3">
      <c r="A193" s="10" t="s">
        <v>932</v>
      </c>
      <c r="B193" t="s">
        <v>953</v>
      </c>
      <c r="C193" t="s">
        <v>954</v>
      </c>
      <c r="D193" t="s">
        <v>955</v>
      </c>
      <c r="E193" t="s">
        <v>46</v>
      </c>
      <c r="F193" t="s">
        <v>47</v>
      </c>
      <c r="G193" t="s">
        <v>60</v>
      </c>
      <c r="H193" t="s">
        <v>49</v>
      </c>
      <c r="I193" t="s">
        <v>50</v>
      </c>
      <c r="J193" t="s">
        <v>51</v>
      </c>
      <c r="K193" t="s">
        <v>51</v>
      </c>
      <c r="L193" t="s">
        <v>134</v>
      </c>
      <c r="M193">
        <v>1220</v>
      </c>
      <c r="N193" s="11" t="str">
        <f t="shared" si="18"/>
        <v>OK</v>
      </c>
      <c r="O193" t="s">
        <v>54</v>
      </c>
      <c r="P193" t="s">
        <v>54</v>
      </c>
      <c r="Q193" t="s">
        <v>54</v>
      </c>
      <c r="R193" t="str">
        <f>VLOOKUP($D193,[1]Rascunho!$E$2:$S$296,15,FALSE)</f>
        <v>https://www.celepar.pr.gov.br/sites/celepar/arquivos_restritos/files/documento/2024-04/cartadegovernancacorporativa2023_4.pdf</v>
      </c>
      <c r="S193" s="12">
        <v>414374244.99000001</v>
      </c>
      <c r="T193" s="12">
        <v>214330482.02000001</v>
      </c>
      <c r="U193" s="13" t="str">
        <f t="shared" si="19"/>
        <v>OK</v>
      </c>
      <c r="V193" s="14">
        <v>317888522.63</v>
      </c>
      <c r="W193" s="14">
        <v>0</v>
      </c>
      <c r="X193" t="s">
        <v>51</v>
      </c>
      <c r="Y193" s="14">
        <v>0</v>
      </c>
      <c r="Z193" s="14">
        <v>0</v>
      </c>
      <c r="AA193" s="14">
        <v>0</v>
      </c>
      <c r="AB193" s="14">
        <v>84462650</v>
      </c>
      <c r="AC193" s="13" t="str">
        <f t="shared" si="20"/>
        <v>OK</v>
      </c>
      <c r="AD193" s="14">
        <v>280065516</v>
      </c>
      <c r="AE193" s="14">
        <v>0</v>
      </c>
      <c r="AF193" s="14">
        <v>0</v>
      </c>
      <c r="AG193" s="14">
        <v>10465585</v>
      </c>
      <c r="AH193" s="14">
        <v>0</v>
      </c>
      <c r="AI193" s="13" t="str">
        <f t="shared" si="21"/>
        <v>OK</v>
      </c>
      <c r="AJ193" s="14">
        <v>0</v>
      </c>
      <c r="AK193" s="14">
        <v>0</v>
      </c>
      <c r="AL193" s="14">
        <v>0</v>
      </c>
      <c r="AM193" s="14">
        <v>0</v>
      </c>
      <c r="AN193" s="14">
        <v>94697500</v>
      </c>
      <c r="AO193" s="14">
        <v>142046247</v>
      </c>
      <c r="AP193" s="15">
        <f t="shared" si="22"/>
        <v>47348747</v>
      </c>
      <c r="AQ193" s="14">
        <v>100000000</v>
      </c>
      <c r="AR193" s="14">
        <v>149670210</v>
      </c>
      <c r="AS193" s="14">
        <v>50000000</v>
      </c>
      <c r="AT193" s="14">
        <v>0</v>
      </c>
      <c r="AU193" s="16">
        <f t="shared" si="23"/>
        <v>49670210</v>
      </c>
      <c r="AV193" s="13" t="str">
        <f t="shared" si="24"/>
        <v>SIM</v>
      </c>
      <c r="AW193" s="13" t="str">
        <f t="shared" si="25"/>
        <v>OK</v>
      </c>
      <c r="AX193" s="13" t="str">
        <f t="shared" si="26"/>
        <v>OK</v>
      </c>
    </row>
    <row r="194" spans="1:50" x14ac:dyDescent="0.3">
      <c r="A194" s="10" t="s">
        <v>932</v>
      </c>
      <c r="B194" t="s">
        <v>933</v>
      </c>
      <c r="C194" t="s">
        <v>934</v>
      </c>
      <c r="D194" t="s">
        <v>935</v>
      </c>
      <c r="E194" t="s">
        <v>46</v>
      </c>
      <c r="F194" t="s">
        <v>93</v>
      </c>
      <c r="G194" t="s">
        <v>60</v>
      </c>
      <c r="H194" t="s">
        <v>49</v>
      </c>
      <c r="I194" t="s">
        <v>50</v>
      </c>
      <c r="J194" t="s">
        <v>51</v>
      </c>
      <c r="K194" t="s">
        <v>51</v>
      </c>
      <c r="L194" t="s">
        <v>52</v>
      </c>
      <c r="M194">
        <v>425</v>
      </c>
      <c r="N194" s="11" t="str">
        <f t="shared" ref="N194:N257" si="27">IF(AND(E194="ATIVA",M194=0),"VERIFICAR","OK")</f>
        <v>OK</v>
      </c>
      <c r="O194" t="s">
        <v>54</v>
      </c>
      <c r="P194" t="s">
        <v>54</v>
      </c>
      <c r="Q194" t="s">
        <v>51</v>
      </c>
      <c r="R194" t="str">
        <f>VLOOKUP($D194,[1]Rascunho!$E$2:$S$296,15,FALSE)</f>
        <v>https://www.cohapar.pr.gov.br/</v>
      </c>
      <c r="S194" s="12">
        <v>7501900.4699999997</v>
      </c>
      <c r="T194" s="12">
        <v>99360402.450000003</v>
      </c>
      <c r="U194" s="13" t="str">
        <f t="shared" ref="U194:U257" si="28">IF(AND(M194=0,T194&gt;0),"VERIFICAR","OK")</f>
        <v>OK</v>
      </c>
      <c r="V194" s="14">
        <v>173533328.88</v>
      </c>
      <c r="W194" s="14">
        <v>64316137.689999998</v>
      </c>
      <c r="X194" t="s">
        <v>51</v>
      </c>
      <c r="Y194" s="14">
        <v>742027.78</v>
      </c>
      <c r="Z194" s="14">
        <v>0</v>
      </c>
      <c r="AA194" s="14">
        <v>25935.34</v>
      </c>
      <c r="AB194" s="14">
        <v>-36503583.93</v>
      </c>
      <c r="AC194" s="13" t="str">
        <f t="shared" ref="AC194:AC257" si="29">IF(AND(X194="SIM",AB194&lt;0),"VERIFICAR","OK")</f>
        <v>OK</v>
      </c>
      <c r="AD194" s="14">
        <v>1104195805.1500001</v>
      </c>
      <c r="AE194" s="14">
        <v>0</v>
      </c>
      <c r="AF194" s="14">
        <v>0</v>
      </c>
      <c r="AG194" s="14">
        <v>94316692.609999999</v>
      </c>
      <c r="AH194" s="14">
        <v>95093162.599999994</v>
      </c>
      <c r="AI194" s="13" t="str">
        <f t="shared" ref="AI194:AI257" si="30">IF(AND(L194="NÃO DEPENDENTE",AH194&gt;0),"INDÍCIO DE DEPENDÊNCIA POR SUBVENÇÃO","OK")</f>
        <v>OK</v>
      </c>
      <c r="AJ194" s="14">
        <v>94316692.609999999</v>
      </c>
      <c r="AK194" s="14">
        <v>95093162.599999994</v>
      </c>
      <c r="AL194" s="14">
        <v>77856733.819999993</v>
      </c>
      <c r="AM194" s="14">
        <v>64316137.689999998</v>
      </c>
      <c r="AN194" s="14">
        <v>1355068227</v>
      </c>
      <c r="AO194" s="14">
        <v>1355068227</v>
      </c>
      <c r="AP194" s="15">
        <f t="shared" ref="AP194:AP257" si="31">AO194-AN194</f>
        <v>0</v>
      </c>
      <c r="AQ194" s="14">
        <v>1355068585</v>
      </c>
      <c r="AR194" s="14">
        <v>1355068585</v>
      </c>
      <c r="AS194" s="14">
        <v>266482412.63</v>
      </c>
      <c r="AT194" s="14">
        <v>330798550.31999999</v>
      </c>
      <c r="AU194" s="16">
        <f t="shared" ref="AU194:AU257" si="32">(AR194-AQ194)+(AT194)</f>
        <v>330798550.31999999</v>
      </c>
      <c r="AV194" s="13" t="str">
        <f t="shared" ref="AV194:AV257" si="33">IF(OR(AP194&gt;0,AU194&gt;0),"SIM","NÃO")</f>
        <v>SIM</v>
      </c>
      <c r="AW194" s="13" t="str">
        <f t="shared" ref="AW194:AW257" si="34">IF(AND(L194="NÃO DEPENDENTE",AM194&gt;0),"VER CAPITAL","OK")</f>
        <v>OK</v>
      </c>
      <c r="AX194" s="13" t="str">
        <f t="shared" ref="AX194:AX257" si="35">IF(AND(AW194="VER CAPITAL",AV194="NÃO"),"INDÍCIO DE DEPENDÊNCIA POR CAPITAL","OK")</f>
        <v>OK</v>
      </c>
    </row>
    <row r="195" spans="1:50" x14ac:dyDescent="0.3">
      <c r="A195" s="10" t="s">
        <v>932</v>
      </c>
      <c r="B195" t="s">
        <v>958</v>
      </c>
      <c r="C195" t="s">
        <v>959</v>
      </c>
      <c r="D195" t="s">
        <v>960</v>
      </c>
      <c r="E195" t="s">
        <v>46</v>
      </c>
      <c r="F195" t="s">
        <v>59</v>
      </c>
      <c r="G195" t="s">
        <v>60</v>
      </c>
      <c r="H195" t="s">
        <v>49</v>
      </c>
      <c r="I195" t="s">
        <v>50</v>
      </c>
      <c r="J195" t="s">
        <v>51</v>
      </c>
      <c r="K195" t="s">
        <v>51</v>
      </c>
      <c r="L195" t="s">
        <v>134</v>
      </c>
      <c r="M195">
        <v>132</v>
      </c>
      <c r="N195" s="11" t="str">
        <f t="shared" si="27"/>
        <v>OK</v>
      </c>
      <c r="O195" t="s">
        <v>54</v>
      </c>
      <c r="P195" t="s">
        <v>54</v>
      </c>
      <c r="Q195" t="s">
        <v>51</v>
      </c>
      <c r="R195" t="str">
        <f>VLOOKUP($D195,[1]Rascunho!$E$2:$S$296,15,FALSE)</f>
        <v>https://www.ferroeste.pr.gov.br/</v>
      </c>
      <c r="S195" s="12">
        <v>17396060.600000001</v>
      </c>
      <c r="T195" s="12">
        <v>8452042.7100000009</v>
      </c>
      <c r="U195" s="13" t="str">
        <f t="shared" si="28"/>
        <v>OK</v>
      </c>
      <c r="V195" s="14">
        <v>28493581.989999998</v>
      </c>
      <c r="W195" s="14">
        <v>106827.47</v>
      </c>
      <c r="X195" t="s">
        <v>51</v>
      </c>
      <c r="Y195" s="14">
        <v>390175.77</v>
      </c>
      <c r="Z195" s="14">
        <v>0</v>
      </c>
      <c r="AA195" s="14">
        <v>0</v>
      </c>
      <c r="AB195" s="14">
        <v>-9961374.0700000003</v>
      </c>
      <c r="AC195" s="13" t="str">
        <f t="shared" si="29"/>
        <v>OK</v>
      </c>
      <c r="AD195" s="14">
        <v>281011744.63</v>
      </c>
      <c r="AE195" s="14">
        <v>0</v>
      </c>
      <c r="AF195" s="14">
        <v>0</v>
      </c>
      <c r="AG195" s="14">
        <v>0</v>
      </c>
      <c r="AH195" s="14">
        <v>0</v>
      </c>
      <c r="AI195" s="13" t="str">
        <f t="shared" si="30"/>
        <v>OK</v>
      </c>
      <c r="AJ195" s="14">
        <v>0</v>
      </c>
      <c r="AK195" s="14">
        <v>0</v>
      </c>
      <c r="AL195" s="14">
        <v>0</v>
      </c>
      <c r="AM195" s="14">
        <v>0</v>
      </c>
      <c r="AN195" s="14">
        <v>69928010.969999999</v>
      </c>
      <c r="AO195" s="14">
        <v>69928010.969999999</v>
      </c>
      <c r="AP195" s="15">
        <f t="shared" si="31"/>
        <v>0</v>
      </c>
      <c r="AQ195" s="14">
        <v>405554280.5</v>
      </c>
      <c r="AR195" s="14">
        <v>405554280.5</v>
      </c>
      <c r="AS195" s="14">
        <v>44186843.329999998</v>
      </c>
      <c r="AT195" s="14">
        <v>0</v>
      </c>
      <c r="AU195" s="16">
        <f t="shared" si="32"/>
        <v>0</v>
      </c>
      <c r="AV195" s="13" t="str">
        <f t="shared" si="33"/>
        <v>NÃO</v>
      </c>
      <c r="AW195" s="13" t="str">
        <f t="shared" si="34"/>
        <v>OK</v>
      </c>
      <c r="AX195" s="13" t="str">
        <f t="shared" si="35"/>
        <v>OK</v>
      </c>
    </row>
    <row r="196" spans="1:50" x14ac:dyDescent="0.3">
      <c r="A196" s="10" t="s">
        <v>932</v>
      </c>
      <c r="B196" t="s">
        <v>940</v>
      </c>
      <c r="C196" t="s">
        <v>1518</v>
      </c>
      <c r="D196" t="s">
        <v>942</v>
      </c>
      <c r="E196" t="s">
        <v>46</v>
      </c>
      <c r="F196" t="s">
        <v>71</v>
      </c>
      <c r="G196" t="s">
        <v>60</v>
      </c>
      <c r="H196" t="s">
        <v>49</v>
      </c>
      <c r="I196" t="s">
        <v>50</v>
      </c>
      <c r="J196" t="s">
        <v>51</v>
      </c>
      <c r="K196" t="s">
        <v>51</v>
      </c>
      <c r="L196" t="s">
        <v>134</v>
      </c>
      <c r="M196">
        <v>160</v>
      </c>
      <c r="N196" s="11" t="str">
        <f t="shared" si="27"/>
        <v>OK</v>
      </c>
      <c r="O196" t="s">
        <v>54</v>
      </c>
      <c r="P196" t="s">
        <v>54</v>
      </c>
      <c r="Q196" t="s">
        <v>54</v>
      </c>
      <c r="R196" t="str">
        <f>VLOOKUP($D196,[1]Rascunho!$E$2:$S$296,15,FALSE)</f>
        <v>https://www.fomento.pr.gov.br/Pagina/GOVERNANCA-CORPORATIVA</v>
      </c>
      <c r="S196" s="12">
        <v>307746132.05000001</v>
      </c>
      <c r="T196" s="12">
        <v>46277936.670000002</v>
      </c>
      <c r="U196" s="13" t="str">
        <f t="shared" si="28"/>
        <v>OK</v>
      </c>
      <c r="V196" s="14">
        <v>239351450.65000001</v>
      </c>
      <c r="W196" s="14">
        <v>16952.900000000001</v>
      </c>
      <c r="X196" t="s">
        <v>51</v>
      </c>
      <c r="Y196" s="14">
        <v>491203.6</v>
      </c>
      <c r="Z196" s="14">
        <v>0</v>
      </c>
      <c r="AA196" s="14">
        <v>32000.51</v>
      </c>
      <c r="AB196" s="14">
        <v>193433469.38</v>
      </c>
      <c r="AC196" s="13" t="str">
        <f t="shared" si="29"/>
        <v>OK</v>
      </c>
      <c r="AD196" s="14">
        <v>2448218456.6100001</v>
      </c>
      <c r="AE196" s="14">
        <v>0</v>
      </c>
      <c r="AF196" s="14">
        <v>0</v>
      </c>
      <c r="AG196" s="14">
        <v>0</v>
      </c>
      <c r="AH196" s="14">
        <v>0</v>
      </c>
      <c r="AI196" s="13" t="str">
        <f t="shared" si="30"/>
        <v>OK</v>
      </c>
      <c r="AJ196" s="14">
        <v>0</v>
      </c>
      <c r="AK196" s="14">
        <v>0</v>
      </c>
      <c r="AL196" s="14">
        <v>196014000</v>
      </c>
      <c r="AM196" s="14">
        <v>133027000</v>
      </c>
      <c r="AN196" s="14">
        <v>1842788</v>
      </c>
      <c r="AO196" s="14">
        <v>1975815</v>
      </c>
      <c r="AP196" s="15">
        <f t="shared" si="31"/>
        <v>133027</v>
      </c>
      <c r="AQ196" s="14">
        <v>1842788000</v>
      </c>
      <c r="AR196" s="14">
        <v>1975815000</v>
      </c>
      <c r="AS196" s="14">
        <v>0</v>
      </c>
      <c r="AT196" s="14">
        <v>0</v>
      </c>
      <c r="AU196" s="16">
        <f t="shared" si="32"/>
        <v>133027000</v>
      </c>
      <c r="AV196" s="13" t="str">
        <f t="shared" si="33"/>
        <v>SIM</v>
      </c>
      <c r="AW196" s="13" t="str">
        <f t="shared" si="34"/>
        <v>VER CAPITAL</v>
      </c>
      <c r="AX196" s="13" t="str">
        <f t="shared" si="35"/>
        <v>OK</v>
      </c>
    </row>
    <row r="197" spans="1:50" x14ac:dyDescent="0.3">
      <c r="A197" s="10" t="s">
        <v>932</v>
      </c>
      <c r="B197" t="s">
        <v>1519</v>
      </c>
      <c r="C197" t="s">
        <v>962</v>
      </c>
      <c r="D197" t="s">
        <v>963</v>
      </c>
      <c r="E197" t="s">
        <v>46</v>
      </c>
      <c r="F197" t="s">
        <v>107</v>
      </c>
      <c r="G197" t="s">
        <v>60</v>
      </c>
      <c r="H197" t="s">
        <v>49</v>
      </c>
      <c r="I197" t="s">
        <v>373</v>
      </c>
      <c r="J197" t="s">
        <v>54</v>
      </c>
      <c r="K197" t="s">
        <v>51</v>
      </c>
      <c r="L197" t="s">
        <v>134</v>
      </c>
      <c r="M197">
        <v>6121</v>
      </c>
      <c r="N197" s="11" t="str">
        <f t="shared" si="27"/>
        <v>OK</v>
      </c>
      <c r="O197" t="s">
        <v>54</v>
      </c>
      <c r="P197" t="s">
        <v>54</v>
      </c>
      <c r="Q197" t="s">
        <v>54</v>
      </c>
      <c r="R197" t="str">
        <f>VLOOKUP($D197,[1]Rascunho!$E$2:$S$296,15,FALSE)</f>
        <v>https://ri.sanepar.com.br/governanca-corporativa/praticas-de-governanca-corporativa/2023</v>
      </c>
      <c r="S197" s="12">
        <v>6292735957.4700003</v>
      </c>
      <c r="T197" s="12">
        <v>1351454019.95</v>
      </c>
      <c r="U197" s="13" t="str">
        <f t="shared" si="28"/>
        <v>OK</v>
      </c>
      <c r="V197" s="14">
        <v>4567241766.4499998</v>
      </c>
      <c r="W197" s="14">
        <v>1926103301.29</v>
      </c>
      <c r="X197" t="s">
        <v>54</v>
      </c>
      <c r="Y197" s="14">
        <v>946578.77</v>
      </c>
      <c r="Z197" s="14">
        <v>0</v>
      </c>
      <c r="AA197" s="14">
        <v>18176.46</v>
      </c>
      <c r="AB197" s="14">
        <v>1503362549.6099999</v>
      </c>
      <c r="AC197" s="13" t="str">
        <f t="shared" si="29"/>
        <v>OK</v>
      </c>
      <c r="AD197" s="14">
        <v>9744200372.4099998</v>
      </c>
      <c r="AE197" s="14">
        <v>8762779907.7900009</v>
      </c>
      <c r="AF197" s="14">
        <v>81227597.760000005</v>
      </c>
      <c r="AG197" s="14">
        <v>0</v>
      </c>
      <c r="AH197" s="14">
        <v>0</v>
      </c>
      <c r="AI197" s="13" t="str">
        <f t="shared" si="30"/>
        <v>OK</v>
      </c>
      <c r="AJ197" s="14">
        <v>0</v>
      </c>
      <c r="AK197" s="14">
        <v>0</v>
      </c>
      <c r="AL197" s="14">
        <v>0</v>
      </c>
      <c r="AM197" s="14">
        <v>0</v>
      </c>
      <c r="AN197" s="14">
        <v>302653778</v>
      </c>
      <c r="AO197" s="14">
        <v>302653778</v>
      </c>
      <c r="AP197" s="15">
        <f t="shared" si="31"/>
        <v>0</v>
      </c>
      <c r="AQ197" s="14">
        <v>6000000000</v>
      </c>
      <c r="AR197" s="14">
        <v>6000000000</v>
      </c>
      <c r="AS197" s="14">
        <v>0</v>
      </c>
      <c r="AT197" s="14">
        <v>0</v>
      </c>
      <c r="AU197" s="16">
        <f t="shared" si="32"/>
        <v>0</v>
      </c>
      <c r="AV197" s="13" t="str">
        <f t="shared" si="33"/>
        <v>NÃO</v>
      </c>
      <c r="AW197" s="13" t="str">
        <f t="shared" si="34"/>
        <v>OK</v>
      </c>
      <c r="AX197" s="13" t="str">
        <f t="shared" si="35"/>
        <v>OK</v>
      </c>
    </row>
    <row r="198" spans="1:50" ht="43.2" x14ac:dyDescent="0.3">
      <c r="A198" s="10" t="s">
        <v>932</v>
      </c>
      <c r="B198" t="s">
        <v>936</v>
      </c>
      <c r="C198" t="s">
        <v>937</v>
      </c>
      <c r="D198" t="s">
        <v>938</v>
      </c>
      <c r="E198" t="s">
        <v>46</v>
      </c>
      <c r="F198" s="6" t="s">
        <v>47</v>
      </c>
      <c r="G198" t="s">
        <v>48</v>
      </c>
      <c r="H198" t="s">
        <v>76</v>
      </c>
      <c r="I198" t="s">
        <v>50</v>
      </c>
      <c r="J198" t="s">
        <v>51</v>
      </c>
      <c r="K198" t="s">
        <v>51</v>
      </c>
      <c r="L198" t="s">
        <v>52</v>
      </c>
      <c r="M198">
        <v>458</v>
      </c>
      <c r="N198" s="11" t="str">
        <f t="shared" si="27"/>
        <v>OK</v>
      </c>
      <c r="O198" t="s">
        <v>54</v>
      </c>
      <c r="P198" t="s">
        <v>54</v>
      </c>
      <c r="Q198" t="s">
        <v>54</v>
      </c>
      <c r="R198" t="str">
        <f>VLOOKUP($D198,[1]Rascunho!$E$2:$S$296,15,FALSE)</f>
        <v>https://www.tecpar.br/Pagina/Governanca-Corporativa</v>
      </c>
      <c r="S198" s="12">
        <v>155292070.72</v>
      </c>
      <c r="T198" s="12">
        <v>21063952.300000001</v>
      </c>
      <c r="U198" s="13" t="str">
        <f t="shared" si="28"/>
        <v>OK</v>
      </c>
      <c r="V198" s="14">
        <v>58867300.170000002</v>
      </c>
      <c r="W198" s="14">
        <v>78490.73</v>
      </c>
      <c r="X198" t="s">
        <v>51</v>
      </c>
      <c r="Y198" s="14">
        <v>449958.77</v>
      </c>
      <c r="Z198" s="14">
        <v>0</v>
      </c>
      <c r="AA198" s="14">
        <v>110969.28</v>
      </c>
      <c r="AB198" s="14">
        <v>16720851.07</v>
      </c>
      <c r="AC198" s="13" t="str">
        <f t="shared" si="29"/>
        <v>OK</v>
      </c>
      <c r="AD198" s="14">
        <v>-960585.14</v>
      </c>
      <c r="AE198" s="14">
        <v>0</v>
      </c>
      <c r="AF198" s="14">
        <v>0</v>
      </c>
      <c r="AG198" s="14">
        <v>73994449.409999996</v>
      </c>
      <c r="AH198" s="14">
        <v>105037192.40000001</v>
      </c>
      <c r="AI198" s="13" t="str">
        <f t="shared" si="30"/>
        <v>OK</v>
      </c>
      <c r="AJ198" s="14">
        <v>73994449.409999996</v>
      </c>
      <c r="AK198" s="14">
        <v>105037192.40000001</v>
      </c>
      <c r="AL198" s="14">
        <v>0</v>
      </c>
      <c r="AM198" s="14">
        <v>0</v>
      </c>
      <c r="AN198" s="14">
        <v>100</v>
      </c>
      <c r="AO198" s="14">
        <v>100</v>
      </c>
      <c r="AP198" s="15">
        <f t="shared" si="31"/>
        <v>0</v>
      </c>
      <c r="AQ198" s="14">
        <v>186580972.18000001</v>
      </c>
      <c r="AR198" s="14">
        <v>252554733.18000001</v>
      </c>
      <c r="AS198" s="14">
        <v>0</v>
      </c>
      <c r="AT198" s="14">
        <v>0</v>
      </c>
      <c r="AU198" s="16">
        <f t="shared" si="32"/>
        <v>65973761</v>
      </c>
      <c r="AV198" s="13" t="str">
        <f t="shared" si="33"/>
        <v>SIM</v>
      </c>
      <c r="AW198" s="13" t="str">
        <f t="shared" si="34"/>
        <v>OK</v>
      </c>
      <c r="AX198" s="13" t="str">
        <f t="shared" si="35"/>
        <v>OK</v>
      </c>
    </row>
    <row r="199" spans="1:50" x14ac:dyDescent="0.3">
      <c r="A199" s="10" t="s">
        <v>966</v>
      </c>
      <c r="B199" t="s">
        <v>1520</v>
      </c>
      <c r="C199" t="s">
        <v>1022</v>
      </c>
      <c r="D199" t="s">
        <v>1023</v>
      </c>
      <c r="E199" t="s">
        <v>46</v>
      </c>
      <c r="F199" t="s">
        <v>71</v>
      </c>
      <c r="G199" t="s">
        <v>60</v>
      </c>
      <c r="H199" t="s">
        <v>49</v>
      </c>
      <c r="I199" t="s">
        <v>50</v>
      </c>
      <c r="J199" t="s">
        <v>51</v>
      </c>
      <c r="K199" t="s">
        <v>51</v>
      </c>
      <c r="L199" t="s">
        <v>134</v>
      </c>
      <c r="M199">
        <v>167</v>
      </c>
      <c r="N199" s="11" t="str">
        <f t="shared" si="27"/>
        <v>OK</v>
      </c>
      <c r="O199" t="s">
        <v>54</v>
      </c>
      <c r="P199" t="s">
        <v>54</v>
      </c>
      <c r="Q199" t="s">
        <v>54</v>
      </c>
      <c r="R199" t="str">
        <f>VLOOKUP($D199,[1]Rascunho!$E$2:$S$296,15,FALSE)</f>
        <v>https://www.agerio.com.br/institucional/governanca-corporativa/</v>
      </c>
      <c r="S199" s="12">
        <v>89907951.180000007</v>
      </c>
      <c r="T199" s="12">
        <v>38840112.090000004</v>
      </c>
      <c r="U199" s="13" t="str">
        <f t="shared" si="28"/>
        <v>OK</v>
      </c>
      <c r="V199" s="14">
        <v>102249972.19</v>
      </c>
      <c r="W199" s="14">
        <v>1464445.4</v>
      </c>
      <c r="X199" t="s">
        <v>54</v>
      </c>
      <c r="Y199" s="14">
        <v>362811.86</v>
      </c>
      <c r="Z199" s="14">
        <v>4853.54</v>
      </c>
      <c r="AA199" s="14">
        <v>62817.77</v>
      </c>
      <c r="AB199" s="14">
        <v>4172569.54</v>
      </c>
      <c r="AC199" s="13" t="str">
        <f t="shared" si="29"/>
        <v>OK</v>
      </c>
      <c r="AD199" s="14">
        <v>521964424.55000001</v>
      </c>
      <c r="AE199" s="14">
        <v>0</v>
      </c>
      <c r="AF199" s="14">
        <v>0</v>
      </c>
      <c r="AG199" s="14">
        <v>0</v>
      </c>
      <c r="AH199" s="14">
        <v>0</v>
      </c>
      <c r="AI199" s="13" t="str">
        <f t="shared" si="30"/>
        <v>OK</v>
      </c>
      <c r="AJ199" s="14">
        <v>0</v>
      </c>
      <c r="AK199" s="14">
        <v>0</v>
      </c>
      <c r="AL199" s="14">
        <v>0</v>
      </c>
      <c r="AM199" s="14">
        <v>0</v>
      </c>
      <c r="AN199" s="14">
        <v>170866736</v>
      </c>
      <c r="AO199" s="14">
        <v>170866736</v>
      </c>
      <c r="AP199" s="15">
        <f t="shared" si="31"/>
        <v>0</v>
      </c>
      <c r="AQ199" s="14">
        <v>511348505.68000001</v>
      </c>
      <c r="AR199" s="14">
        <v>532381308.81</v>
      </c>
      <c r="AS199" s="14">
        <v>0</v>
      </c>
      <c r="AT199" s="14">
        <v>0</v>
      </c>
      <c r="AU199" s="16">
        <f t="shared" si="32"/>
        <v>21032803.129999995</v>
      </c>
      <c r="AV199" s="13" t="str">
        <f t="shared" si="33"/>
        <v>SIM</v>
      </c>
      <c r="AW199" s="13" t="str">
        <f t="shared" si="34"/>
        <v>OK</v>
      </c>
      <c r="AX199" s="13" t="str">
        <f t="shared" si="35"/>
        <v>OK</v>
      </c>
    </row>
    <row r="200" spans="1:50" x14ac:dyDescent="0.3">
      <c r="A200" s="10" t="s">
        <v>966</v>
      </c>
      <c r="B200" t="s">
        <v>1521</v>
      </c>
      <c r="C200" t="s">
        <v>1026</v>
      </c>
      <c r="D200" t="s">
        <v>1027</v>
      </c>
      <c r="E200" t="s">
        <v>70</v>
      </c>
      <c r="F200" t="s">
        <v>71</v>
      </c>
      <c r="G200" t="s">
        <v>60</v>
      </c>
      <c r="H200" t="s">
        <v>49</v>
      </c>
      <c r="I200" t="s">
        <v>50</v>
      </c>
      <c r="J200" t="s">
        <v>51</v>
      </c>
      <c r="K200" t="s">
        <v>51</v>
      </c>
      <c r="L200" t="s">
        <v>134</v>
      </c>
      <c r="M200">
        <v>3</v>
      </c>
      <c r="N200" s="11" t="str">
        <f t="shared" si="27"/>
        <v>OK</v>
      </c>
      <c r="O200" t="s">
        <v>51</v>
      </c>
      <c r="P200" t="s">
        <v>51</v>
      </c>
      <c r="Q200" t="s">
        <v>51</v>
      </c>
      <c r="R200" t="str">
        <f>VLOOKUP($D200,[1]Rascunho!$E$2:$S$296,15,FALSE)</f>
        <v>Site não disponível</v>
      </c>
      <c r="S200" s="12">
        <v>0</v>
      </c>
      <c r="T200" s="12">
        <v>336515.5</v>
      </c>
      <c r="U200" s="13" t="str">
        <f t="shared" si="28"/>
        <v>OK</v>
      </c>
      <c r="V200" s="14">
        <v>562741.81000000006</v>
      </c>
      <c r="W200" s="14">
        <v>0</v>
      </c>
      <c r="X200" t="s">
        <v>51</v>
      </c>
      <c r="Y200" s="14">
        <v>104000</v>
      </c>
      <c r="Z200" s="14">
        <v>0</v>
      </c>
      <c r="AA200" s="14">
        <v>0</v>
      </c>
      <c r="AB200" s="14">
        <v>-520981.01</v>
      </c>
      <c r="AC200" s="13" t="str">
        <f t="shared" si="29"/>
        <v>OK</v>
      </c>
      <c r="AD200" s="14">
        <v>2069900.08</v>
      </c>
      <c r="AE200" s="14">
        <v>0</v>
      </c>
      <c r="AF200" s="14">
        <v>0</v>
      </c>
      <c r="AG200" s="14">
        <v>0</v>
      </c>
      <c r="AH200" s="14">
        <v>0</v>
      </c>
      <c r="AI200" s="13" t="str">
        <f t="shared" si="30"/>
        <v>OK</v>
      </c>
      <c r="AJ200" s="14">
        <v>0</v>
      </c>
      <c r="AK200" s="14">
        <v>0</v>
      </c>
      <c r="AL200" s="14">
        <v>0</v>
      </c>
      <c r="AM200" s="14">
        <v>0</v>
      </c>
      <c r="AN200" s="14">
        <v>59421895749</v>
      </c>
      <c r="AO200" s="14">
        <v>59421895749</v>
      </c>
      <c r="AP200" s="15">
        <f t="shared" si="31"/>
        <v>0</v>
      </c>
      <c r="AQ200" s="14">
        <v>158907523.49000001</v>
      </c>
      <c r="AR200" s="14">
        <v>158907523.49000001</v>
      </c>
      <c r="AS200" s="14">
        <v>0</v>
      </c>
      <c r="AT200" s="14">
        <v>0</v>
      </c>
      <c r="AU200" s="16">
        <f t="shared" si="32"/>
        <v>0</v>
      </c>
      <c r="AV200" s="13" t="str">
        <f t="shared" si="33"/>
        <v>NÃO</v>
      </c>
      <c r="AW200" s="13" t="str">
        <f t="shared" si="34"/>
        <v>OK</v>
      </c>
      <c r="AX200" s="13" t="str">
        <f t="shared" si="35"/>
        <v>OK</v>
      </c>
    </row>
    <row r="201" spans="1:50" ht="43.2" x14ac:dyDescent="0.3">
      <c r="A201" s="10" t="s">
        <v>966</v>
      </c>
      <c r="B201" t="s">
        <v>1522</v>
      </c>
      <c r="C201" t="s">
        <v>968</v>
      </c>
      <c r="D201" t="s">
        <v>969</v>
      </c>
      <c r="E201" t="s">
        <v>46</v>
      </c>
      <c r="F201" s="6" t="s">
        <v>75</v>
      </c>
      <c r="G201" t="s">
        <v>60</v>
      </c>
      <c r="H201" t="s">
        <v>76</v>
      </c>
      <c r="I201" t="s">
        <v>50</v>
      </c>
      <c r="J201" t="s">
        <v>51</v>
      </c>
      <c r="K201" t="s">
        <v>51</v>
      </c>
      <c r="L201" t="s">
        <v>52</v>
      </c>
      <c r="M201">
        <v>52</v>
      </c>
      <c r="N201" s="11" t="str">
        <f t="shared" si="27"/>
        <v>OK</v>
      </c>
      <c r="O201" t="s">
        <v>54</v>
      </c>
      <c r="P201" t="s">
        <v>54</v>
      </c>
      <c r="Q201" t="s">
        <v>51</v>
      </c>
      <c r="R201" t="str">
        <f>VLOOKUP($D201,[1]Rascunho!$E$2:$S$296,15,FALSE)</f>
        <v>Site não disponível</v>
      </c>
      <c r="S201" s="12">
        <v>135386.91</v>
      </c>
      <c r="T201" s="12">
        <v>5805338.6500000004</v>
      </c>
      <c r="U201" s="13" t="str">
        <f t="shared" si="28"/>
        <v>OK</v>
      </c>
      <c r="V201" s="14">
        <v>12841292.869999999</v>
      </c>
      <c r="W201" s="14">
        <v>0</v>
      </c>
      <c r="X201" t="s">
        <v>51</v>
      </c>
      <c r="Y201" s="14">
        <v>225102.14</v>
      </c>
      <c r="Z201" s="14">
        <v>0</v>
      </c>
      <c r="AA201" s="14">
        <v>0</v>
      </c>
      <c r="AB201" s="14">
        <v>-93730.15</v>
      </c>
      <c r="AC201" s="13" t="str">
        <f t="shared" si="29"/>
        <v>OK</v>
      </c>
      <c r="AD201" s="14">
        <v>1540768.57</v>
      </c>
      <c r="AE201" s="14">
        <v>0</v>
      </c>
      <c r="AF201" s="14">
        <v>0</v>
      </c>
      <c r="AG201" s="14">
        <v>2662510.09</v>
      </c>
      <c r="AH201" s="14">
        <v>6420680.0800000001</v>
      </c>
      <c r="AI201" s="13" t="str">
        <f t="shared" si="30"/>
        <v>OK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5">
        <f t="shared" si="31"/>
        <v>0</v>
      </c>
      <c r="AQ201" s="14">
        <v>1520887.26</v>
      </c>
      <c r="AR201" s="14">
        <v>1520887.26</v>
      </c>
      <c r="AS201" s="14">
        <v>0</v>
      </c>
      <c r="AT201" s="14">
        <v>0</v>
      </c>
      <c r="AU201" s="16">
        <f t="shared" si="32"/>
        <v>0</v>
      </c>
      <c r="AV201" s="13" t="str">
        <f t="shared" si="33"/>
        <v>NÃO</v>
      </c>
      <c r="AW201" s="13" t="str">
        <f t="shared" si="34"/>
        <v>OK</v>
      </c>
      <c r="AX201" s="13" t="str">
        <f t="shared" si="35"/>
        <v>OK</v>
      </c>
    </row>
    <row r="202" spans="1:50" x14ac:dyDescent="0.3">
      <c r="A202" s="10" t="s">
        <v>966</v>
      </c>
      <c r="B202" t="s">
        <v>1523</v>
      </c>
      <c r="C202" t="s">
        <v>1524</v>
      </c>
      <c r="D202" t="s">
        <v>971</v>
      </c>
      <c r="E202" t="s">
        <v>46</v>
      </c>
      <c r="F202" t="s">
        <v>75</v>
      </c>
      <c r="G202" t="s">
        <v>60</v>
      </c>
      <c r="H202" t="s">
        <v>76</v>
      </c>
      <c r="I202" t="s">
        <v>50</v>
      </c>
      <c r="J202" t="s">
        <v>51</v>
      </c>
      <c r="K202" t="s">
        <v>51</v>
      </c>
      <c r="L202" t="s">
        <v>52</v>
      </c>
      <c r="M202">
        <v>247</v>
      </c>
      <c r="N202" s="11" t="str">
        <f t="shared" si="27"/>
        <v>OK</v>
      </c>
      <c r="O202" t="s">
        <v>54</v>
      </c>
      <c r="P202" t="s">
        <v>54</v>
      </c>
      <c r="Q202" t="s">
        <v>51</v>
      </c>
      <c r="R202" t="str">
        <f>VLOOKUP($D202,[1]Rascunho!$E$2:$S$296,15,FALSE)</f>
        <v>Site não disponível</v>
      </c>
      <c r="S202" s="12">
        <v>149631147</v>
      </c>
      <c r="T202" s="12">
        <v>23400705.359999999</v>
      </c>
      <c r="U202" s="13" t="str">
        <f t="shared" si="28"/>
        <v>OK</v>
      </c>
      <c r="V202" s="14">
        <v>152579751.05000001</v>
      </c>
      <c r="W202" s="14">
        <v>6527372.6799999997</v>
      </c>
      <c r="X202" t="s">
        <v>51</v>
      </c>
      <c r="Y202" s="14">
        <v>183348.21</v>
      </c>
      <c r="Z202" s="14">
        <v>0</v>
      </c>
      <c r="AA202" s="14">
        <v>0</v>
      </c>
      <c r="AB202" s="14">
        <v>14137383</v>
      </c>
      <c r="AC202" s="13" t="str">
        <f t="shared" si="29"/>
        <v>OK</v>
      </c>
      <c r="AD202" s="14">
        <v>52879082</v>
      </c>
      <c r="AE202" s="14">
        <v>0</v>
      </c>
      <c r="AF202" s="14">
        <v>0</v>
      </c>
      <c r="AG202" s="14">
        <v>4335804.45</v>
      </c>
      <c r="AH202" s="14">
        <v>6399240.3700000001</v>
      </c>
      <c r="AI202" s="13" t="str">
        <f t="shared" si="30"/>
        <v>OK</v>
      </c>
      <c r="AJ202" s="14">
        <v>3671316.83</v>
      </c>
      <c r="AK202" s="14">
        <v>2441970.12</v>
      </c>
      <c r="AL202" s="14">
        <v>0</v>
      </c>
      <c r="AM202" s="14">
        <v>0</v>
      </c>
      <c r="AN202" s="14">
        <v>0</v>
      </c>
      <c r="AO202" s="14">
        <v>0</v>
      </c>
      <c r="AP202" s="15">
        <f t="shared" si="31"/>
        <v>0</v>
      </c>
      <c r="AQ202" s="14">
        <v>33788930.850000001</v>
      </c>
      <c r="AR202" s="14">
        <v>33788930.850000001</v>
      </c>
      <c r="AS202" s="14">
        <v>0</v>
      </c>
      <c r="AT202" s="14">
        <v>0</v>
      </c>
      <c r="AU202" s="16">
        <f t="shared" si="32"/>
        <v>0</v>
      </c>
      <c r="AV202" s="13" t="str">
        <f t="shared" si="33"/>
        <v>NÃO</v>
      </c>
      <c r="AW202" s="13" t="str">
        <f t="shared" si="34"/>
        <v>OK</v>
      </c>
      <c r="AX202" s="13" t="str">
        <f t="shared" si="35"/>
        <v>OK</v>
      </c>
    </row>
    <row r="203" spans="1:50" x14ac:dyDescent="0.3">
      <c r="A203" s="10" t="s">
        <v>966</v>
      </c>
      <c r="B203" t="s">
        <v>1525</v>
      </c>
      <c r="C203" t="s">
        <v>1029</v>
      </c>
      <c r="D203" t="s">
        <v>1030</v>
      </c>
      <c r="E203" t="s">
        <v>46</v>
      </c>
      <c r="F203" t="s">
        <v>107</v>
      </c>
      <c r="G203" t="s">
        <v>60</v>
      </c>
      <c r="H203" t="s">
        <v>49</v>
      </c>
      <c r="I203" t="s">
        <v>373</v>
      </c>
      <c r="J203" t="s">
        <v>51</v>
      </c>
      <c r="K203" t="s">
        <v>51</v>
      </c>
      <c r="L203" t="s">
        <v>134</v>
      </c>
      <c r="M203">
        <v>3061</v>
      </c>
      <c r="N203" s="11" t="str">
        <f t="shared" si="27"/>
        <v>OK</v>
      </c>
      <c r="O203" t="s">
        <v>54</v>
      </c>
      <c r="P203" t="s">
        <v>54</v>
      </c>
      <c r="Q203" t="s">
        <v>54</v>
      </c>
      <c r="R203" t="str">
        <f>VLOOKUP($D203,[1]Rascunho!$E$2:$S$296,15,FALSE)</f>
        <v>https://cedae.com.br/governancacorporativa</v>
      </c>
      <c r="S203" s="12">
        <v>3199563099.3600001</v>
      </c>
      <c r="T203" s="12">
        <v>900844589.01999998</v>
      </c>
      <c r="U203" s="13" t="str">
        <f t="shared" si="28"/>
        <v>OK</v>
      </c>
      <c r="V203" s="14">
        <v>3554251174.48</v>
      </c>
      <c r="W203" s="14">
        <v>406660000</v>
      </c>
      <c r="X203" t="s">
        <v>54</v>
      </c>
      <c r="Y203" s="14">
        <v>1078585.03</v>
      </c>
      <c r="Z203" s="14">
        <v>6200</v>
      </c>
      <c r="AA203" s="14">
        <v>0</v>
      </c>
      <c r="AB203" s="14">
        <v>421594500.38</v>
      </c>
      <c r="AC203" s="13" t="str">
        <f t="shared" si="29"/>
        <v>OK</v>
      </c>
      <c r="AD203" s="14">
        <v>7013833172.7399998</v>
      </c>
      <c r="AE203" s="14">
        <v>0</v>
      </c>
      <c r="AF203" s="14">
        <v>256903.11</v>
      </c>
      <c r="AG203" s="14">
        <v>0</v>
      </c>
      <c r="AH203" s="14">
        <v>0</v>
      </c>
      <c r="AI203" s="13" t="str">
        <f t="shared" si="30"/>
        <v>OK</v>
      </c>
      <c r="AJ203" s="14">
        <v>0</v>
      </c>
      <c r="AK203" s="14">
        <v>0</v>
      </c>
      <c r="AL203" s="14">
        <v>0</v>
      </c>
      <c r="AM203" s="14">
        <v>0</v>
      </c>
      <c r="AN203" s="14">
        <v>629069118</v>
      </c>
      <c r="AO203" s="14">
        <v>6290691.1799999997</v>
      </c>
      <c r="AP203" s="15">
        <f t="shared" si="31"/>
        <v>-622778426.82000005</v>
      </c>
      <c r="AQ203" s="14">
        <v>3035150276.8899999</v>
      </c>
      <c r="AR203" s="14">
        <v>4027559713.0300002</v>
      </c>
      <c r="AS203" s="14">
        <v>0</v>
      </c>
      <c r="AT203" s="14">
        <v>0</v>
      </c>
      <c r="AU203" s="16">
        <f t="shared" si="32"/>
        <v>992409436.14000034</v>
      </c>
      <c r="AV203" s="13" t="str">
        <f t="shared" si="33"/>
        <v>SIM</v>
      </c>
      <c r="AW203" s="13" t="str">
        <f t="shared" si="34"/>
        <v>OK</v>
      </c>
      <c r="AX203" s="13" t="str">
        <f t="shared" si="35"/>
        <v>OK</v>
      </c>
    </row>
    <row r="204" spans="1:50" x14ac:dyDescent="0.3">
      <c r="A204" s="10" t="s">
        <v>966</v>
      </c>
      <c r="B204" t="s">
        <v>1526</v>
      </c>
      <c r="C204" t="s">
        <v>1527</v>
      </c>
      <c r="D204" t="s">
        <v>974</v>
      </c>
      <c r="E204" t="s">
        <v>46</v>
      </c>
      <c r="F204" t="s">
        <v>93</v>
      </c>
      <c r="G204" t="s">
        <v>60</v>
      </c>
      <c r="H204" t="s">
        <v>49</v>
      </c>
      <c r="I204" t="s">
        <v>50</v>
      </c>
      <c r="J204" t="s">
        <v>51</v>
      </c>
      <c r="K204" t="s">
        <v>54</v>
      </c>
      <c r="L204" t="s">
        <v>52</v>
      </c>
      <c r="M204">
        <v>334</v>
      </c>
      <c r="N204" s="11" t="str">
        <f t="shared" si="27"/>
        <v>OK</v>
      </c>
      <c r="O204" t="s">
        <v>54</v>
      </c>
      <c r="P204" t="s">
        <v>54</v>
      </c>
      <c r="Q204" t="s">
        <v>51</v>
      </c>
      <c r="R204" t="str">
        <f>VLOOKUP($D204,[1]Rascunho!$E$2:$S$296,15,FALSE)</f>
        <v>https://www.rj.gov.br/cehab/</v>
      </c>
      <c r="S204" s="12">
        <v>583311242.42999995</v>
      </c>
      <c r="T204" s="12">
        <v>70094224.530000001</v>
      </c>
      <c r="U204" s="13" t="str">
        <f t="shared" si="28"/>
        <v>OK</v>
      </c>
      <c r="V204" s="14">
        <v>589019160.24000001</v>
      </c>
      <c r="W204" s="14">
        <v>412341229.12</v>
      </c>
      <c r="X204" t="s">
        <v>51</v>
      </c>
      <c r="Y204" s="14">
        <v>284285.82</v>
      </c>
      <c r="Z204" s="14">
        <v>0</v>
      </c>
      <c r="AA204" s="14">
        <v>0</v>
      </c>
      <c r="AB204" s="14">
        <v>-5707917.7300000004</v>
      </c>
      <c r="AC204" s="13" t="str">
        <f t="shared" si="29"/>
        <v>OK</v>
      </c>
      <c r="AD204" s="14">
        <v>109926645.91</v>
      </c>
      <c r="AE204" s="14">
        <v>0</v>
      </c>
      <c r="AF204" s="14">
        <v>0</v>
      </c>
      <c r="AG204" s="14">
        <v>551498889.42999995</v>
      </c>
      <c r="AH204" s="14">
        <v>567889086.49000001</v>
      </c>
      <c r="AI204" s="13" t="str">
        <f t="shared" si="30"/>
        <v>OK</v>
      </c>
      <c r="AJ204" s="14">
        <v>2844278.13</v>
      </c>
      <c r="AK204" s="14">
        <v>3184578.24</v>
      </c>
      <c r="AL204" s="14">
        <v>0</v>
      </c>
      <c r="AM204" s="14">
        <v>0</v>
      </c>
      <c r="AN204" s="14">
        <v>3338267396</v>
      </c>
      <c r="AO204" s="14">
        <v>3338267396</v>
      </c>
      <c r="AP204" s="15">
        <f t="shared" si="31"/>
        <v>0</v>
      </c>
      <c r="AQ204" s="14">
        <v>242168282.16999999</v>
      </c>
      <c r="AR204" s="14">
        <v>242168282.16999999</v>
      </c>
      <c r="AS204" s="14">
        <v>0</v>
      </c>
      <c r="AT204" s="14">
        <v>0</v>
      </c>
      <c r="AU204" s="16">
        <f t="shared" si="32"/>
        <v>0</v>
      </c>
      <c r="AV204" s="13" t="str">
        <f t="shared" si="33"/>
        <v>NÃO</v>
      </c>
      <c r="AW204" s="13" t="str">
        <f t="shared" si="34"/>
        <v>OK</v>
      </c>
      <c r="AX204" s="13" t="str">
        <f t="shared" si="35"/>
        <v>OK</v>
      </c>
    </row>
    <row r="205" spans="1:50" x14ac:dyDescent="0.3">
      <c r="A205" s="10" t="s">
        <v>966</v>
      </c>
      <c r="B205" t="s">
        <v>1528</v>
      </c>
      <c r="C205" t="s">
        <v>1034</v>
      </c>
      <c r="D205" t="s">
        <v>1035</v>
      </c>
      <c r="E205" t="s">
        <v>70</v>
      </c>
      <c r="F205" t="s">
        <v>409</v>
      </c>
      <c r="G205" t="s">
        <v>60</v>
      </c>
      <c r="H205" t="s">
        <v>49</v>
      </c>
      <c r="I205" t="s">
        <v>50</v>
      </c>
      <c r="J205" t="s">
        <v>51</v>
      </c>
      <c r="K205" t="s">
        <v>51</v>
      </c>
      <c r="L205" t="s">
        <v>134</v>
      </c>
      <c r="M205">
        <v>0</v>
      </c>
      <c r="N205" s="11" t="str">
        <f t="shared" si="27"/>
        <v>OK</v>
      </c>
      <c r="O205" t="s">
        <v>51</v>
      </c>
      <c r="P205" t="s">
        <v>51</v>
      </c>
      <c r="Q205" t="s">
        <v>51</v>
      </c>
      <c r="R205" t="str">
        <f>VLOOKUP($D205,[1]Rascunho!$E$2:$S$296,15,FALSE)</f>
        <v>Site não disponível</v>
      </c>
      <c r="S205" s="12">
        <v>0</v>
      </c>
      <c r="T205" s="12">
        <v>0</v>
      </c>
      <c r="U205" s="13" t="str">
        <f t="shared" si="28"/>
        <v>OK</v>
      </c>
      <c r="V205" s="14">
        <v>720</v>
      </c>
      <c r="W205" s="14">
        <v>0</v>
      </c>
      <c r="X205" t="s">
        <v>51</v>
      </c>
      <c r="Y205" s="14">
        <v>0</v>
      </c>
      <c r="Z205" s="14">
        <v>0</v>
      </c>
      <c r="AA205" s="14">
        <v>0</v>
      </c>
      <c r="AB205" s="14">
        <v>-720</v>
      </c>
      <c r="AC205" s="13" t="str">
        <f t="shared" si="29"/>
        <v>OK</v>
      </c>
      <c r="AD205" s="14">
        <v>82.93</v>
      </c>
      <c r="AE205" s="14">
        <v>0</v>
      </c>
      <c r="AF205" s="14">
        <v>0</v>
      </c>
      <c r="AG205" s="14">
        <v>676</v>
      </c>
      <c r="AH205" s="14">
        <v>720</v>
      </c>
      <c r="AI205" s="13" t="str">
        <f t="shared" si="30"/>
        <v>INDÍCIO DE DEPENDÊNCIA POR SUBVENÇÃO</v>
      </c>
      <c r="AJ205" s="14">
        <v>0</v>
      </c>
      <c r="AK205" s="14">
        <v>0</v>
      </c>
      <c r="AL205" s="14">
        <v>0</v>
      </c>
      <c r="AM205" s="14">
        <v>0</v>
      </c>
      <c r="AN205" s="14">
        <v>376092373</v>
      </c>
      <c r="AO205" s="14">
        <v>376092373</v>
      </c>
      <c r="AP205" s="15">
        <f t="shared" si="31"/>
        <v>0</v>
      </c>
      <c r="AQ205" s="14">
        <v>9225032.8100000005</v>
      </c>
      <c r="AR205" s="14">
        <v>9225032.8100000005</v>
      </c>
      <c r="AS205" s="14">
        <v>0</v>
      </c>
      <c r="AT205" s="14">
        <v>0</v>
      </c>
      <c r="AU205" s="16">
        <f t="shared" si="32"/>
        <v>0</v>
      </c>
      <c r="AV205" s="13" t="str">
        <f t="shared" si="33"/>
        <v>NÃO</v>
      </c>
      <c r="AW205" s="13" t="str">
        <f t="shared" si="34"/>
        <v>OK</v>
      </c>
      <c r="AX205" s="13" t="str">
        <f t="shared" si="35"/>
        <v>OK</v>
      </c>
    </row>
    <row r="206" spans="1:50" x14ac:dyDescent="0.3">
      <c r="A206" s="10" t="s">
        <v>966</v>
      </c>
      <c r="B206" t="s">
        <v>1529</v>
      </c>
      <c r="C206" t="s">
        <v>978</v>
      </c>
      <c r="D206" t="s">
        <v>979</v>
      </c>
      <c r="E206" t="s">
        <v>46</v>
      </c>
      <c r="F206" t="s">
        <v>240</v>
      </c>
      <c r="G206" t="s">
        <v>48</v>
      </c>
      <c r="H206" t="s">
        <v>49</v>
      </c>
      <c r="I206" t="s">
        <v>50</v>
      </c>
      <c r="J206" t="s">
        <v>51</v>
      </c>
      <c r="K206" t="s">
        <v>51</v>
      </c>
      <c r="L206" t="s">
        <v>52</v>
      </c>
      <c r="M206">
        <v>424</v>
      </c>
      <c r="N206" s="11" t="str">
        <f t="shared" si="27"/>
        <v>OK</v>
      </c>
      <c r="O206" t="s">
        <v>54</v>
      </c>
      <c r="P206" t="s">
        <v>54</v>
      </c>
      <c r="Q206" t="s">
        <v>54</v>
      </c>
      <c r="R206" t="str">
        <f>VLOOKUP($D206,[1]Rascunho!$E$2:$S$296,15,FALSE)</f>
        <v>https://www.rj.gov.br/central/node/705</v>
      </c>
      <c r="S206" s="12">
        <v>5690692.0899999999</v>
      </c>
      <c r="T206" s="12">
        <v>37863796.420000002</v>
      </c>
      <c r="U206" s="13" t="str">
        <f t="shared" si="28"/>
        <v>OK</v>
      </c>
      <c r="V206" s="14">
        <v>71551282.180000007</v>
      </c>
      <c r="W206" s="14">
        <v>0</v>
      </c>
      <c r="X206" t="s">
        <v>51</v>
      </c>
      <c r="Y206" s="14">
        <v>206294.03</v>
      </c>
      <c r="Z206" s="14">
        <v>0</v>
      </c>
      <c r="AA206" s="14">
        <v>0</v>
      </c>
      <c r="AB206" s="14">
        <v>179441245.03</v>
      </c>
      <c r="AC206" s="13" t="str">
        <f t="shared" si="29"/>
        <v>OK</v>
      </c>
      <c r="AD206" s="14">
        <v>757192445.33000004</v>
      </c>
      <c r="AE206" s="14">
        <v>0</v>
      </c>
      <c r="AF206" s="14">
        <v>0</v>
      </c>
      <c r="AG206" s="14">
        <v>50088949.789999999</v>
      </c>
      <c r="AH206" s="14">
        <v>62515627.299999997</v>
      </c>
      <c r="AI206" s="13" t="str">
        <f t="shared" si="30"/>
        <v>OK</v>
      </c>
      <c r="AJ206" s="14">
        <v>7986437.3700000001</v>
      </c>
      <c r="AK206" s="14">
        <v>4569593.9400000004</v>
      </c>
      <c r="AL206" s="14">
        <v>0</v>
      </c>
      <c r="AM206" s="14">
        <v>0</v>
      </c>
      <c r="AN206" s="14">
        <v>72884768867</v>
      </c>
      <c r="AO206" s="14">
        <v>72884768867</v>
      </c>
      <c r="AP206" s="15">
        <f t="shared" si="31"/>
        <v>0</v>
      </c>
      <c r="AQ206" s="14">
        <v>996251938.23000002</v>
      </c>
      <c r="AR206" s="14">
        <v>996251938.23000002</v>
      </c>
      <c r="AS206" s="14">
        <v>0</v>
      </c>
      <c r="AT206" s="14">
        <v>0</v>
      </c>
      <c r="AU206" s="16">
        <f t="shared" si="32"/>
        <v>0</v>
      </c>
      <c r="AV206" s="13" t="str">
        <f t="shared" si="33"/>
        <v>NÃO</v>
      </c>
      <c r="AW206" s="13" t="str">
        <f t="shared" si="34"/>
        <v>OK</v>
      </c>
      <c r="AX206" s="13" t="str">
        <f t="shared" si="35"/>
        <v>OK</v>
      </c>
    </row>
    <row r="207" spans="1:50" x14ac:dyDescent="0.3">
      <c r="A207" s="10" t="s">
        <v>966</v>
      </c>
      <c r="B207" t="s">
        <v>1530</v>
      </c>
      <c r="C207" t="s">
        <v>1037</v>
      </c>
      <c r="D207" t="s">
        <v>1038</v>
      </c>
      <c r="E207" t="s">
        <v>70</v>
      </c>
      <c r="F207" t="s">
        <v>71</v>
      </c>
      <c r="G207" t="s">
        <v>60</v>
      </c>
      <c r="H207" t="s">
        <v>49</v>
      </c>
      <c r="I207" t="s">
        <v>50</v>
      </c>
      <c r="J207" t="s">
        <v>51</v>
      </c>
      <c r="K207" t="s">
        <v>51</v>
      </c>
      <c r="L207" t="s">
        <v>134</v>
      </c>
      <c r="M207">
        <v>0</v>
      </c>
      <c r="N207" s="11" t="str">
        <f t="shared" si="27"/>
        <v>OK</v>
      </c>
      <c r="O207" t="s">
        <v>51</v>
      </c>
      <c r="P207" t="s">
        <v>51</v>
      </c>
      <c r="Q207" t="s">
        <v>51</v>
      </c>
      <c r="R207" t="str">
        <f>VLOOKUP($D207,[1]Rascunho!$E$2:$S$296,15,FALSE)</f>
        <v>Site não disponível</v>
      </c>
      <c r="S207" s="12">
        <v>0</v>
      </c>
      <c r="T207" s="12">
        <v>0</v>
      </c>
      <c r="U207" s="13" t="str">
        <f t="shared" si="28"/>
        <v>OK</v>
      </c>
      <c r="V207" s="14">
        <v>820</v>
      </c>
      <c r="W207" s="14">
        <v>0</v>
      </c>
      <c r="X207" t="s">
        <v>51</v>
      </c>
      <c r="Y207" s="14">
        <v>0</v>
      </c>
      <c r="Z207" s="14">
        <v>0</v>
      </c>
      <c r="AA207" s="14">
        <v>0</v>
      </c>
      <c r="AB207" s="14">
        <v>-820</v>
      </c>
      <c r="AC207" s="13" t="str">
        <f t="shared" si="29"/>
        <v>OK</v>
      </c>
      <c r="AD207" s="14">
        <v>-172440.97</v>
      </c>
      <c r="AE207" s="14">
        <v>0</v>
      </c>
      <c r="AF207" s="14">
        <v>0</v>
      </c>
      <c r="AG207" s="14">
        <v>0</v>
      </c>
      <c r="AH207" s="14">
        <v>0</v>
      </c>
      <c r="AI207" s="13" t="str">
        <f t="shared" si="30"/>
        <v>OK</v>
      </c>
      <c r="AJ207" s="14">
        <v>0</v>
      </c>
      <c r="AK207" s="14">
        <v>0</v>
      </c>
      <c r="AL207" s="14">
        <v>0</v>
      </c>
      <c r="AM207" s="14">
        <v>0</v>
      </c>
      <c r="AN207" s="14">
        <v>4729443</v>
      </c>
      <c r="AO207" s="14">
        <v>4729443</v>
      </c>
      <c r="AP207" s="15">
        <f t="shared" si="31"/>
        <v>0</v>
      </c>
      <c r="AQ207" s="14">
        <v>4729443</v>
      </c>
      <c r="AR207" s="14">
        <v>4729443</v>
      </c>
      <c r="AS207" s="14">
        <v>0</v>
      </c>
      <c r="AT207" s="14">
        <v>0</v>
      </c>
      <c r="AU207" s="16">
        <f t="shared" si="32"/>
        <v>0</v>
      </c>
      <c r="AV207" s="13" t="str">
        <f t="shared" si="33"/>
        <v>NÃO</v>
      </c>
      <c r="AW207" s="13" t="str">
        <f t="shared" si="34"/>
        <v>OK</v>
      </c>
      <c r="AX207" s="13" t="str">
        <f t="shared" si="35"/>
        <v>OK</v>
      </c>
    </row>
    <row r="208" spans="1:50" x14ac:dyDescent="0.3">
      <c r="A208" s="10" t="s">
        <v>966</v>
      </c>
      <c r="B208" t="s">
        <v>1531</v>
      </c>
      <c r="C208" t="s">
        <v>981</v>
      </c>
      <c r="D208" t="s">
        <v>982</v>
      </c>
      <c r="E208" t="s">
        <v>46</v>
      </c>
      <c r="F208" t="s">
        <v>240</v>
      </c>
      <c r="G208" t="s">
        <v>60</v>
      </c>
      <c r="H208" t="s">
        <v>76</v>
      </c>
      <c r="I208" t="s">
        <v>50</v>
      </c>
      <c r="J208" t="s">
        <v>51</v>
      </c>
      <c r="K208" t="s">
        <v>51</v>
      </c>
      <c r="L208" t="s">
        <v>52</v>
      </c>
      <c r="M208">
        <v>133</v>
      </c>
      <c r="N208" s="11" t="str">
        <f t="shared" si="27"/>
        <v>OK</v>
      </c>
      <c r="O208" t="s">
        <v>54</v>
      </c>
      <c r="P208" t="s">
        <v>54</v>
      </c>
      <c r="Q208" t="s">
        <v>51</v>
      </c>
      <c r="R208" t="str">
        <f>VLOOKUP($D208,[1]Rascunho!$E$2:$S$296,15,FALSE)</f>
        <v>https://www.rj.gov.br/coderte/</v>
      </c>
      <c r="S208" s="12">
        <v>22615744.57</v>
      </c>
      <c r="T208" s="12">
        <v>10136828.140000001</v>
      </c>
      <c r="U208" s="13" t="str">
        <f t="shared" si="28"/>
        <v>OK</v>
      </c>
      <c r="V208" s="14">
        <v>55709511.700000003</v>
      </c>
      <c r="W208" s="14">
        <v>0</v>
      </c>
      <c r="X208" t="s">
        <v>51</v>
      </c>
      <c r="Y208" s="14">
        <v>217579.66</v>
      </c>
      <c r="Z208" s="14">
        <v>0</v>
      </c>
      <c r="AA208" s="14">
        <v>8910</v>
      </c>
      <c r="AB208" s="14">
        <v>-22636334.489999998</v>
      </c>
      <c r="AC208" s="13" t="str">
        <f t="shared" si="29"/>
        <v>OK</v>
      </c>
      <c r="AD208" s="14">
        <v>-31736236.77</v>
      </c>
      <c r="AE208" s="14">
        <v>0</v>
      </c>
      <c r="AF208" s="14">
        <v>0</v>
      </c>
      <c r="AG208" s="14">
        <v>0</v>
      </c>
      <c r="AH208" s="14">
        <v>0</v>
      </c>
      <c r="AI208" s="13" t="str">
        <f t="shared" si="30"/>
        <v>OK</v>
      </c>
      <c r="AJ208" s="14">
        <v>0</v>
      </c>
      <c r="AK208" s="14">
        <v>0</v>
      </c>
      <c r="AL208" s="14">
        <v>0</v>
      </c>
      <c r="AM208" s="14">
        <v>0</v>
      </c>
      <c r="AN208" s="14">
        <v>526313</v>
      </c>
      <c r="AO208" s="14">
        <v>526313</v>
      </c>
      <c r="AP208" s="15">
        <f t="shared" si="31"/>
        <v>0</v>
      </c>
      <c r="AQ208" s="14">
        <v>16872235.780000001</v>
      </c>
      <c r="AR208" s="14">
        <v>16872235.780000001</v>
      </c>
      <c r="AS208" s="14">
        <v>0</v>
      </c>
      <c r="AT208" s="14">
        <v>0</v>
      </c>
      <c r="AU208" s="16">
        <f t="shared" si="32"/>
        <v>0</v>
      </c>
      <c r="AV208" s="13" t="str">
        <f t="shared" si="33"/>
        <v>NÃO</v>
      </c>
      <c r="AW208" s="13" t="str">
        <f t="shared" si="34"/>
        <v>OK</v>
      </c>
      <c r="AX208" s="13" t="str">
        <f t="shared" si="35"/>
        <v>OK</v>
      </c>
    </row>
    <row r="209" spans="1:50" x14ac:dyDescent="0.3">
      <c r="A209" s="10" t="s">
        <v>966</v>
      </c>
      <c r="B209" t="s">
        <v>1532</v>
      </c>
      <c r="C209" t="s">
        <v>985</v>
      </c>
      <c r="D209" t="s">
        <v>986</v>
      </c>
      <c r="E209" t="s">
        <v>46</v>
      </c>
      <c r="F209" t="s">
        <v>65</v>
      </c>
      <c r="G209" t="s">
        <v>60</v>
      </c>
      <c r="H209" t="s">
        <v>49</v>
      </c>
      <c r="I209" t="s">
        <v>50</v>
      </c>
      <c r="J209" t="s">
        <v>51</v>
      </c>
      <c r="K209" t="s">
        <v>51</v>
      </c>
      <c r="L209" t="s">
        <v>52</v>
      </c>
      <c r="M209">
        <v>84</v>
      </c>
      <c r="N209" s="11" t="str">
        <f t="shared" si="27"/>
        <v>OK</v>
      </c>
      <c r="O209" t="s">
        <v>54</v>
      </c>
      <c r="P209" t="s">
        <v>54</v>
      </c>
      <c r="Q209" t="s">
        <v>54</v>
      </c>
      <c r="R209" t="str">
        <f>VLOOKUP($D209,[1]Rascunho!$E$2:$S$296,15,FALSE)</f>
        <v>https://www.codin.rj.gov.br/_files/ugd/c74752_057e39a3af2345ba875bbdd5a9389a38.pdf?index=true</v>
      </c>
      <c r="S209" s="12">
        <v>3612216.67</v>
      </c>
      <c r="T209" s="12">
        <v>7920958.9000000004</v>
      </c>
      <c r="U209" s="13" t="str">
        <f t="shared" si="28"/>
        <v>OK</v>
      </c>
      <c r="V209" s="14">
        <v>19523820.010000002</v>
      </c>
      <c r="W209" s="14">
        <v>0</v>
      </c>
      <c r="X209" t="s">
        <v>51</v>
      </c>
      <c r="Y209" s="14">
        <v>310512.31</v>
      </c>
      <c r="Z209" s="14">
        <v>0</v>
      </c>
      <c r="AA209" s="14">
        <v>7579</v>
      </c>
      <c r="AB209" s="14">
        <v>1936628.08</v>
      </c>
      <c r="AC209" s="13" t="str">
        <f t="shared" si="29"/>
        <v>OK</v>
      </c>
      <c r="AD209" s="14">
        <v>46715594.810000002</v>
      </c>
      <c r="AE209" s="14">
        <v>0</v>
      </c>
      <c r="AF209" s="14">
        <v>0</v>
      </c>
      <c r="AG209" s="14">
        <v>18257030.690000001</v>
      </c>
      <c r="AH209" s="14">
        <v>14213633</v>
      </c>
      <c r="AI209" s="13" t="str">
        <f t="shared" si="30"/>
        <v>OK</v>
      </c>
      <c r="AJ209" s="14">
        <v>1167329.32</v>
      </c>
      <c r="AK209" s="14">
        <v>912639.33</v>
      </c>
      <c r="AL209" s="14">
        <v>0</v>
      </c>
      <c r="AM209" s="14">
        <v>0</v>
      </c>
      <c r="AN209" s="14">
        <v>194429609</v>
      </c>
      <c r="AO209" s="14">
        <v>194429609</v>
      </c>
      <c r="AP209" s="15">
        <f t="shared" si="31"/>
        <v>0</v>
      </c>
      <c r="AQ209" s="14">
        <v>32114375.34</v>
      </c>
      <c r="AR209" s="14">
        <v>32114375.34</v>
      </c>
      <c r="AS209" s="14">
        <v>0</v>
      </c>
      <c r="AT209" s="14">
        <v>0</v>
      </c>
      <c r="AU209" s="16">
        <f t="shared" si="32"/>
        <v>0</v>
      </c>
      <c r="AV209" s="13" t="str">
        <f t="shared" si="33"/>
        <v>NÃO</v>
      </c>
      <c r="AW209" s="13" t="str">
        <f t="shared" si="34"/>
        <v>OK</v>
      </c>
      <c r="AX209" s="13" t="str">
        <f t="shared" si="35"/>
        <v>OK</v>
      </c>
    </row>
    <row r="210" spans="1:50" x14ac:dyDescent="0.3">
      <c r="A210" s="10" t="s">
        <v>966</v>
      </c>
      <c r="B210" t="s">
        <v>1533</v>
      </c>
      <c r="C210" t="s">
        <v>988</v>
      </c>
      <c r="D210" t="s">
        <v>989</v>
      </c>
      <c r="E210" t="s">
        <v>70</v>
      </c>
      <c r="F210" t="s">
        <v>240</v>
      </c>
      <c r="G210" t="s">
        <v>60</v>
      </c>
      <c r="H210" t="s">
        <v>49</v>
      </c>
      <c r="I210" t="s">
        <v>50</v>
      </c>
      <c r="J210" t="s">
        <v>51</v>
      </c>
      <c r="K210" t="s">
        <v>51</v>
      </c>
      <c r="L210" t="s">
        <v>52</v>
      </c>
      <c r="M210">
        <v>4</v>
      </c>
      <c r="N210" s="11" t="str">
        <f t="shared" si="27"/>
        <v>OK</v>
      </c>
      <c r="O210" t="s">
        <v>51</v>
      </c>
      <c r="P210" t="s">
        <v>51</v>
      </c>
      <c r="Q210" t="s">
        <v>51</v>
      </c>
      <c r="R210" t="str">
        <f>VLOOKUP($D210,[1]Rascunho!$E$2:$S$296,15,FALSE)</f>
        <v>Site não disponível</v>
      </c>
      <c r="S210" s="12">
        <v>493621.06</v>
      </c>
      <c r="T210" s="12">
        <v>417259.89</v>
      </c>
      <c r="U210" s="13" t="str">
        <f t="shared" si="28"/>
        <v>OK</v>
      </c>
      <c r="V210" s="14">
        <v>956712.97</v>
      </c>
      <c r="W210" s="14">
        <v>0</v>
      </c>
      <c r="X210" t="s">
        <v>51</v>
      </c>
      <c r="Y210" s="14">
        <v>95999.99</v>
      </c>
      <c r="Z210" s="14">
        <v>0</v>
      </c>
      <c r="AA210" s="14">
        <v>0</v>
      </c>
      <c r="AB210" s="14">
        <v>8570.67</v>
      </c>
      <c r="AC210" s="13" t="str">
        <f t="shared" si="29"/>
        <v>OK</v>
      </c>
      <c r="AD210" s="14">
        <v>-5845922.9500000002</v>
      </c>
      <c r="AE210" s="14">
        <v>0</v>
      </c>
      <c r="AF210" s="14">
        <v>0</v>
      </c>
      <c r="AG210" s="14">
        <v>424228.59</v>
      </c>
      <c r="AH210" s="14">
        <v>479938.78</v>
      </c>
      <c r="AI210" s="13" t="str">
        <f t="shared" si="30"/>
        <v>OK</v>
      </c>
      <c r="AJ210" s="14">
        <v>2992296.37</v>
      </c>
      <c r="AK210" s="14">
        <v>2992296.37</v>
      </c>
      <c r="AL210" s="14">
        <v>0</v>
      </c>
      <c r="AM210" s="14">
        <v>0</v>
      </c>
      <c r="AN210" s="14">
        <v>71249</v>
      </c>
      <c r="AO210" s="14">
        <v>71249</v>
      </c>
      <c r="AP210" s="15">
        <f t="shared" si="31"/>
        <v>0</v>
      </c>
      <c r="AQ210" s="14">
        <v>70025960.790000007</v>
      </c>
      <c r="AR210" s="14">
        <v>70025960.790000007</v>
      </c>
      <c r="AS210" s="14">
        <v>0</v>
      </c>
      <c r="AT210" s="14">
        <v>0</v>
      </c>
      <c r="AU210" s="16">
        <f t="shared" si="32"/>
        <v>0</v>
      </c>
      <c r="AV210" s="13" t="str">
        <f t="shared" si="33"/>
        <v>NÃO</v>
      </c>
      <c r="AW210" s="13" t="str">
        <f t="shared" si="34"/>
        <v>OK</v>
      </c>
      <c r="AX210" s="13" t="str">
        <f t="shared" si="35"/>
        <v>OK</v>
      </c>
    </row>
    <row r="211" spans="1:50" x14ac:dyDescent="0.3">
      <c r="A211" s="10" t="s">
        <v>966</v>
      </c>
      <c r="B211" t="s">
        <v>1534</v>
      </c>
      <c r="C211" t="s">
        <v>1040</v>
      </c>
      <c r="D211" t="s">
        <v>1041</v>
      </c>
      <c r="E211" t="s">
        <v>70</v>
      </c>
      <c r="F211" t="s">
        <v>71</v>
      </c>
      <c r="G211" t="s">
        <v>60</v>
      </c>
      <c r="H211" t="s">
        <v>49</v>
      </c>
      <c r="I211" t="s">
        <v>50</v>
      </c>
      <c r="J211" t="s">
        <v>51</v>
      </c>
      <c r="K211" t="s">
        <v>51</v>
      </c>
      <c r="L211" t="s">
        <v>134</v>
      </c>
      <c r="M211">
        <v>0</v>
      </c>
      <c r="N211" s="11" t="str">
        <f t="shared" si="27"/>
        <v>OK</v>
      </c>
      <c r="O211" t="s">
        <v>51</v>
      </c>
      <c r="P211" t="s">
        <v>51</v>
      </c>
      <c r="Q211" t="s">
        <v>51</v>
      </c>
      <c r="R211" t="str">
        <f>VLOOKUP($D211,[1]Rascunho!$E$2:$S$296,15,FALSE)</f>
        <v>Site não disponível</v>
      </c>
      <c r="S211" s="12">
        <v>279456.96000000002</v>
      </c>
      <c r="T211" s="12">
        <v>0</v>
      </c>
      <c r="U211" s="13" t="str">
        <f t="shared" si="28"/>
        <v>OK</v>
      </c>
      <c r="V211" s="14">
        <v>235981.8</v>
      </c>
      <c r="W211" s="14">
        <v>0</v>
      </c>
      <c r="X211" t="s">
        <v>51</v>
      </c>
      <c r="Y211" s="14">
        <v>0</v>
      </c>
      <c r="Z211" s="14">
        <v>0</v>
      </c>
      <c r="AA211" s="14">
        <v>0</v>
      </c>
      <c r="AB211" s="14">
        <v>43475.16</v>
      </c>
      <c r="AC211" s="13" t="str">
        <f t="shared" si="29"/>
        <v>OK</v>
      </c>
      <c r="AD211" s="14">
        <v>739933.75</v>
      </c>
      <c r="AE211" s="14">
        <v>0</v>
      </c>
      <c r="AF211" s="14">
        <v>0</v>
      </c>
      <c r="AG211" s="14">
        <v>0</v>
      </c>
      <c r="AH211" s="14">
        <v>0</v>
      </c>
      <c r="AI211" s="13" t="str">
        <f t="shared" si="30"/>
        <v>OK</v>
      </c>
      <c r="AJ211" s="14">
        <v>0</v>
      </c>
      <c r="AK211" s="14">
        <v>0</v>
      </c>
      <c r="AL211" s="14">
        <v>0</v>
      </c>
      <c r="AM211" s="14">
        <v>0</v>
      </c>
      <c r="AN211" s="14">
        <v>67419895</v>
      </c>
      <c r="AO211" s="14">
        <v>67419895</v>
      </c>
      <c r="AP211" s="15">
        <f t="shared" si="31"/>
        <v>0</v>
      </c>
      <c r="AQ211" s="14">
        <v>11467019.41</v>
      </c>
      <c r="AR211" s="14">
        <v>11467019.41</v>
      </c>
      <c r="AS211" s="14">
        <v>0</v>
      </c>
      <c r="AT211" s="14">
        <v>0</v>
      </c>
      <c r="AU211" s="16">
        <f t="shared" si="32"/>
        <v>0</v>
      </c>
      <c r="AV211" s="13" t="str">
        <f t="shared" si="33"/>
        <v>NÃO</v>
      </c>
      <c r="AW211" s="13" t="str">
        <f t="shared" si="34"/>
        <v>OK</v>
      </c>
      <c r="AX211" s="13" t="str">
        <f t="shared" si="35"/>
        <v>OK</v>
      </c>
    </row>
    <row r="212" spans="1:50" x14ac:dyDescent="0.3">
      <c r="A212" s="10" t="s">
        <v>966</v>
      </c>
      <c r="B212" t="s">
        <v>1535</v>
      </c>
      <c r="C212" t="s">
        <v>991</v>
      </c>
      <c r="D212" t="s">
        <v>992</v>
      </c>
      <c r="E212" t="s">
        <v>46</v>
      </c>
      <c r="F212" t="s">
        <v>102</v>
      </c>
      <c r="G212" t="s">
        <v>48</v>
      </c>
      <c r="H212" t="s">
        <v>49</v>
      </c>
      <c r="I212" t="s">
        <v>50</v>
      </c>
      <c r="J212" t="s">
        <v>51</v>
      </c>
      <c r="K212" t="s">
        <v>51</v>
      </c>
      <c r="L212" t="s">
        <v>52</v>
      </c>
      <c r="M212">
        <v>573</v>
      </c>
      <c r="N212" s="11" t="str">
        <f t="shared" si="27"/>
        <v>OK</v>
      </c>
      <c r="O212" t="s">
        <v>54</v>
      </c>
      <c r="P212" t="s">
        <v>54</v>
      </c>
      <c r="Q212" t="s">
        <v>51</v>
      </c>
      <c r="R212" t="str">
        <f>VLOOKUP($D212,[1]Rascunho!$E$2:$S$296,15,FALSE)</f>
        <v>https://www.rj.gov.br/emater/</v>
      </c>
      <c r="S212" s="12">
        <v>102414.78</v>
      </c>
      <c r="T212" s="12">
        <v>103614485.26000001</v>
      </c>
      <c r="U212" s="13" t="str">
        <f t="shared" si="28"/>
        <v>OK</v>
      </c>
      <c r="V212" s="14">
        <v>123803968.39</v>
      </c>
      <c r="W212" s="14">
        <v>1647044.67</v>
      </c>
      <c r="X212" t="s">
        <v>51</v>
      </c>
      <c r="Y212" s="14">
        <v>354752.36</v>
      </c>
      <c r="Z212" s="14">
        <v>0</v>
      </c>
      <c r="AA212" s="14">
        <v>3064.5</v>
      </c>
      <c r="AB212" s="14">
        <v>-79258.23</v>
      </c>
      <c r="AC212" s="13" t="str">
        <f t="shared" si="29"/>
        <v>OK</v>
      </c>
      <c r="AD212" s="14">
        <v>-79258.23</v>
      </c>
      <c r="AE212" s="14">
        <v>0</v>
      </c>
      <c r="AF212" s="14">
        <v>0</v>
      </c>
      <c r="AG212" s="14">
        <v>104733451.65000001</v>
      </c>
      <c r="AH212" s="14">
        <v>131768902.88</v>
      </c>
      <c r="AI212" s="13" t="str">
        <f t="shared" si="30"/>
        <v>OK</v>
      </c>
      <c r="AJ212" s="14">
        <v>70874977.859999999</v>
      </c>
      <c r="AK212" s="14">
        <v>62645626.090000004</v>
      </c>
      <c r="AL212" s="14">
        <v>0</v>
      </c>
      <c r="AM212" s="14">
        <v>0</v>
      </c>
      <c r="AN212" s="14">
        <v>1307307880</v>
      </c>
      <c r="AO212" s="14">
        <v>1307307880</v>
      </c>
      <c r="AP212" s="15">
        <f t="shared" si="31"/>
        <v>0</v>
      </c>
      <c r="AQ212" s="14">
        <v>8310646.5499999998</v>
      </c>
      <c r="AR212" s="14">
        <v>8310646.5499999998</v>
      </c>
      <c r="AS212" s="14">
        <v>0</v>
      </c>
      <c r="AT212" s="14">
        <v>0</v>
      </c>
      <c r="AU212" s="16">
        <f t="shared" si="32"/>
        <v>0</v>
      </c>
      <c r="AV212" s="13" t="str">
        <f t="shared" si="33"/>
        <v>NÃO</v>
      </c>
      <c r="AW212" s="13" t="str">
        <f t="shared" si="34"/>
        <v>OK</v>
      </c>
      <c r="AX212" s="13" t="str">
        <f t="shared" si="35"/>
        <v>OK</v>
      </c>
    </row>
    <row r="213" spans="1:50" ht="28.8" x14ac:dyDescent="0.3">
      <c r="A213" s="10" t="s">
        <v>966</v>
      </c>
      <c r="B213" t="s">
        <v>995</v>
      </c>
      <c r="C213" t="s">
        <v>996</v>
      </c>
      <c r="D213" t="s">
        <v>997</v>
      </c>
      <c r="E213" t="s">
        <v>46</v>
      </c>
      <c r="F213" s="6" t="s">
        <v>93</v>
      </c>
      <c r="G213" t="s">
        <v>48</v>
      </c>
      <c r="H213" t="s">
        <v>49</v>
      </c>
      <c r="I213" t="s">
        <v>50</v>
      </c>
      <c r="J213" t="s">
        <v>51</v>
      </c>
      <c r="K213" t="s">
        <v>51</v>
      </c>
      <c r="L213" t="s">
        <v>52</v>
      </c>
      <c r="M213">
        <v>4902</v>
      </c>
      <c r="N213" s="11" t="str">
        <f t="shared" si="27"/>
        <v>OK</v>
      </c>
      <c r="O213" t="s">
        <v>54</v>
      </c>
      <c r="P213" t="s">
        <v>54</v>
      </c>
      <c r="Q213" t="s">
        <v>51</v>
      </c>
      <c r="R213" t="str">
        <f>VLOOKUP($D213,[1]Rascunho!$E$2:$S$296,15,FALSE)</f>
        <v>https://www.emop.rj.gov.br/</v>
      </c>
      <c r="S213" s="12">
        <v>253996.22</v>
      </c>
      <c r="T213" s="12">
        <v>49650932.189999998</v>
      </c>
      <c r="U213" s="13" t="str">
        <f t="shared" si="28"/>
        <v>OK</v>
      </c>
      <c r="V213" s="14">
        <v>50896251.189999998</v>
      </c>
      <c r="W213" s="14">
        <v>1245319</v>
      </c>
      <c r="X213" t="s">
        <v>51</v>
      </c>
      <c r="Y213" s="14">
        <v>455242.29</v>
      </c>
      <c r="Z213" s="14">
        <v>0</v>
      </c>
      <c r="AA213" s="14">
        <v>6935.33</v>
      </c>
      <c r="AB213" s="14">
        <v>-6756573.8899999997</v>
      </c>
      <c r="AC213" s="13" t="str">
        <f t="shared" si="29"/>
        <v>OK</v>
      </c>
      <c r="AD213" s="14">
        <v>-203988333.41999999</v>
      </c>
      <c r="AE213" s="14">
        <v>0</v>
      </c>
      <c r="AF213" s="14">
        <v>0</v>
      </c>
      <c r="AG213" s="14">
        <v>0</v>
      </c>
      <c r="AH213" s="14">
        <v>0</v>
      </c>
      <c r="AI213" s="13" t="str">
        <f t="shared" si="30"/>
        <v>OK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5">
        <f t="shared" si="31"/>
        <v>0</v>
      </c>
      <c r="AQ213" s="14">
        <v>2478567.69</v>
      </c>
      <c r="AR213" s="14">
        <v>2478567.69</v>
      </c>
      <c r="AS213" s="14">
        <v>0</v>
      </c>
      <c r="AT213" s="14">
        <v>0</v>
      </c>
      <c r="AU213" s="16">
        <f t="shared" si="32"/>
        <v>0</v>
      </c>
      <c r="AV213" s="13" t="str">
        <f t="shared" si="33"/>
        <v>NÃO</v>
      </c>
      <c r="AW213" s="13" t="str">
        <f t="shared" si="34"/>
        <v>OK</v>
      </c>
      <c r="AX213" s="13" t="str">
        <f t="shared" si="35"/>
        <v>OK</v>
      </c>
    </row>
    <row r="214" spans="1:50" x14ac:dyDescent="0.3">
      <c r="A214" s="10" t="s">
        <v>966</v>
      </c>
      <c r="B214" t="s">
        <v>1536</v>
      </c>
      <c r="C214" t="s">
        <v>1000</v>
      </c>
      <c r="D214" t="s">
        <v>1001</v>
      </c>
      <c r="E214" t="s">
        <v>70</v>
      </c>
      <c r="F214" t="s">
        <v>240</v>
      </c>
      <c r="G214" t="s">
        <v>48</v>
      </c>
      <c r="H214" t="s">
        <v>49</v>
      </c>
      <c r="I214" t="s">
        <v>50</v>
      </c>
      <c r="J214" t="s">
        <v>51</v>
      </c>
      <c r="K214" t="s">
        <v>51</v>
      </c>
      <c r="L214" t="s">
        <v>52</v>
      </c>
      <c r="M214">
        <v>5</v>
      </c>
      <c r="N214" s="11" t="str">
        <f t="shared" si="27"/>
        <v>OK</v>
      </c>
      <c r="O214" t="s">
        <v>51</v>
      </c>
      <c r="P214" t="s">
        <v>51</v>
      </c>
      <c r="Q214" t="s">
        <v>51</v>
      </c>
      <c r="R214" t="str">
        <f>VLOOKUP($D214,[1]Rascunho!$E$2:$S$296,15,FALSE)</f>
        <v>Site não disponível</v>
      </c>
      <c r="S214" s="12">
        <v>3144093.62</v>
      </c>
      <c r="T214" s="12">
        <v>437982.03</v>
      </c>
      <c r="U214" s="13" t="str">
        <f t="shared" si="28"/>
        <v>OK</v>
      </c>
      <c r="V214" s="14">
        <v>3148093.62</v>
      </c>
      <c r="W214" s="14">
        <v>0</v>
      </c>
      <c r="X214" t="s">
        <v>51</v>
      </c>
      <c r="Y214" s="14">
        <v>0</v>
      </c>
      <c r="Z214" s="14">
        <v>0</v>
      </c>
      <c r="AA214" s="14">
        <v>0</v>
      </c>
      <c r="AB214" s="14">
        <v>-27065803.100000001</v>
      </c>
      <c r="AC214" s="13" t="str">
        <f t="shared" si="29"/>
        <v>OK</v>
      </c>
      <c r="AD214" s="14">
        <v>-1230075437.6700001</v>
      </c>
      <c r="AE214" s="14">
        <v>0</v>
      </c>
      <c r="AF214" s="14">
        <v>0</v>
      </c>
      <c r="AG214" s="14">
        <v>3017954.29</v>
      </c>
      <c r="AH214" s="14">
        <v>3144093.62</v>
      </c>
      <c r="AI214" s="13" t="str">
        <f t="shared" si="30"/>
        <v>OK</v>
      </c>
      <c r="AJ214" s="14">
        <v>0</v>
      </c>
      <c r="AK214" s="14">
        <v>0</v>
      </c>
      <c r="AL214" s="14">
        <v>0</v>
      </c>
      <c r="AM214" s="14">
        <v>0</v>
      </c>
      <c r="AN214" s="14">
        <v>72884768814</v>
      </c>
      <c r="AO214" s="14">
        <v>72884768814</v>
      </c>
      <c r="AP214" s="15">
        <f t="shared" si="31"/>
        <v>0</v>
      </c>
      <c r="AQ214" s="14">
        <v>9430415.9800000004</v>
      </c>
      <c r="AR214" s="14">
        <v>9430415.9800000004</v>
      </c>
      <c r="AS214" s="14">
        <v>0</v>
      </c>
      <c r="AT214" s="14">
        <v>0</v>
      </c>
      <c r="AU214" s="16">
        <f t="shared" si="32"/>
        <v>0</v>
      </c>
      <c r="AV214" s="13" t="str">
        <f t="shared" si="33"/>
        <v>NÃO</v>
      </c>
      <c r="AW214" s="13" t="str">
        <f t="shared" si="34"/>
        <v>OK</v>
      </c>
      <c r="AX214" s="13" t="str">
        <f t="shared" si="35"/>
        <v>OK</v>
      </c>
    </row>
    <row r="215" spans="1:50" x14ac:dyDescent="0.3">
      <c r="A215" s="10" t="s">
        <v>966</v>
      </c>
      <c r="B215" t="s">
        <v>1537</v>
      </c>
      <c r="C215" t="s">
        <v>1043</v>
      </c>
      <c r="D215" t="s">
        <v>1044</v>
      </c>
      <c r="E215" t="s">
        <v>46</v>
      </c>
      <c r="F215" t="s">
        <v>150</v>
      </c>
      <c r="G215" t="s">
        <v>48</v>
      </c>
      <c r="H215" t="s">
        <v>76</v>
      </c>
      <c r="I215" t="s">
        <v>50</v>
      </c>
      <c r="J215" t="s">
        <v>51</v>
      </c>
      <c r="K215" t="s">
        <v>51</v>
      </c>
      <c r="L215" t="s">
        <v>134</v>
      </c>
      <c r="M215">
        <v>226</v>
      </c>
      <c r="N215" s="11" t="str">
        <f t="shared" si="27"/>
        <v>OK</v>
      </c>
      <c r="O215" t="s">
        <v>54</v>
      </c>
      <c r="P215" t="s">
        <v>54</v>
      </c>
      <c r="Q215" t="s">
        <v>54</v>
      </c>
      <c r="R215" t="str">
        <f>VLOOKUP($D215,[1]Rascunho!$E$2:$S$296,15,FALSE)</f>
        <v>https://portal.ioerj.com.br/</v>
      </c>
      <c r="S215" s="12">
        <v>18490503.66</v>
      </c>
      <c r="T215" s="12">
        <v>29550490.73</v>
      </c>
      <c r="U215" s="13" t="str">
        <f t="shared" si="28"/>
        <v>OK</v>
      </c>
      <c r="V215" s="14">
        <v>40768668.509999998</v>
      </c>
      <c r="W215" s="14">
        <v>730015.2</v>
      </c>
      <c r="X215" t="s">
        <v>51</v>
      </c>
      <c r="Y215" s="14">
        <v>238113.36</v>
      </c>
      <c r="Z215" s="14">
        <v>0</v>
      </c>
      <c r="AA215" s="14">
        <v>0</v>
      </c>
      <c r="AB215" s="14">
        <v>-33457578.710000001</v>
      </c>
      <c r="AC215" s="13" t="str">
        <f t="shared" si="29"/>
        <v>OK</v>
      </c>
      <c r="AD215" s="14">
        <v>83201951.890000001</v>
      </c>
      <c r="AE215" s="14">
        <v>0</v>
      </c>
      <c r="AF215" s="14">
        <v>0</v>
      </c>
      <c r="AG215" s="14">
        <v>0</v>
      </c>
      <c r="AH215" s="14">
        <v>0</v>
      </c>
      <c r="AI215" s="13" t="str">
        <f t="shared" si="30"/>
        <v>OK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5">
        <f t="shared" si="31"/>
        <v>0</v>
      </c>
      <c r="AQ215" s="14">
        <v>99385118.920000002</v>
      </c>
      <c r="AR215" s="14">
        <v>99385118.920000002</v>
      </c>
      <c r="AS215" s="14">
        <v>0</v>
      </c>
      <c r="AT215" s="14">
        <v>0</v>
      </c>
      <c r="AU215" s="16">
        <f t="shared" si="32"/>
        <v>0</v>
      </c>
      <c r="AV215" s="13" t="str">
        <f t="shared" si="33"/>
        <v>NÃO</v>
      </c>
      <c r="AW215" s="13" t="str">
        <f t="shared" si="34"/>
        <v>OK</v>
      </c>
      <c r="AX215" s="13" t="str">
        <f t="shared" si="35"/>
        <v>OK</v>
      </c>
    </row>
    <row r="216" spans="1:50" x14ac:dyDescent="0.3">
      <c r="A216" s="10" t="s">
        <v>966</v>
      </c>
      <c r="B216" t="s">
        <v>1538</v>
      </c>
      <c r="C216" t="s">
        <v>1003</v>
      </c>
      <c r="D216" t="s">
        <v>1004</v>
      </c>
      <c r="E216" t="s">
        <v>46</v>
      </c>
      <c r="F216" t="s">
        <v>121</v>
      </c>
      <c r="G216" t="s">
        <v>60</v>
      </c>
      <c r="H216" t="s">
        <v>49</v>
      </c>
      <c r="I216" t="s">
        <v>373</v>
      </c>
      <c r="J216" t="s">
        <v>51</v>
      </c>
      <c r="K216" t="s">
        <v>51</v>
      </c>
      <c r="L216" t="s">
        <v>52</v>
      </c>
      <c r="M216">
        <v>416</v>
      </c>
      <c r="N216" s="11" t="str">
        <f t="shared" si="27"/>
        <v>OK</v>
      </c>
      <c r="O216" t="s">
        <v>54</v>
      </c>
      <c r="P216" t="s">
        <v>54</v>
      </c>
      <c r="Q216" t="s">
        <v>54</v>
      </c>
      <c r="R216" t="str">
        <f>VLOOKUP($D216,[1]Rascunho!$E$2:$S$296,15,FALSE)</f>
        <v>https://www.rj.gov.br/vitalbrazil/</v>
      </c>
      <c r="S216" s="12">
        <v>0</v>
      </c>
      <c r="T216" s="12">
        <v>56143528.039999999</v>
      </c>
      <c r="U216" s="13" t="str">
        <f t="shared" si="28"/>
        <v>OK</v>
      </c>
      <c r="V216" s="14">
        <v>90827865.930000007</v>
      </c>
      <c r="W216" s="14">
        <v>303874.26</v>
      </c>
      <c r="X216" t="s">
        <v>51</v>
      </c>
      <c r="Y216" s="14">
        <v>251873.89</v>
      </c>
      <c r="Z216" s="14">
        <v>0</v>
      </c>
      <c r="AA216" s="14">
        <v>0</v>
      </c>
      <c r="AB216" s="14">
        <v>12035561.66</v>
      </c>
      <c r="AC216" s="13" t="str">
        <f t="shared" si="29"/>
        <v>OK</v>
      </c>
      <c r="AD216" s="14">
        <v>11921678.609999999</v>
      </c>
      <c r="AE216" s="14">
        <v>0</v>
      </c>
      <c r="AF216" s="14">
        <v>0</v>
      </c>
      <c r="AG216" s="14">
        <v>176987827.74000001</v>
      </c>
      <c r="AH216" s="14">
        <v>92913731.140000001</v>
      </c>
      <c r="AI216" s="13" t="str">
        <f t="shared" si="30"/>
        <v>OK</v>
      </c>
      <c r="AJ216" s="14">
        <v>744686.26</v>
      </c>
      <c r="AK216" s="14">
        <v>744686.26</v>
      </c>
      <c r="AL216" s="14">
        <v>0</v>
      </c>
      <c r="AM216" s="14">
        <v>0</v>
      </c>
      <c r="AN216" s="14">
        <v>199200</v>
      </c>
      <c r="AO216" s="14">
        <v>199200</v>
      </c>
      <c r="AP216" s="15">
        <f t="shared" si="31"/>
        <v>0</v>
      </c>
      <c r="AQ216" s="14">
        <v>15960044.109999999</v>
      </c>
      <c r="AR216" s="14">
        <v>15960044.109999999</v>
      </c>
      <c r="AS216" s="14">
        <v>0</v>
      </c>
      <c r="AT216" s="14">
        <v>0</v>
      </c>
      <c r="AU216" s="16">
        <f t="shared" si="32"/>
        <v>0</v>
      </c>
      <c r="AV216" s="13" t="str">
        <f t="shared" si="33"/>
        <v>NÃO</v>
      </c>
      <c r="AW216" s="13" t="str">
        <f t="shared" si="34"/>
        <v>OK</v>
      </c>
      <c r="AX216" s="13" t="str">
        <f t="shared" si="35"/>
        <v>OK</v>
      </c>
    </row>
    <row r="217" spans="1:50" x14ac:dyDescent="0.3">
      <c r="A217" s="10" t="s">
        <v>966</v>
      </c>
      <c r="B217" t="s">
        <v>1539</v>
      </c>
      <c r="C217" t="s">
        <v>1007</v>
      </c>
      <c r="D217" t="s">
        <v>1008</v>
      </c>
      <c r="E217" t="s">
        <v>70</v>
      </c>
      <c r="F217" t="s">
        <v>240</v>
      </c>
      <c r="G217" t="s">
        <v>60</v>
      </c>
      <c r="H217" t="s">
        <v>49</v>
      </c>
      <c r="I217" t="s">
        <v>50</v>
      </c>
      <c r="J217" t="s">
        <v>51</v>
      </c>
      <c r="K217" t="s">
        <v>51</v>
      </c>
      <c r="L217" t="s">
        <v>52</v>
      </c>
      <c r="M217">
        <v>0</v>
      </c>
      <c r="N217" s="11" t="str">
        <f t="shared" si="27"/>
        <v>OK</v>
      </c>
      <c r="O217" t="s">
        <v>51</v>
      </c>
      <c r="P217" t="s">
        <v>51</v>
      </c>
      <c r="Q217" t="s">
        <v>51</v>
      </c>
      <c r="R217" t="str">
        <f>VLOOKUP($D217,[1]Rascunho!$E$2:$S$296,15,FALSE)</f>
        <v>Site não disponível</v>
      </c>
      <c r="S217" s="12">
        <v>14851.29</v>
      </c>
      <c r="T217" s="12">
        <v>0</v>
      </c>
      <c r="U217" s="13" t="str">
        <f t="shared" si="28"/>
        <v>OK</v>
      </c>
      <c r="V217" s="14">
        <v>18851.29</v>
      </c>
      <c r="W217" s="14">
        <v>0</v>
      </c>
      <c r="X217" t="s">
        <v>51</v>
      </c>
      <c r="Y217" s="14">
        <v>0</v>
      </c>
      <c r="Z217" s="14">
        <v>0</v>
      </c>
      <c r="AA217" s="14">
        <v>0</v>
      </c>
      <c r="AB217" s="14">
        <v>-10390211.48</v>
      </c>
      <c r="AC217" s="13" t="str">
        <f t="shared" si="29"/>
        <v>OK</v>
      </c>
      <c r="AD217" s="14">
        <v>-667165118.03999996</v>
      </c>
      <c r="AE217" s="14">
        <v>0</v>
      </c>
      <c r="AF217" s="14">
        <v>0</v>
      </c>
      <c r="AG217" s="14">
        <v>13295.15</v>
      </c>
      <c r="AH217" s="14">
        <v>14851.15</v>
      </c>
      <c r="AI217" s="13" t="str">
        <f t="shared" si="30"/>
        <v>OK</v>
      </c>
      <c r="AJ217" s="14">
        <v>0</v>
      </c>
      <c r="AK217" s="14">
        <v>0</v>
      </c>
      <c r="AL217" s="14">
        <v>0</v>
      </c>
      <c r="AM217" s="14">
        <v>0</v>
      </c>
      <c r="AN217" s="14">
        <v>9818650394</v>
      </c>
      <c r="AO217" s="14">
        <v>9818650394</v>
      </c>
      <c r="AP217" s="15">
        <f t="shared" si="31"/>
        <v>0</v>
      </c>
      <c r="AQ217" s="14">
        <v>4128123850.7399998</v>
      </c>
      <c r="AR217" s="14">
        <v>4128123850.7399998</v>
      </c>
      <c r="AS217" s="14">
        <v>0</v>
      </c>
      <c r="AT217" s="14">
        <v>0</v>
      </c>
      <c r="AU217" s="16">
        <f t="shared" si="32"/>
        <v>0</v>
      </c>
      <c r="AV217" s="13" t="str">
        <f t="shared" si="33"/>
        <v>NÃO</v>
      </c>
      <c r="AW217" s="13" t="str">
        <f t="shared" si="34"/>
        <v>OK</v>
      </c>
      <c r="AX217" s="13" t="str">
        <f t="shared" si="35"/>
        <v>OK</v>
      </c>
    </row>
    <row r="218" spans="1:50" x14ac:dyDescent="0.3">
      <c r="A218" s="10" t="s">
        <v>966</v>
      </c>
      <c r="B218" t="s">
        <v>1540</v>
      </c>
      <c r="C218" t="s">
        <v>1010</v>
      </c>
      <c r="D218" t="s">
        <v>1011</v>
      </c>
      <c r="E218" t="s">
        <v>46</v>
      </c>
      <c r="F218" t="s">
        <v>102</v>
      </c>
      <c r="G218" t="s">
        <v>48</v>
      </c>
      <c r="H218" t="s">
        <v>49</v>
      </c>
      <c r="I218" t="s">
        <v>50</v>
      </c>
      <c r="J218" t="s">
        <v>51</v>
      </c>
      <c r="K218" t="s">
        <v>51</v>
      </c>
      <c r="L218" t="s">
        <v>52</v>
      </c>
      <c r="M218">
        <v>248</v>
      </c>
      <c r="N218" s="11" t="str">
        <f t="shared" si="27"/>
        <v>OK</v>
      </c>
      <c r="O218" t="s">
        <v>54</v>
      </c>
      <c r="P218" t="s">
        <v>54</v>
      </c>
      <c r="Q218" t="s">
        <v>51</v>
      </c>
      <c r="R218" t="str">
        <f>VLOOKUP($D218,[1]Rascunho!$E$2:$S$296,15,FALSE)</f>
        <v>https://www.rj.gov.br/pesagro/estatutosocial</v>
      </c>
      <c r="S218" s="12">
        <v>50685.59</v>
      </c>
      <c r="T218" s="12">
        <v>39928849.75</v>
      </c>
      <c r="U218" s="13" t="str">
        <f t="shared" si="28"/>
        <v>OK</v>
      </c>
      <c r="V218" s="14">
        <v>58494776.549999997</v>
      </c>
      <c r="W218" s="14">
        <v>3925485.25</v>
      </c>
      <c r="X218" t="s">
        <v>51</v>
      </c>
      <c r="Y218" s="14">
        <v>366283.4</v>
      </c>
      <c r="Z218" s="14">
        <v>0</v>
      </c>
      <c r="AA218" s="14">
        <v>0</v>
      </c>
      <c r="AB218" s="14">
        <v>1349619.17</v>
      </c>
      <c r="AC218" s="13" t="str">
        <f t="shared" si="29"/>
        <v>OK</v>
      </c>
      <c r="AD218" s="14">
        <v>6533763.0899999999</v>
      </c>
      <c r="AE218" s="14">
        <v>0</v>
      </c>
      <c r="AF218" s="14">
        <v>0</v>
      </c>
      <c r="AG218" s="14">
        <v>0</v>
      </c>
      <c r="AH218" s="14">
        <v>0</v>
      </c>
      <c r="AI218" s="13" t="str">
        <f t="shared" si="30"/>
        <v>OK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5">
        <f t="shared" si="31"/>
        <v>0</v>
      </c>
      <c r="AQ218" s="14">
        <v>811974.32</v>
      </c>
      <c r="AR218" s="14">
        <v>811974.32</v>
      </c>
      <c r="AS218" s="14">
        <v>0</v>
      </c>
      <c r="AT218" s="14">
        <v>0</v>
      </c>
      <c r="AU218" s="16">
        <f t="shared" si="32"/>
        <v>0</v>
      </c>
      <c r="AV218" s="13" t="str">
        <f t="shared" si="33"/>
        <v>NÃO</v>
      </c>
      <c r="AW218" s="13" t="str">
        <f t="shared" si="34"/>
        <v>OK</v>
      </c>
      <c r="AX218" s="13" t="str">
        <f t="shared" si="35"/>
        <v>OK</v>
      </c>
    </row>
    <row r="219" spans="1:50" x14ac:dyDescent="0.3">
      <c r="A219" s="10" t="s">
        <v>966</v>
      </c>
      <c r="B219" t="s">
        <v>1541</v>
      </c>
      <c r="C219" t="s">
        <v>1014</v>
      </c>
      <c r="D219" t="s">
        <v>1015</v>
      </c>
      <c r="E219" t="s">
        <v>46</v>
      </c>
      <c r="F219" t="s">
        <v>240</v>
      </c>
      <c r="G219" t="s">
        <v>60</v>
      </c>
      <c r="H219" t="s">
        <v>49</v>
      </c>
      <c r="I219" t="s">
        <v>50</v>
      </c>
      <c r="J219" t="s">
        <v>51</v>
      </c>
      <c r="K219" t="s">
        <v>54</v>
      </c>
      <c r="L219" t="s">
        <v>52</v>
      </c>
      <c r="M219">
        <v>390</v>
      </c>
      <c r="N219" s="11" t="str">
        <f t="shared" si="27"/>
        <v>OK</v>
      </c>
      <c r="O219" t="s">
        <v>54</v>
      </c>
      <c r="P219" t="s">
        <v>54</v>
      </c>
      <c r="Q219" t="s">
        <v>54</v>
      </c>
      <c r="R219" t="str">
        <f>VLOOKUP($D219,[1]Rascunho!$E$2:$S$296,15,FALSE)</f>
        <v>https://www.rj.gov.br/riotrilhos/carta_politica_publica</v>
      </c>
      <c r="S219" s="12">
        <v>69793000</v>
      </c>
      <c r="T219" s="12">
        <v>5008288.62</v>
      </c>
      <c r="U219" s="13" t="str">
        <f t="shared" si="28"/>
        <v>OK</v>
      </c>
      <c r="V219" s="14">
        <v>153270069.03</v>
      </c>
      <c r="W219" s="14">
        <v>0</v>
      </c>
      <c r="X219" t="s">
        <v>51</v>
      </c>
      <c r="Y219" s="14">
        <v>345116.1</v>
      </c>
      <c r="Z219" s="14">
        <v>0</v>
      </c>
      <c r="AA219" s="14">
        <v>0</v>
      </c>
      <c r="AB219" s="14">
        <v>-7332341000</v>
      </c>
      <c r="AC219" s="13" t="str">
        <f t="shared" si="29"/>
        <v>OK</v>
      </c>
      <c r="AD219" s="14">
        <v>221210247.11000001</v>
      </c>
      <c r="AE219" s="14">
        <v>0</v>
      </c>
      <c r="AF219" s="14">
        <v>0</v>
      </c>
      <c r="AG219" s="14">
        <v>56199000</v>
      </c>
      <c r="AH219" s="14">
        <v>69793000</v>
      </c>
      <c r="AI219" s="13" t="str">
        <f t="shared" si="30"/>
        <v>OK</v>
      </c>
      <c r="AJ219" s="14">
        <v>0</v>
      </c>
      <c r="AK219" s="14">
        <v>0</v>
      </c>
      <c r="AL219" s="14">
        <v>0</v>
      </c>
      <c r="AM219" s="14">
        <v>0</v>
      </c>
      <c r="AN219" s="14">
        <v>10642444970</v>
      </c>
      <c r="AO219" s="14">
        <v>10642444970</v>
      </c>
      <c r="AP219" s="15">
        <f t="shared" si="31"/>
        <v>0</v>
      </c>
      <c r="AQ219" s="14">
        <v>5653397155.3599997</v>
      </c>
      <c r="AR219" s="14">
        <v>5653397155.3599997</v>
      </c>
      <c r="AS219" s="14">
        <v>0</v>
      </c>
      <c r="AT219" s="14">
        <v>0</v>
      </c>
      <c r="AU219" s="16">
        <f t="shared" si="32"/>
        <v>0</v>
      </c>
      <c r="AV219" s="13" t="str">
        <f t="shared" si="33"/>
        <v>NÃO</v>
      </c>
      <c r="AW219" s="13" t="str">
        <f t="shared" si="34"/>
        <v>OK</v>
      </c>
      <c r="AX219" s="13" t="str">
        <f t="shared" si="35"/>
        <v>OK</v>
      </c>
    </row>
    <row r="220" spans="1:50" x14ac:dyDescent="0.3">
      <c r="A220" s="10" t="s">
        <v>966</v>
      </c>
      <c r="B220" t="s">
        <v>1542</v>
      </c>
      <c r="C220" t="s">
        <v>1019</v>
      </c>
      <c r="D220" t="s">
        <v>1020</v>
      </c>
      <c r="E220" t="s">
        <v>46</v>
      </c>
      <c r="F220" t="s">
        <v>162</v>
      </c>
      <c r="G220" t="s">
        <v>48</v>
      </c>
      <c r="H220" t="s">
        <v>76</v>
      </c>
      <c r="I220" t="s">
        <v>50</v>
      </c>
      <c r="J220" t="s">
        <v>51</v>
      </c>
      <c r="K220" t="s">
        <v>51</v>
      </c>
      <c r="L220" t="s">
        <v>52</v>
      </c>
      <c r="M220">
        <v>64</v>
      </c>
      <c r="N220" s="11" t="str">
        <f t="shared" si="27"/>
        <v>OK</v>
      </c>
      <c r="O220" t="s">
        <v>54</v>
      </c>
      <c r="P220" t="s">
        <v>54</v>
      </c>
      <c r="Q220" t="s">
        <v>51</v>
      </c>
      <c r="R220" t="str">
        <f>VLOOKUP($D220,[1]Rascunho!$E$2:$S$296,15,FALSE)</f>
        <v>https://www.turisrio.rj.gov.br/default_institucional.asp</v>
      </c>
      <c r="S220" s="12">
        <v>2621.72</v>
      </c>
      <c r="T220" s="12">
        <v>7282708.46</v>
      </c>
      <c r="U220" s="13" t="str">
        <f t="shared" si="28"/>
        <v>OK</v>
      </c>
      <c r="V220" s="14">
        <v>11022431.57</v>
      </c>
      <c r="W220" s="14">
        <v>0</v>
      </c>
      <c r="X220" t="s">
        <v>51</v>
      </c>
      <c r="Y220" s="14">
        <v>148924.24</v>
      </c>
      <c r="Z220" s="14">
        <v>0</v>
      </c>
      <c r="AA220" s="14">
        <v>5475</v>
      </c>
      <c r="AB220" s="14">
        <v>902110.32</v>
      </c>
      <c r="AC220" s="13" t="str">
        <f t="shared" si="29"/>
        <v>OK</v>
      </c>
      <c r="AD220" s="14">
        <v>470680.1</v>
      </c>
      <c r="AE220" s="14">
        <v>0</v>
      </c>
      <c r="AF220" s="14">
        <v>0</v>
      </c>
      <c r="AG220" s="14">
        <v>0</v>
      </c>
      <c r="AH220" s="14">
        <v>0</v>
      </c>
      <c r="AI220" s="13" t="str">
        <f t="shared" si="30"/>
        <v>OK</v>
      </c>
      <c r="AJ220" s="14">
        <v>0</v>
      </c>
      <c r="AK220" s="14">
        <v>0</v>
      </c>
      <c r="AL220" s="14">
        <v>0</v>
      </c>
      <c r="AM220" s="14">
        <v>0</v>
      </c>
      <c r="AN220" s="14">
        <v>16465899250</v>
      </c>
      <c r="AO220" s="14">
        <v>16465899250</v>
      </c>
      <c r="AP220" s="15">
        <f t="shared" si="31"/>
        <v>0</v>
      </c>
      <c r="AQ220" s="14">
        <v>8561991.9700000007</v>
      </c>
      <c r="AR220" s="14">
        <v>8561991.9700000007</v>
      </c>
      <c r="AS220" s="14">
        <v>0</v>
      </c>
      <c r="AT220" s="14">
        <v>0</v>
      </c>
      <c r="AU220" s="16">
        <f t="shared" si="32"/>
        <v>0</v>
      </c>
      <c r="AV220" s="13" t="str">
        <f t="shared" si="33"/>
        <v>NÃO</v>
      </c>
      <c r="AW220" s="13" t="str">
        <f t="shared" si="34"/>
        <v>OK</v>
      </c>
      <c r="AX220" s="13" t="str">
        <f t="shared" si="35"/>
        <v>OK</v>
      </c>
    </row>
    <row r="221" spans="1:50" x14ac:dyDescent="0.3">
      <c r="A221" s="10" t="s">
        <v>1046</v>
      </c>
      <c r="B221" t="s">
        <v>1543</v>
      </c>
      <c r="C221" t="s">
        <v>1069</v>
      </c>
      <c r="D221" t="s">
        <v>1070</v>
      </c>
      <c r="E221" t="s">
        <v>46</v>
      </c>
      <c r="F221" t="s">
        <v>71</v>
      </c>
      <c r="G221" t="s">
        <v>60</v>
      </c>
      <c r="H221" t="s">
        <v>49</v>
      </c>
      <c r="I221" t="s">
        <v>50</v>
      </c>
      <c r="J221" t="s">
        <v>51</v>
      </c>
      <c r="K221" t="s">
        <v>51</v>
      </c>
      <c r="L221" t="s">
        <v>134</v>
      </c>
      <c r="M221">
        <v>87</v>
      </c>
      <c r="N221" s="11" t="str">
        <f t="shared" si="27"/>
        <v>OK</v>
      </c>
      <c r="O221" t="s">
        <v>54</v>
      </c>
      <c r="P221" t="s">
        <v>54</v>
      </c>
      <c r="Q221" t="s">
        <v>51</v>
      </c>
      <c r="R221" t="str">
        <f>VLOOKUP($D221,[1]Rascunho!$E$2:$S$296,15,FALSE)</f>
        <v>https://www.agnrn.com.br/governanca/politicas-e-regulamentos/</v>
      </c>
      <c r="S221" s="12">
        <v>25176175.239999998</v>
      </c>
      <c r="T221" s="12">
        <v>9475142.9499999993</v>
      </c>
      <c r="U221" s="13" t="str">
        <f t="shared" si="28"/>
        <v>OK</v>
      </c>
      <c r="V221" s="14">
        <v>22124907.289999999</v>
      </c>
      <c r="W221" s="14">
        <v>38032.22</v>
      </c>
      <c r="X221" t="s">
        <v>51</v>
      </c>
      <c r="Y221" s="14">
        <v>328309.84999999998</v>
      </c>
      <c r="Z221" s="14">
        <v>0</v>
      </c>
      <c r="AA221" s="14">
        <v>25794.44</v>
      </c>
      <c r="AB221" s="14">
        <v>3061267.95</v>
      </c>
      <c r="AC221" s="13" t="str">
        <f t="shared" si="29"/>
        <v>OK</v>
      </c>
      <c r="AD221" s="14">
        <v>60620345.170000002</v>
      </c>
      <c r="AE221" s="14" t="e">
        <v>#VALUE!</v>
      </c>
      <c r="AF221" s="14">
        <v>690436.95</v>
      </c>
      <c r="AG221" s="14">
        <v>0</v>
      </c>
      <c r="AH221" s="14">
        <v>0</v>
      </c>
      <c r="AI221" s="13" t="str">
        <f t="shared" si="30"/>
        <v>OK</v>
      </c>
      <c r="AJ221" s="14">
        <v>0</v>
      </c>
      <c r="AK221" s="14">
        <v>0</v>
      </c>
      <c r="AL221" s="14">
        <v>0</v>
      </c>
      <c r="AM221" s="14">
        <v>0</v>
      </c>
      <c r="AN221" s="14">
        <v>48444954.560000002</v>
      </c>
      <c r="AO221" s="14">
        <v>48444954.560000002</v>
      </c>
      <c r="AP221" s="15">
        <f t="shared" si="31"/>
        <v>0</v>
      </c>
      <c r="AQ221" s="14">
        <v>49142782.07</v>
      </c>
      <c r="AR221" s="14">
        <v>49142782.07</v>
      </c>
      <c r="AS221" s="14">
        <v>0</v>
      </c>
      <c r="AT221" s="14">
        <v>0</v>
      </c>
      <c r="AU221" s="16">
        <f t="shared" si="32"/>
        <v>0</v>
      </c>
      <c r="AV221" s="13" t="str">
        <f t="shared" si="33"/>
        <v>NÃO</v>
      </c>
      <c r="AW221" s="13" t="str">
        <f t="shared" si="34"/>
        <v>OK</v>
      </c>
      <c r="AX221" s="13" t="str">
        <f t="shared" si="35"/>
        <v>OK</v>
      </c>
    </row>
    <row r="222" spans="1:50" x14ac:dyDescent="0.3">
      <c r="A222" s="10" t="s">
        <v>1046</v>
      </c>
      <c r="B222" t="s">
        <v>1544</v>
      </c>
      <c r="C222" t="s">
        <v>1073</v>
      </c>
      <c r="D222" t="s">
        <v>1074</v>
      </c>
      <c r="E222" t="s">
        <v>46</v>
      </c>
      <c r="F222" t="s">
        <v>107</v>
      </c>
      <c r="G222" t="s">
        <v>60</v>
      </c>
      <c r="H222" t="s">
        <v>49</v>
      </c>
      <c r="I222" t="s">
        <v>50</v>
      </c>
      <c r="J222" t="s">
        <v>51</v>
      </c>
      <c r="K222" t="s">
        <v>51</v>
      </c>
      <c r="L222" t="s">
        <v>134</v>
      </c>
      <c r="M222">
        <v>2559</v>
      </c>
      <c r="N222" s="11" t="str">
        <f t="shared" si="27"/>
        <v>OK</v>
      </c>
      <c r="O222" t="s">
        <v>54</v>
      </c>
      <c r="P222" t="s">
        <v>54</v>
      </c>
      <c r="Q222" t="s">
        <v>54</v>
      </c>
      <c r="R222" t="str">
        <f>VLOOKUP($D222,[1]Rascunho!$E$2:$S$296,15,FALSE)</f>
        <v>https://www.caern.com.br/</v>
      </c>
      <c r="S222" s="12">
        <v>986625778.79999995</v>
      </c>
      <c r="T222" s="12">
        <v>305266168.99000001</v>
      </c>
      <c r="U222" s="13" t="str">
        <f t="shared" si="28"/>
        <v>OK</v>
      </c>
      <c r="V222" s="14">
        <v>633452158.33000004</v>
      </c>
      <c r="W222" s="14">
        <v>183341100.36000001</v>
      </c>
      <c r="X222" t="s">
        <v>54</v>
      </c>
      <c r="Y222" s="14">
        <v>754264.38</v>
      </c>
      <c r="Z222" s="14">
        <v>7086.03</v>
      </c>
      <c r="AA222" s="14">
        <v>0</v>
      </c>
      <c r="AB222" s="14">
        <v>62623874.469999999</v>
      </c>
      <c r="AC222" s="13" t="str">
        <f t="shared" si="29"/>
        <v>OK</v>
      </c>
      <c r="AD222" s="14">
        <v>2629220578.6399999</v>
      </c>
      <c r="AE222" s="14">
        <v>2629220578.6399999</v>
      </c>
      <c r="AF222" s="14">
        <v>1540471.78</v>
      </c>
      <c r="AG222" s="14">
        <v>0</v>
      </c>
      <c r="AH222" s="14">
        <v>0</v>
      </c>
      <c r="AI222" s="13" t="str">
        <f t="shared" si="30"/>
        <v>OK</v>
      </c>
      <c r="AJ222" s="14">
        <v>0</v>
      </c>
      <c r="AK222" s="14">
        <v>0</v>
      </c>
      <c r="AL222" s="14">
        <v>0</v>
      </c>
      <c r="AM222" s="14">
        <v>0</v>
      </c>
      <c r="AN222" s="14">
        <v>1369569232.4000001</v>
      </c>
      <c r="AO222" s="14">
        <v>1369569232.4000001</v>
      </c>
      <c r="AP222" s="15">
        <f t="shared" si="31"/>
        <v>0</v>
      </c>
      <c r="AQ222" s="14">
        <v>1408750066.4000001</v>
      </c>
      <c r="AR222" s="14">
        <v>1408750066.4000001</v>
      </c>
      <c r="AS222" s="14">
        <v>0</v>
      </c>
      <c r="AT222" s="14">
        <v>0</v>
      </c>
      <c r="AU222" s="16">
        <f t="shared" si="32"/>
        <v>0</v>
      </c>
      <c r="AV222" s="13" t="str">
        <f t="shared" si="33"/>
        <v>NÃO</v>
      </c>
      <c r="AW222" s="13" t="str">
        <f t="shared" si="34"/>
        <v>OK</v>
      </c>
      <c r="AX222" s="13" t="str">
        <f t="shared" si="35"/>
        <v>OK</v>
      </c>
    </row>
    <row r="223" spans="1:50" x14ac:dyDescent="0.3">
      <c r="A223" s="10" t="s">
        <v>1046</v>
      </c>
      <c r="B223" t="s">
        <v>1047</v>
      </c>
      <c r="C223" t="s">
        <v>1545</v>
      </c>
      <c r="D223" t="s">
        <v>1048</v>
      </c>
      <c r="E223" t="s">
        <v>46</v>
      </c>
      <c r="F223" t="s">
        <v>75</v>
      </c>
      <c r="G223" t="s">
        <v>60</v>
      </c>
      <c r="H223" t="s">
        <v>49</v>
      </c>
      <c r="I223" t="s">
        <v>50</v>
      </c>
      <c r="J223" t="s">
        <v>51</v>
      </c>
      <c r="K223" t="s">
        <v>51</v>
      </c>
      <c r="L223" t="s">
        <v>52</v>
      </c>
      <c r="M223">
        <v>176</v>
      </c>
      <c r="N223" s="11" t="str">
        <f t="shared" si="27"/>
        <v>OK</v>
      </c>
      <c r="O223" t="s">
        <v>54</v>
      </c>
      <c r="P223" t="s">
        <v>54</v>
      </c>
      <c r="Q223" t="s">
        <v>51</v>
      </c>
      <c r="R223" t="str">
        <f>VLOOKUP($D223,[1]Rascunho!$E$2:$S$296,15,FALSE)</f>
        <v>https://www.ceasa.rn.gov.br/</v>
      </c>
      <c r="S223" s="12">
        <v>3712505</v>
      </c>
      <c r="T223" s="12">
        <v>9464080</v>
      </c>
      <c r="U223" s="13" t="str">
        <f t="shared" si="28"/>
        <v>OK</v>
      </c>
      <c r="V223" s="14">
        <v>11661220</v>
      </c>
      <c r="W223" s="14">
        <v>545712</v>
      </c>
      <c r="X223" t="s">
        <v>51</v>
      </c>
      <c r="Y223" s="14">
        <v>1224484</v>
      </c>
      <c r="Z223" s="14">
        <v>0</v>
      </c>
      <c r="AA223" s="14">
        <v>0</v>
      </c>
      <c r="AB223" s="14">
        <v>502468</v>
      </c>
      <c r="AC223" s="13" t="str">
        <f t="shared" si="29"/>
        <v>OK</v>
      </c>
      <c r="AD223" s="14">
        <v>2695026</v>
      </c>
      <c r="AE223" s="14" t="e">
        <v>#VALUE!</v>
      </c>
      <c r="AF223" s="14">
        <v>0</v>
      </c>
      <c r="AG223" s="14">
        <v>9571676</v>
      </c>
      <c r="AH223" s="14">
        <v>8849564</v>
      </c>
      <c r="AI223" s="13" t="str">
        <f t="shared" si="30"/>
        <v>OK</v>
      </c>
      <c r="AJ223" s="14">
        <v>655027</v>
      </c>
      <c r="AK223" s="14">
        <v>0</v>
      </c>
      <c r="AL223" s="14">
        <v>0</v>
      </c>
      <c r="AM223" s="14">
        <v>0</v>
      </c>
      <c r="AN223" s="14">
        <v>2164212.56</v>
      </c>
      <c r="AO223" s="14">
        <v>2164212.56</v>
      </c>
      <c r="AP223" s="15">
        <f t="shared" si="31"/>
        <v>0</v>
      </c>
      <c r="AQ223" s="14">
        <v>2165209</v>
      </c>
      <c r="AR223" s="14">
        <v>2165209</v>
      </c>
      <c r="AS223" s="14">
        <v>0</v>
      </c>
      <c r="AT223" s="14">
        <v>0</v>
      </c>
      <c r="AU223" s="16">
        <f t="shared" si="32"/>
        <v>0</v>
      </c>
      <c r="AV223" s="13" t="str">
        <f t="shared" si="33"/>
        <v>NÃO</v>
      </c>
      <c r="AW223" s="13" t="str">
        <f t="shared" si="34"/>
        <v>OK</v>
      </c>
      <c r="AX223" s="13" t="str">
        <f t="shared" si="35"/>
        <v>OK</v>
      </c>
    </row>
    <row r="224" spans="1:50" x14ac:dyDescent="0.3">
      <c r="A224" s="10" t="s">
        <v>1046</v>
      </c>
      <c r="B224" t="s">
        <v>1546</v>
      </c>
      <c r="C224" t="s">
        <v>1547</v>
      </c>
      <c r="D224" t="s">
        <v>1051</v>
      </c>
      <c r="E224" t="s">
        <v>46</v>
      </c>
      <c r="F224" t="s">
        <v>93</v>
      </c>
      <c r="G224" t="s">
        <v>60</v>
      </c>
      <c r="H224" t="s">
        <v>76</v>
      </c>
      <c r="I224" t="s">
        <v>50</v>
      </c>
      <c r="J224" t="s">
        <v>51</v>
      </c>
      <c r="K224" t="s">
        <v>51</v>
      </c>
      <c r="L224" t="s">
        <v>52</v>
      </c>
      <c r="M224">
        <v>75</v>
      </c>
      <c r="N224" s="11" t="str">
        <f t="shared" si="27"/>
        <v>OK</v>
      </c>
      <c r="O224" t="s">
        <v>54</v>
      </c>
      <c r="P224" t="s">
        <v>54</v>
      </c>
      <c r="Q224" t="s">
        <v>51</v>
      </c>
      <c r="R224" t="str">
        <f>VLOOKUP($D224,[1]Rascunho!$E$2:$S$296,15,FALSE)</f>
        <v>http://www.cehab.rn.gov.br/Index.asp</v>
      </c>
      <c r="S224" s="12">
        <v>7595584.6299999999</v>
      </c>
      <c r="T224" s="12">
        <v>1341643.51</v>
      </c>
      <c r="U224" s="13" t="str">
        <f t="shared" si="28"/>
        <v>OK</v>
      </c>
      <c r="V224" s="14">
        <v>6718973.3499999996</v>
      </c>
      <c r="W224" s="14">
        <v>5377329.8399999999</v>
      </c>
      <c r="X224" t="s">
        <v>51</v>
      </c>
      <c r="Y224" s="14">
        <v>0</v>
      </c>
      <c r="Z224" s="14">
        <v>0</v>
      </c>
      <c r="AA224" s="14">
        <v>21120</v>
      </c>
      <c r="AB224" s="14">
        <v>0</v>
      </c>
      <c r="AC224" s="13" t="str">
        <f t="shared" si="29"/>
        <v>OK</v>
      </c>
      <c r="AD224" s="14">
        <v>17499533.960000001</v>
      </c>
      <c r="AE224" s="14" t="e">
        <v>#VALUE!</v>
      </c>
      <c r="AF224" s="14">
        <v>0</v>
      </c>
      <c r="AG224" s="14">
        <v>0</v>
      </c>
      <c r="AH224" s="14">
        <v>0</v>
      </c>
      <c r="AI224" s="13" t="str">
        <f t="shared" si="30"/>
        <v>OK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5">
        <f t="shared" si="31"/>
        <v>0</v>
      </c>
      <c r="AQ224" s="14">
        <v>0</v>
      </c>
      <c r="AR224" s="14">
        <v>0</v>
      </c>
      <c r="AS224" s="14">
        <v>11746335.109999999</v>
      </c>
      <c r="AT224" s="14">
        <v>11746335.109999999</v>
      </c>
      <c r="AU224" s="16">
        <f t="shared" si="32"/>
        <v>11746335.109999999</v>
      </c>
      <c r="AV224" s="13" t="str">
        <f t="shared" si="33"/>
        <v>SIM</v>
      </c>
      <c r="AW224" s="13" t="str">
        <f t="shared" si="34"/>
        <v>OK</v>
      </c>
      <c r="AX224" s="13" t="str">
        <f t="shared" si="35"/>
        <v>OK</v>
      </c>
    </row>
    <row r="225" spans="1:50" x14ac:dyDescent="0.3">
      <c r="A225" s="10" t="s">
        <v>1046</v>
      </c>
      <c r="B225" t="s">
        <v>1548</v>
      </c>
      <c r="C225" t="s">
        <v>1055</v>
      </c>
      <c r="D225" t="s">
        <v>1056</v>
      </c>
      <c r="E225" t="s">
        <v>46</v>
      </c>
      <c r="F225" t="s">
        <v>47</v>
      </c>
      <c r="G225" t="s">
        <v>60</v>
      </c>
      <c r="H225" t="s">
        <v>49</v>
      </c>
      <c r="I225" t="s">
        <v>50</v>
      </c>
      <c r="J225" t="s">
        <v>51</v>
      </c>
      <c r="K225" t="s">
        <v>51</v>
      </c>
      <c r="L225" t="s">
        <v>52</v>
      </c>
      <c r="M225">
        <v>54</v>
      </c>
      <c r="N225" s="11" t="str">
        <f t="shared" si="27"/>
        <v>OK</v>
      </c>
      <c r="O225" t="s">
        <v>54</v>
      </c>
      <c r="P225" t="s">
        <v>54</v>
      </c>
      <c r="Q225" t="s">
        <v>51</v>
      </c>
      <c r="R225" t="str">
        <f>VLOOKUP($D225,[1]Rascunho!$E$2:$S$296,15,FALSE)</f>
        <v>http://www.datanorte.rn.gov.br/Conteudo.asp?TRAN=ITEM&amp;TARG=334261&amp;ACT=&amp;PAGE=0&amp;PARM=&amp;LBL=Transpar%EAncia</v>
      </c>
      <c r="S225" s="12">
        <v>242883</v>
      </c>
      <c r="T225" s="12">
        <v>3192899.02</v>
      </c>
      <c r="U225" s="13" t="str">
        <f t="shared" si="28"/>
        <v>OK</v>
      </c>
      <c r="V225" s="14">
        <v>4205343</v>
      </c>
      <c r="W225" s="14">
        <v>0</v>
      </c>
      <c r="X225" t="s">
        <v>51</v>
      </c>
      <c r="Y225" s="14">
        <v>184126.8</v>
      </c>
      <c r="Z225" s="14">
        <v>0</v>
      </c>
      <c r="AA225" s="14">
        <v>0</v>
      </c>
      <c r="AB225" s="14">
        <v>-124778</v>
      </c>
      <c r="AC225" s="13" t="str">
        <f t="shared" si="29"/>
        <v>OK</v>
      </c>
      <c r="AD225" s="14">
        <v>223952785</v>
      </c>
      <c r="AE225" s="14" t="e">
        <v>#VALUE!</v>
      </c>
      <c r="AF225" s="14">
        <v>0</v>
      </c>
      <c r="AG225" s="14">
        <v>3129128</v>
      </c>
      <c r="AH225" s="14">
        <v>3262928</v>
      </c>
      <c r="AI225" s="13" t="str">
        <f t="shared" si="30"/>
        <v>OK</v>
      </c>
      <c r="AJ225" s="14">
        <v>3129128</v>
      </c>
      <c r="AK225" s="14">
        <v>3262928</v>
      </c>
      <c r="AL225" s="14">
        <v>0</v>
      </c>
      <c r="AM225" s="14">
        <v>0</v>
      </c>
      <c r="AN225" s="14">
        <v>1954853</v>
      </c>
      <c r="AO225" s="14">
        <v>1954853</v>
      </c>
      <c r="AP225" s="15">
        <f t="shared" si="31"/>
        <v>0</v>
      </c>
      <c r="AQ225" s="14">
        <v>1954853</v>
      </c>
      <c r="AR225" s="14">
        <v>1954853</v>
      </c>
      <c r="AS225" s="14">
        <v>0</v>
      </c>
      <c r="AT225" s="14">
        <v>0</v>
      </c>
      <c r="AU225" s="16">
        <f t="shared" si="32"/>
        <v>0</v>
      </c>
      <c r="AV225" s="13" t="str">
        <f t="shared" si="33"/>
        <v>NÃO</v>
      </c>
      <c r="AW225" s="13" t="str">
        <f t="shared" si="34"/>
        <v>OK</v>
      </c>
      <c r="AX225" s="13" t="str">
        <f t="shared" si="35"/>
        <v>OK</v>
      </c>
    </row>
    <row r="226" spans="1:50" x14ac:dyDescent="0.3">
      <c r="A226" s="10" t="s">
        <v>1046</v>
      </c>
      <c r="B226" t="s">
        <v>1549</v>
      </c>
      <c r="C226" t="s">
        <v>1078</v>
      </c>
      <c r="D226" t="s">
        <v>1079</v>
      </c>
      <c r="E226" t="s">
        <v>46</v>
      </c>
      <c r="F226" t="s">
        <v>133</v>
      </c>
      <c r="G226" t="s">
        <v>48</v>
      </c>
      <c r="H226" t="s">
        <v>76</v>
      </c>
      <c r="I226" t="s">
        <v>50</v>
      </c>
      <c r="J226" t="s">
        <v>51</v>
      </c>
      <c r="K226" t="s">
        <v>51</v>
      </c>
      <c r="L226" t="s">
        <v>134</v>
      </c>
      <c r="M226">
        <v>28</v>
      </c>
      <c r="N226" s="11" t="str">
        <f t="shared" si="27"/>
        <v>OK</v>
      </c>
      <c r="O226" t="s">
        <v>54</v>
      </c>
      <c r="P226" t="s">
        <v>54</v>
      </c>
      <c r="Q226" t="s">
        <v>51</v>
      </c>
      <c r="R226" t="str">
        <f>VLOOKUP($D226,[1]Rascunho!$E$2:$S$296,15,FALSE)</f>
        <v>http://www.adcon.rn.gov.br/ACERVO/EMGERN/DOC/DOC000000000328962.PDF</v>
      </c>
      <c r="S226" s="12">
        <v>7125820.7000000002</v>
      </c>
      <c r="T226" s="12">
        <v>1202279.3600000001</v>
      </c>
      <c r="U226" s="13" t="str">
        <f t="shared" si="28"/>
        <v>OK</v>
      </c>
      <c r="V226" s="14">
        <v>2379210.7799999998</v>
      </c>
      <c r="W226" s="14">
        <v>0</v>
      </c>
      <c r="X226" t="s">
        <v>51</v>
      </c>
      <c r="Y226" s="14">
        <v>160491.45000000001</v>
      </c>
      <c r="Z226" s="14">
        <v>0</v>
      </c>
      <c r="AA226" s="14">
        <v>0</v>
      </c>
      <c r="AB226" s="14">
        <v>0</v>
      </c>
      <c r="AC226" s="13" t="str">
        <f t="shared" si="29"/>
        <v>OK</v>
      </c>
      <c r="AD226" s="14">
        <v>79059.83</v>
      </c>
      <c r="AE226" s="14" t="e">
        <v>#VALUE!</v>
      </c>
      <c r="AF226" s="14">
        <v>0</v>
      </c>
      <c r="AG226" s="14">
        <v>0</v>
      </c>
      <c r="AH226" s="14">
        <v>0</v>
      </c>
      <c r="AI226" s="13" t="str">
        <f t="shared" si="30"/>
        <v>OK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5">
        <f t="shared" si="31"/>
        <v>0</v>
      </c>
      <c r="AQ226" s="14">
        <v>0</v>
      </c>
      <c r="AR226" s="14">
        <v>0</v>
      </c>
      <c r="AS226" s="14">
        <v>49900000</v>
      </c>
      <c r="AT226" s="14">
        <v>49900000</v>
      </c>
      <c r="AU226" s="16">
        <f t="shared" si="32"/>
        <v>49900000</v>
      </c>
      <c r="AV226" s="13" t="str">
        <f t="shared" si="33"/>
        <v>SIM</v>
      </c>
      <c r="AW226" s="13" t="str">
        <f t="shared" si="34"/>
        <v>OK</v>
      </c>
      <c r="AX226" s="13" t="str">
        <f t="shared" si="35"/>
        <v>OK</v>
      </c>
    </row>
    <row r="227" spans="1:50" x14ac:dyDescent="0.3">
      <c r="A227" s="10" t="s">
        <v>1046</v>
      </c>
      <c r="B227" t="s">
        <v>1550</v>
      </c>
      <c r="C227" t="s">
        <v>1060</v>
      </c>
      <c r="D227" t="s">
        <v>1061</v>
      </c>
      <c r="E227" t="s">
        <v>46</v>
      </c>
      <c r="F227" t="s">
        <v>102</v>
      </c>
      <c r="G227" t="s">
        <v>48</v>
      </c>
      <c r="H227" t="s">
        <v>49</v>
      </c>
      <c r="I227" t="s">
        <v>50</v>
      </c>
      <c r="J227" t="s">
        <v>51</v>
      </c>
      <c r="K227" t="s">
        <v>51</v>
      </c>
      <c r="L227" t="s">
        <v>52</v>
      </c>
      <c r="M227">
        <v>172</v>
      </c>
      <c r="N227" s="11" t="str">
        <f t="shared" si="27"/>
        <v>OK</v>
      </c>
      <c r="O227" t="s">
        <v>54</v>
      </c>
      <c r="P227" t="s">
        <v>54</v>
      </c>
      <c r="Q227" t="s">
        <v>51</v>
      </c>
      <c r="R227" t="str">
        <f>VLOOKUP($D227,[1]Rascunho!$E$2:$S$296,15,FALSE)</f>
        <v>http://www.emparn.rn.gov.br/Index.asp</v>
      </c>
      <c r="S227" s="12">
        <v>1106173.22</v>
      </c>
      <c r="T227" s="12">
        <v>15831054.800000001</v>
      </c>
      <c r="U227" s="13" t="str">
        <f t="shared" si="28"/>
        <v>OK</v>
      </c>
      <c r="V227" s="14">
        <v>19884815.82</v>
      </c>
      <c r="W227" s="14">
        <v>0</v>
      </c>
      <c r="X227" t="s">
        <v>51</v>
      </c>
      <c r="Y227" s="14">
        <v>239278.07999999999</v>
      </c>
      <c r="Z227" s="14">
        <v>0</v>
      </c>
      <c r="AA227" s="14">
        <v>0</v>
      </c>
      <c r="AB227" s="14">
        <v>-8389887</v>
      </c>
      <c r="AC227" s="13" t="str">
        <f t="shared" si="29"/>
        <v>OK</v>
      </c>
      <c r="AD227" s="14">
        <v>1895913</v>
      </c>
      <c r="AE227" s="14" t="e">
        <v>#VALUE!</v>
      </c>
      <c r="AF227" s="14">
        <v>0</v>
      </c>
      <c r="AG227" s="14">
        <v>16355952.26</v>
      </c>
      <c r="AH227" s="14">
        <v>20370263</v>
      </c>
      <c r="AI227" s="13" t="str">
        <f t="shared" si="30"/>
        <v>OK</v>
      </c>
      <c r="AJ227" s="14">
        <v>16355952.26</v>
      </c>
      <c r="AK227" s="14">
        <v>20370263</v>
      </c>
      <c r="AL227" s="14">
        <v>0</v>
      </c>
      <c r="AM227" s="14">
        <v>0</v>
      </c>
      <c r="AN227" s="14">
        <v>1693900</v>
      </c>
      <c r="AO227" s="14">
        <v>1693900</v>
      </c>
      <c r="AP227" s="15">
        <f t="shared" si="31"/>
        <v>0</v>
      </c>
      <c r="AQ227" s="14">
        <v>1693900</v>
      </c>
      <c r="AR227" s="14">
        <v>1693900</v>
      </c>
      <c r="AS227" s="14">
        <v>202013</v>
      </c>
      <c r="AT227" s="14">
        <v>202013</v>
      </c>
      <c r="AU227" s="16">
        <f t="shared" si="32"/>
        <v>202013</v>
      </c>
      <c r="AV227" s="13" t="str">
        <f t="shared" si="33"/>
        <v>SIM</v>
      </c>
      <c r="AW227" s="13" t="str">
        <f t="shared" si="34"/>
        <v>OK</v>
      </c>
      <c r="AX227" s="13" t="str">
        <f t="shared" si="35"/>
        <v>OK</v>
      </c>
    </row>
    <row r="228" spans="1:50" x14ac:dyDescent="0.3">
      <c r="A228" s="10" t="s">
        <v>1046</v>
      </c>
      <c r="B228" t="s">
        <v>1551</v>
      </c>
      <c r="C228" t="s">
        <v>1064</v>
      </c>
      <c r="D228" t="s">
        <v>1065</v>
      </c>
      <c r="E228" t="s">
        <v>46</v>
      </c>
      <c r="F228" t="s">
        <v>162</v>
      </c>
      <c r="G228" t="s">
        <v>60</v>
      </c>
      <c r="H228" t="s">
        <v>49</v>
      </c>
      <c r="I228" t="s">
        <v>50</v>
      </c>
      <c r="J228" t="s">
        <v>51</v>
      </c>
      <c r="K228" t="s">
        <v>51</v>
      </c>
      <c r="L228" t="s">
        <v>52</v>
      </c>
      <c r="M228">
        <v>75</v>
      </c>
      <c r="N228" s="11" t="str">
        <f t="shared" si="27"/>
        <v>OK</v>
      </c>
      <c r="O228" t="s">
        <v>54</v>
      </c>
      <c r="P228" t="s">
        <v>54</v>
      </c>
      <c r="Q228" t="s">
        <v>51</v>
      </c>
      <c r="R228" t="str">
        <f>VLOOKUP($D228,[1]Rascunho!$E$2:$S$296,15,FALSE)</f>
        <v>https://emprotur.setur.rn.gov.br/storage/documentos/documentos/a72997d84ca675d99b719abb733f669f.pdf</v>
      </c>
      <c r="S228" s="12">
        <v>1623739.79</v>
      </c>
      <c r="T228" s="12">
        <v>4101331</v>
      </c>
      <c r="U228" s="13" t="str">
        <f t="shared" si="28"/>
        <v>OK</v>
      </c>
      <c r="V228" s="14">
        <v>10376938.75</v>
      </c>
      <c r="W228" s="14">
        <v>0</v>
      </c>
      <c r="X228" t="s">
        <v>51</v>
      </c>
      <c r="Y228" s="14">
        <v>187734.53</v>
      </c>
      <c r="Z228" s="14">
        <v>0</v>
      </c>
      <c r="AA228" s="14">
        <v>0</v>
      </c>
      <c r="AB228" s="14">
        <v>-266627678</v>
      </c>
      <c r="AC228" s="13" t="str">
        <f t="shared" si="29"/>
        <v>OK</v>
      </c>
      <c r="AD228" s="14">
        <v>-3652062.81</v>
      </c>
      <c r="AE228" s="14" t="e">
        <v>#VALUE!</v>
      </c>
      <c r="AF228" s="14">
        <v>0</v>
      </c>
      <c r="AG228" s="14">
        <v>6575451.3300000001</v>
      </c>
      <c r="AH228" s="14">
        <v>8065843.5499999998</v>
      </c>
      <c r="AI228" s="13" t="str">
        <f t="shared" si="30"/>
        <v>OK</v>
      </c>
      <c r="AJ228" s="14">
        <v>0</v>
      </c>
      <c r="AK228" s="14">
        <v>0</v>
      </c>
      <c r="AL228" s="14">
        <v>0</v>
      </c>
      <c r="AM228" s="14">
        <v>0</v>
      </c>
      <c r="AN228" s="14">
        <v>3800000</v>
      </c>
      <c r="AO228" s="14">
        <v>3800000</v>
      </c>
      <c r="AP228" s="15">
        <f t="shared" si="31"/>
        <v>0</v>
      </c>
      <c r="AQ228" s="14">
        <v>3800000</v>
      </c>
      <c r="AR228" s="14">
        <v>3800000</v>
      </c>
      <c r="AS228" s="14">
        <v>200000</v>
      </c>
      <c r="AT228" s="14">
        <v>200000</v>
      </c>
      <c r="AU228" s="16">
        <f t="shared" si="32"/>
        <v>200000</v>
      </c>
      <c r="AV228" s="13" t="str">
        <f t="shared" si="33"/>
        <v>SIM</v>
      </c>
      <c r="AW228" s="13" t="str">
        <f t="shared" si="34"/>
        <v>OK</v>
      </c>
      <c r="AX228" s="13" t="str">
        <f t="shared" si="35"/>
        <v>OK</v>
      </c>
    </row>
    <row r="229" spans="1:50" x14ac:dyDescent="0.3">
      <c r="A229" s="10" t="s">
        <v>1046</v>
      </c>
      <c r="B229" t="s">
        <v>1552</v>
      </c>
      <c r="C229" t="s">
        <v>1082</v>
      </c>
      <c r="D229" t="s">
        <v>1083</v>
      </c>
      <c r="E229" t="s">
        <v>46</v>
      </c>
      <c r="F229" t="s">
        <v>139</v>
      </c>
      <c r="G229" t="s">
        <v>60</v>
      </c>
      <c r="H229" t="s">
        <v>49</v>
      </c>
      <c r="I229" t="s">
        <v>50</v>
      </c>
      <c r="J229" t="s">
        <v>51</v>
      </c>
      <c r="K229" t="s">
        <v>51</v>
      </c>
      <c r="L229" t="s">
        <v>134</v>
      </c>
      <c r="M229">
        <v>61</v>
      </c>
      <c r="N229" s="11" t="str">
        <f t="shared" si="27"/>
        <v>OK</v>
      </c>
      <c r="O229" t="s">
        <v>54</v>
      </c>
      <c r="P229" t="s">
        <v>54</v>
      </c>
      <c r="Q229" t="s">
        <v>54</v>
      </c>
      <c r="R229" t="str">
        <f>VLOOKUP($D229,[1]Rascunho!$E$2:$S$296,15,FALSE)</f>
        <v>https://potigas.com.br/acesso-a-informacao/cartas</v>
      </c>
      <c r="S229" s="12">
        <v>236165117.52000001</v>
      </c>
      <c r="T229" s="12">
        <v>19615809.030000001</v>
      </c>
      <c r="U229" s="13" t="str">
        <f t="shared" si="28"/>
        <v>OK</v>
      </c>
      <c r="V229" s="14">
        <v>35766287</v>
      </c>
      <c r="W229" s="14">
        <v>12103786</v>
      </c>
      <c r="X229" t="s">
        <v>54</v>
      </c>
      <c r="Y229" s="14">
        <v>535318.25</v>
      </c>
      <c r="Z229" s="14">
        <v>30059.79</v>
      </c>
      <c r="AA229" s="14">
        <v>15584.31</v>
      </c>
      <c r="AB229" s="14">
        <v>28152805.199999999</v>
      </c>
      <c r="AC229" s="13" t="str">
        <f t="shared" si="29"/>
        <v>OK</v>
      </c>
      <c r="AD229" s="14">
        <v>95525893.109999999</v>
      </c>
      <c r="AE229" s="14" t="e">
        <v>#VALUE!</v>
      </c>
      <c r="AF229" s="14">
        <v>4405338.0199999996</v>
      </c>
      <c r="AG229" s="14">
        <v>0</v>
      </c>
      <c r="AH229" s="14">
        <v>0</v>
      </c>
      <c r="AI229" s="13" t="str">
        <f t="shared" si="30"/>
        <v>OK</v>
      </c>
      <c r="AJ229" s="14">
        <v>0</v>
      </c>
      <c r="AK229" s="14">
        <v>0</v>
      </c>
      <c r="AL229" s="14">
        <v>0</v>
      </c>
      <c r="AM229" s="14">
        <v>0</v>
      </c>
      <c r="AN229" s="14">
        <v>721650</v>
      </c>
      <c r="AO229" s="14">
        <v>721650</v>
      </c>
      <c r="AP229" s="15">
        <f t="shared" si="31"/>
        <v>0</v>
      </c>
      <c r="AQ229" s="14">
        <v>59662136.710000001</v>
      </c>
      <c r="AR229" s="14">
        <v>63893105.810000002</v>
      </c>
      <c r="AS229" s="14">
        <v>4230969.0999999996</v>
      </c>
      <c r="AT229" s="14">
        <v>4277904.8899999997</v>
      </c>
      <c r="AU229" s="16">
        <f t="shared" si="32"/>
        <v>8508873.9900000021</v>
      </c>
      <c r="AV229" s="13" t="str">
        <f t="shared" si="33"/>
        <v>SIM</v>
      </c>
      <c r="AW229" s="13" t="str">
        <f t="shared" si="34"/>
        <v>OK</v>
      </c>
      <c r="AX229" s="13" t="str">
        <f t="shared" si="35"/>
        <v>OK</v>
      </c>
    </row>
    <row r="230" spans="1:50" x14ac:dyDescent="0.3">
      <c r="A230" s="10" t="s">
        <v>1086</v>
      </c>
      <c r="B230" t="s">
        <v>1553</v>
      </c>
      <c r="C230" t="s">
        <v>1088</v>
      </c>
      <c r="D230" t="s">
        <v>1089</v>
      </c>
      <c r="E230" t="s">
        <v>70</v>
      </c>
      <c r="F230" t="s">
        <v>71</v>
      </c>
      <c r="G230" t="s">
        <v>60</v>
      </c>
      <c r="H230" t="s">
        <v>49</v>
      </c>
      <c r="I230" t="s">
        <v>50</v>
      </c>
      <c r="J230" t="s">
        <v>51</v>
      </c>
      <c r="K230" t="s">
        <v>51</v>
      </c>
      <c r="L230" t="s">
        <v>134</v>
      </c>
      <c r="M230">
        <v>0</v>
      </c>
      <c r="N230" s="11" t="str">
        <f t="shared" si="27"/>
        <v>OK</v>
      </c>
      <c r="O230" t="s">
        <v>51</v>
      </c>
      <c r="P230" t="s">
        <v>51</v>
      </c>
      <c r="Q230" t="s">
        <v>51</v>
      </c>
      <c r="R230" t="str">
        <f>VLOOKUP($D230,[1]Rascunho!$E$2:$S$296,15,FALSE)</f>
        <v>Site não disponível</v>
      </c>
      <c r="S230" s="12">
        <v>0</v>
      </c>
      <c r="T230" s="12">
        <v>0</v>
      </c>
      <c r="U230" s="13" t="str">
        <f t="shared" si="28"/>
        <v>OK</v>
      </c>
      <c r="V230" s="14">
        <v>0</v>
      </c>
      <c r="W230" s="14">
        <v>0</v>
      </c>
      <c r="X230" t="s">
        <v>51</v>
      </c>
      <c r="Y230" s="14">
        <v>0</v>
      </c>
      <c r="Z230" s="14">
        <v>0</v>
      </c>
      <c r="AA230" s="14">
        <v>0</v>
      </c>
      <c r="AB230" s="14">
        <v>0</v>
      </c>
      <c r="AC230" s="13" t="str">
        <f t="shared" si="29"/>
        <v>OK</v>
      </c>
      <c r="AD230" s="14">
        <v>0</v>
      </c>
      <c r="AE230" s="14" t="e">
        <v>#VALUE!</v>
      </c>
      <c r="AF230" s="14">
        <v>0</v>
      </c>
      <c r="AG230" s="14">
        <v>0</v>
      </c>
      <c r="AH230" s="14">
        <v>0</v>
      </c>
      <c r="AI230" s="13" t="str">
        <f t="shared" si="30"/>
        <v>OK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5">
        <f t="shared" si="31"/>
        <v>0</v>
      </c>
      <c r="AQ230" s="14">
        <v>0</v>
      </c>
      <c r="AR230" s="14">
        <v>0</v>
      </c>
      <c r="AS230" s="14">
        <v>0</v>
      </c>
      <c r="AT230" s="14">
        <v>0</v>
      </c>
      <c r="AU230" s="16">
        <f t="shared" si="32"/>
        <v>0</v>
      </c>
      <c r="AV230" s="13" t="str">
        <f t="shared" si="33"/>
        <v>NÃO</v>
      </c>
      <c r="AW230" s="13" t="str">
        <f t="shared" si="34"/>
        <v>OK</v>
      </c>
      <c r="AX230" s="13" t="str">
        <f t="shared" si="35"/>
        <v>OK</v>
      </c>
    </row>
    <row r="231" spans="1:50" x14ac:dyDescent="0.3">
      <c r="A231" s="10" t="s">
        <v>1086</v>
      </c>
      <c r="B231" t="s">
        <v>1554</v>
      </c>
      <c r="C231" t="s">
        <v>1091</v>
      </c>
      <c r="D231" t="s">
        <v>1092</v>
      </c>
      <c r="E231" t="s">
        <v>46</v>
      </c>
      <c r="F231" t="s">
        <v>107</v>
      </c>
      <c r="G231" t="s">
        <v>60</v>
      </c>
      <c r="H231" t="s">
        <v>49</v>
      </c>
      <c r="I231" t="s">
        <v>50</v>
      </c>
      <c r="J231" t="s">
        <v>51</v>
      </c>
      <c r="K231" t="s">
        <v>51</v>
      </c>
      <c r="L231" t="s">
        <v>134</v>
      </c>
      <c r="M231">
        <v>742</v>
      </c>
      <c r="N231" s="11" t="str">
        <f t="shared" si="27"/>
        <v>OK</v>
      </c>
      <c r="O231" t="s">
        <v>54</v>
      </c>
      <c r="P231" t="s">
        <v>54</v>
      </c>
      <c r="Q231" t="s">
        <v>51</v>
      </c>
      <c r="R231" t="str">
        <f>VLOOKUP($D231,[1]Rascunho!$E$2:$S$296,15,FALSE)</f>
        <v>https://transparencia.caerd-ro.com.br/carta-anual-de-politicas-publicas-e-governanca-corporativa</v>
      </c>
      <c r="S231" s="12">
        <v>160120571.13999999</v>
      </c>
      <c r="T231" s="12">
        <v>117112927.28</v>
      </c>
      <c r="U231" s="13" t="str">
        <f t="shared" si="28"/>
        <v>OK</v>
      </c>
      <c r="V231" s="14">
        <v>245921791.62</v>
      </c>
      <c r="W231" s="14">
        <v>29553245</v>
      </c>
      <c r="X231" t="s">
        <v>51</v>
      </c>
      <c r="Y231" s="14">
        <v>351849.64</v>
      </c>
      <c r="Z231" s="14">
        <v>0</v>
      </c>
      <c r="AA231" s="14">
        <v>14060.18</v>
      </c>
      <c r="AB231" s="14">
        <v>-50177629.670000002</v>
      </c>
      <c r="AC231" s="13" t="str">
        <f t="shared" si="29"/>
        <v>OK</v>
      </c>
      <c r="AD231" s="14">
        <v>1588341147</v>
      </c>
      <c r="AE231" s="14" t="e">
        <v>#VALUE!</v>
      </c>
      <c r="AF231" s="14">
        <v>0</v>
      </c>
      <c r="AG231" s="14">
        <v>0</v>
      </c>
      <c r="AH231" s="14">
        <v>0</v>
      </c>
      <c r="AI231" s="13" t="str">
        <f t="shared" si="30"/>
        <v>OK</v>
      </c>
      <c r="AJ231" s="14">
        <v>0</v>
      </c>
      <c r="AK231" s="14">
        <v>0</v>
      </c>
      <c r="AL231" s="14">
        <v>0</v>
      </c>
      <c r="AM231" s="14">
        <v>0</v>
      </c>
      <c r="AN231" s="14">
        <v>182615569.50999999</v>
      </c>
      <c r="AO231" s="14">
        <v>182615569.50999999</v>
      </c>
      <c r="AP231" s="15">
        <f t="shared" si="31"/>
        <v>0</v>
      </c>
      <c r="AQ231" s="14">
        <v>182631833</v>
      </c>
      <c r="AR231" s="14">
        <v>182631833</v>
      </c>
      <c r="AS231" s="14">
        <v>0</v>
      </c>
      <c r="AT231" s="14">
        <v>0</v>
      </c>
      <c r="AU231" s="16">
        <f t="shared" si="32"/>
        <v>0</v>
      </c>
      <c r="AV231" s="13" t="str">
        <f t="shared" si="33"/>
        <v>NÃO</v>
      </c>
      <c r="AW231" s="13" t="str">
        <f t="shared" si="34"/>
        <v>OK</v>
      </c>
      <c r="AX231" s="13" t="str">
        <f t="shared" si="35"/>
        <v>OK</v>
      </c>
    </row>
    <row r="232" spans="1:50" x14ac:dyDescent="0.3">
      <c r="A232" s="10" t="s">
        <v>1086</v>
      </c>
      <c r="B232" t="s">
        <v>1555</v>
      </c>
      <c r="C232" t="s">
        <v>1096</v>
      </c>
      <c r="D232" t="s">
        <v>1097</v>
      </c>
      <c r="E232" t="s">
        <v>70</v>
      </c>
      <c r="F232" t="s">
        <v>93</v>
      </c>
      <c r="G232" t="s">
        <v>60</v>
      </c>
      <c r="H232" t="s">
        <v>49</v>
      </c>
      <c r="I232" t="s">
        <v>50</v>
      </c>
      <c r="J232" t="s">
        <v>51</v>
      </c>
      <c r="K232" t="s">
        <v>51</v>
      </c>
      <c r="L232" t="s">
        <v>134</v>
      </c>
      <c r="M232">
        <v>0</v>
      </c>
      <c r="N232" s="11" t="str">
        <f t="shared" si="27"/>
        <v>OK</v>
      </c>
      <c r="O232" t="s">
        <v>51</v>
      </c>
      <c r="P232" t="s">
        <v>51</v>
      </c>
      <c r="Q232" t="s">
        <v>51</v>
      </c>
      <c r="R232" t="str">
        <f>VLOOKUP($D232,[1]Rascunho!$E$2:$S$296,15,FALSE)</f>
        <v>Site não disponível</v>
      </c>
      <c r="S232" s="12">
        <v>0</v>
      </c>
      <c r="T232" s="12">
        <v>0</v>
      </c>
      <c r="U232" s="13" t="str">
        <f t="shared" si="28"/>
        <v>OK</v>
      </c>
      <c r="V232" s="14">
        <v>0</v>
      </c>
      <c r="W232" s="14">
        <v>0</v>
      </c>
      <c r="X232" t="s">
        <v>51</v>
      </c>
      <c r="Y232" s="14">
        <v>0</v>
      </c>
      <c r="Z232" s="14">
        <v>0</v>
      </c>
      <c r="AA232" s="14">
        <v>0</v>
      </c>
      <c r="AB232" s="14">
        <v>0</v>
      </c>
      <c r="AC232" s="13" t="str">
        <f t="shared" si="29"/>
        <v>OK</v>
      </c>
      <c r="AD232" s="14">
        <v>0</v>
      </c>
      <c r="AE232" s="14" t="e">
        <v>#VALUE!</v>
      </c>
      <c r="AF232" s="14">
        <v>0</v>
      </c>
      <c r="AG232" s="14">
        <v>0</v>
      </c>
      <c r="AH232" s="14">
        <v>0</v>
      </c>
      <c r="AI232" s="13" t="str">
        <f t="shared" si="30"/>
        <v>OK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5">
        <f t="shared" si="31"/>
        <v>0</v>
      </c>
      <c r="AQ232" s="14">
        <v>0</v>
      </c>
      <c r="AR232" s="14">
        <v>0</v>
      </c>
      <c r="AS232" s="14">
        <v>0</v>
      </c>
      <c r="AT232" s="14">
        <v>0</v>
      </c>
      <c r="AU232" s="16">
        <f t="shared" si="32"/>
        <v>0</v>
      </c>
      <c r="AV232" s="13" t="str">
        <f t="shared" si="33"/>
        <v>NÃO</v>
      </c>
      <c r="AW232" s="13" t="str">
        <f t="shared" si="34"/>
        <v>OK</v>
      </c>
      <c r="AX232" s="13" t="str">
        <f t="shared" si="35"/>
        <v>OK</v>
      </c>
    </row>
    <row r="233" spans="1:50" x14ac:dyDescent="0.3">
      <c r="A233" s="10" t="s">
        <v>1086</v>
      </c>
      <c r="B233" t="s">
        <v>1556</v>
      </c>
      <c r="C233" t="s">
        <v>1099</v>
      </c>
      <c r="D233" t="s">
        <v>1100</v>
      </c>
      <c r="E233" t="s">
        <v>70</v>
      </c>
      <c r="F233" t="s">
        <v>47</v>
      </c>
      <c r="G233" t="s">
        <v>60</v>
      </c>
      <c r="H233" t="s">
        <v>49</v>
      </c>
      <c r="I233" t="s">
        <v>50</v>
      </c>
      <c r="J233" t="s">
        <v>51</v>
      </c>
      <c r="K233" t="s">
        <v>51</v>
      </c>
      <c r="L233" t="s">
        <v>134</v>
      </c>
      <c r="M233">
        <v>0</v>
      </c>
      <c r="N233" s="11" t="str">
        <f t="shared" si="27"/>
        <v>OK</v>
      </c>
      <c r="O233" t="s">
        <v>51</v>
      </c>
      <c r="P233" t="s">
        <v>51</v>
      </c>
      <c r="Q233" t="s">
        <v>51</v>
      </c>
      <c r="R233" t="str">
        <f>VLOOKUP($D233,[1]Rascunho!$E$2:$S$296,15,FALSE)</f>
        <v>Site não disponível</v>
      </c>
      <c r="S233" s="12">
        <v>0</v>
      </c>
      <c r="T233" s="12">
        <v>0</v>
      </c>
      <c r="U233" s="13" t="str">
        <f t="shared" si="28"/>
        <v>OK</v>
      </c>
      <c r="V233" s="14">
        <v>0</v>
      </c>
      <c r="W233" s="14">
        <v>0</v>
      </c>
      <c r="X233" t="s">
        <v>51</v>
      </c>
      <c r="Y233" s="14">
        <v>0</v>
      </c>
      <c r="Z233" s="14">
        <v>0</v>
      </c>
      <c r="AA233" s="14">
        <v>0</v>
      </c>
      <c r="AB233" s="14">
        <v>0</v>
      </c>
      <c r="AC233" s="13" t="str">
        <f t="shared" si="29"/>
        <v>OK</v>
      </c>
      <c r="AD233" s="14">
        <v>0</v>
      </c>
      <c r="AE233" s="14" t="e">
        <v>#VALUE!</v>
      </c>
      <c r="AF233" s="14">
        <v>0</v>
      </c>
      <c r="AG233" s="14">
        <v>0</v>
      </c>
      <c r="AH233" s="14">
        <v>0</v>
      </c>
      <c r="AI233" s="13" t="str">
        <f t="shared" si="30"/>
        <v>OK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5">
        <f t="shared" si="31"/>
        <v>0</v>
      </c>
      <c r="AQ233" s="14">
        <v>0</v>
      </c>
      <c r="AR233" s="14">
        <v>0</v>
      </c>
      <c r="AS233" s="14">
        <v>0</v>
      </c>
      <c r="AT233" s="14">
        <v>0</v>
      </c>
      <c r="AU233" s="16">
        <f t="shared" si="32"/>
        <v>0</v>
      </c>
      <c r="AV233" s="13" t="str">
        <f t="shared" si="33"/>
        <v>NÃO</v>
      </c>
      <c r="AW233" s="13" t="str">
        <f t="shared" si="34"/>
        <v>OK</v>
      </c>
      <c r="AX233" s="13" t="str">
        <f t="shared" si="35"/>
        <v>OK</v>
      </c>
    </row>
    <row r="234" spans="1:50" x14ac:dyDescent="0.3">
      <c r="A234" s="10" t="s">
        <v>1086</v>
      </c>
      <c r="B234" t="s">
        <v>1557</v>
      </c>
      <c r="C234" t="s">
        <v>1102</v>
      </c>
      <c r="D234" t="s">
        <v>1103</v>
      </c>
      <c r="E234" t="s">
        <v>46</v>
      </c>
      <c r="F234" t="s">
        <v>224</v>
      </c>
      <c r="G234" t="s">
        <v>48</v>
      </c>
      <c r="H234" t="s">
        <v>49</v>
      </c>
      <c r="I234" t="s">
        <v>50</v>
      </c>
      <c r="J234" t="s">
        <v>51</v>
      </c>
      <c r="K234" t="s">
        <v>51</v>
      </c>
      <c r="L234" t="s">
        <v>134</v>
      </c>
      <c r="M234">
        <v>19</v>
      </c>
      <c r="N234" s="11" t="str">
        <f t="shared" si="27"/>
        <v>OK</v>
      </c>
      <c r="O234" t="s">
        <v>54</v>
      </c>
      <c r="P234" t="s">
        <v>54</v>
      </c>
      <c r="Q234" t="s">
        <v>51</v>
      </c>
      <c r="R234" t="str">
        <f>VLOOKUP($D234,[1]Rascunho!$E$2:$S$296,15,FALSE)</f>
        <v>https://transparencia.ro.gov.br/PastasEmArvore/Pastas?id=0538a357-5c3a-48d5-95e6-506e925853aa</v>
      </c>
      <c r="S234" s="12">
        <v>14918479.359999999</v>
      </c>
      <c r="T234" s="12">
        <v>3513339.15</v>
      </c>
      <c r="U234" s="13" t="str">
        <f t="shared" si="28"/>
        <v>OK</v>
      </c>
      <c r="V234" s="14">
        <v>16614189.289999999</v>
      </c>
      <c r="W234" s="14">
        <v>0</v>
      </c>
      <c r="X234" t="s">
        <v>51</v>
      </c>
      <c r="Y234" s="14">
        <v>318286.84000000003</v>
      </c>
      <c r="Z234" s="14">
        <v>0</v>
      </c>
      <c r="AA234" s="14">
        <v>0</v>
      </c>
      <c r="AB234" s="14">
        <v>-698895.98</v>
      </c>
      <c r="AC234" s="13" t="str">
        <f t="shared" si="29"/>
        <v>OK</v>
      </c>
      <c r="AD234" s="14">
        <v>3514839470.6300001</v>
      </c>
      <c r="AE234" s="14" t="e">
        <v>#VALUE!</v>
      </c>
      <c r="AF234" s="14">
        <v>0</v>
      </c>
      <c r="AG234" s="14">
        <v>0</v>
      </c>
      <c r="AH234" s="14">
        <v>0</v>
      </c>
      <c r="AI234" s="13" t="str">
        <f t="shared" si="30"/>
        <v>OK</v>
      </c>
      <c r="AJ234" s="14">
        <v>0</v>
      </c>
      <c r="AK234" s="14">
        <v>0</v>
      </c>
      <c r="AL234" s="14">
        <v>0</v>
      </c>
      <c r="AM234" s="14">
        <v>0</v>
      </c>
      <c r="AN234" s="14">
        <v>25928261.629999999</v>
      </c>
      <c r="AO234" s="14">
        <v>25889369.239999998</v>
      </c>
      <c r="AP234" s="15">
        <f t="shared" si="31"/>
        <v>-38892.390000000596</v>
      </c>
      <c r="AQ234" s="14">
        <v>25988034.100000001</v>
      </c>
      <c r="AR234" s="14">
        <v>25928261.629999999</v>
      </c>
      <c r="AS234" s="14">
        <v>0</v>
      </c>
      <c r="AT234" s="14">
        <v>0</v>
      </c>
      <c r="AU234" s="16">
        <f t="shared" si="32"/>
        <v>-59772.470000002533</v>
      </c>
      <c r="AV234" s="13" t="str">
        <f t="shared" si="33"/>
        <v>NÃO</v>
      </c>
      <c r="AW234" s="13" t="str">
        <f t="shared" si="34"/>
        <v>OK</v>
      </c>
      <c r="AX234" s="13" t="str">
        <f t="shared" si="35"/>
        <v>OK</v>
      </c>
    </row>
    <row r="235" spans="1:50" x14ac:dyDescent="0.3">
      <c r="A235" s="10" t="s">
        <v>1086</v>
      </c>
      <c r="B235" t="s">
        <v>1558</v>
      </c>
      <c r="C235" t="s">
        <v>1106</v>
      </c>
      <c r="D235" t="s">
        <v>1107</v>
      </c>
      <c r="E235" t="s">
        <v>46</v>
      </c>
      <c r="F235" t="s">
        <v>139</v>
      </c>
      <c r="G235" t="s">
        <v>60</v>
      </c>
      <c r="H235" t="s">
        <v>49</v>
      </c>
      <c r="I235" t="s">
        <v>50</v>
      </c>
      <c r="J235" t="s">
        <v>51</v>
      </c>
      <c r="K235" t="s">
        <v>51</v>
      </c>
      <c r="L235" t="s">
        <v>134</v>
      </c>
      <c r="M235">
        <v>10</v>
      </c>
      <c r="N235" s="11" t="str">
        <f t="shared" si="27"/>
        <v>OK</v>
      </c>
      <c r="O235" t="s">
        <v>54</v>
      </c>
      <c r="P235" t="s">
        <v>54</v>
      </c>
      <c r="Q235" t="s">
        <v>51</v>
      </c>
      <c r="R235" t="str">
        <f>VLOOKUP($D235,[1]Rascunho!$E$2:$S$296,15,FALSE)</f>
        <v>http://www.rongas.com.br/site/empresa.asp</v>
      </c>
      <c r="S235" s="12">
        <v>0</v>
      </c>
      <c r="T235" s="12">
        <v>318090.03999999998</v>
      </c>
      <c r="U235" s="13" t="str">
        <f t="shared" si="28"/>
        <v>OK</v>
      </c>
      <c r="V235" s="14">
        <v>442995.34</v>
      </c>
      <c r="W235" s="14">
        <v>0</v>
      </c>
      <c r="X235" t="s">
        <v>51</v>
      </c>
      <c r="Y235" s="14">
        <v>156000</v>
      </c>
      <c r="Z235" s="14">
        <v>0</v>
      </c>
      <c r="AA235" s="14">
        <v>0</v>
      </c>
      <c r="AB235" s="14">
        <v>-344280.88</v>
      </c>
      <c r="AC235" s="13" t="str">
        <f t="shared" si="29"/>
        <v>OK</v>
      </c>
      <c r="AD235" s="14">
        <v>1312124.5900000001</v>
      </c>
      <c r="AE235" s="14" t="e">
        <v>#VALUE!</v>
      </c>
      <c r="AF235" s="14">
        <v>0</v>
      </c>
      <c r="AG235" s="14">
        <v>0</v>
      </c>
      <c r="AH235" s="14">
        <v>0</v>
      </c>
      <c r="AI235" s="13" t="str">
        <f t="shared" si="30"/>
        <v>OK</v>
      </c>
      <c r="AJ235" s="14">
        <v>0</v>
      </c>
      <c r="AK235" s="14">
        <v>0</v>
      </c>
      <c r="AL235" s="14">
        <v>0</v>
      </c>
      <c r="AM235" s="14">
        <v>0</v>
      </c>
      <c r="AN235" s="14">
        <v>1417480</v>
      </c>
      <c r="AO235" s="14">
        <v>1502480</v>
      </c>
      <c r="AP235" s="15">
        <f t="shared" si="31"/>
        <v>85000</v>
      </c>
      <c r="AQ235" s="14">
        <v>8253110</v>
      </c>
      <c r="AR235" s="14">
        <v>8668110</v>
      </c>
      <c r="AS235" s="14">
        <v>85000</v>
      </c>
      <c r="AT235" s="14">
        <v>170000</v>
      </c>
      <c r="AU235" s="16">
        <f t="shared" si="32"/>
        <v>585000</v>
      </c>
      <c r="AV235" s="13" t="str">
        <f t="shared" si="33"/>
        <v>SIM</v>
      </c>
      <c r="AW235" s="13" t="str">
        <f t="shared" si="34"/>
        <v>OK</v>
      </c>
      <c r="AX235" s="13" t="str">
        <f t="shared" si="35"/>
        <v>OK</v>
      </c>
    </row>
    <row r="236" spans="1:50" x14ac:dyDescent="0.3">
      <c r="A236" s="10" t="s">
        <v>1086</v>
      </c>
      <c r="B236" t="s">
        <v>1559</v>
      </c>
      <c r="C236" t="s">
        <v>1109</v>
      </c>
      <c r="D236" t="s">
        <v>1110</v>
      </c>
      <c r="E236" t="s">
        <v>46</v>
      </c>
      <c r="F236" t="s">
        <v>314</v>
      </c>
      <c r="G236" t="s">
        <v>48</v>
      </c>
      <c r="H236" t="s">
        <v>49</v>
      </c>
      <c r="I236" t="s">
        <v>50</v>
      </c>
      <c r="J236" t="s">
        <v>51</v>
      </c>
      <c r="K236" t="s">
        <v>51</v>
      </c>
      <c r="L236" t="s">
        <v>134</v>
      </c>
      <c r="M236">
        <v>75</v>
      </c>
      <c r="N236" s="11" t="str">
        <f t="shared" si="27"/>
        <v>OK</v>
      </c>
      <c r="O236" t="s">
        <v>54</v>
      </c>
      <c r="P236" t="s">
        <v>54</v>
      </c>
      <c r="Q236" t="s">
        <v>51</v>
      </c>
      <c r="R236" t="str">
        <f>VLOOKUP($D236,[1]Rascunho!$E$2:$S$296,15,FALSE)</f>
        <v>https://rondonia.ro.gov.br/wp-content/uploads/2024/04/SEI_0047420215_Ato_3.pdf</v>
      </c>
      <c r="S236" s="12">
        <v>17495919.199999999</v>
      </c>
      <c r="T236" s="12">
        <v>12456521.710000001</v>
      </c>
      <c r="U236" s="13" t="str">
        <f t="shared" si="28"/>
        <v>OK</v>
      </c>
      <c r="V236" s="14">
        <v>13819223.85</v>
      </c>
      <c r="W236" s="14">
        <v>543157.86</v>
      </c>
      <c r="X236" t="s">
        <v>51</v>
      </c>
      <c r="Y236" s="14">
        <v>491887.35</v>
      </c>
      <c r="Z236" s="14">
        <v>0</v>
      </c>
      <c r="AA236" s="14">
        <v>0</v>
      </c>
      <c r="AB236" s="14">
        <v>2946630.68</v>
      </c>
      <c r="AC236" s="13" t="str">
        <f t="shared" si="29"/>
        <v>OK</v>
      </c>
      <c r="AD236" s="14">
        <v>23172352.780000001</v>
      </c>
      <c r="AE236" s="14" t="e">
        <v>#VALUE!</v>
      </c>
      <c r="AF236" s="14">
        <v>0</v>
      </c>
      <c r="AG236" s="14">
        <v>7000000</v>
      </c>
      <c r="AH236" s="14">
        <v>7000000</v>
      </c>
      <c r="AI236" s="13" t="str">
        <f t="shared" si="30"/>
        <v>INDÍCIO DE DEPENDÊNCIA POR SUBVENÇÃO</v>
      </c>
      <c r="AJ236" s="14">
        <v>0</v>
      </c>
      <c r="AK236" s="14">
        <v>0</v>
      </c>
      <c r="AL236" s="14">
        <v>7000000</v>
      </c>
      <c r="AM236" s="14">
        <v>1000000</v>
      </c>
      <c r="AN236" s="14">
        <v>100000</v>
      </c>
      <c r="AO236" s="14">
        <v>100000</v>
      </c>
      <c r="AP236" s="15">
        <f t="shared" si="31"/>
        <v>0</v>
      </c>
      <c r="AQ236" s="14">
        <v>2700000</v>
      </c>
      <c r="AR236" s="14">
        <v>11628781.640000001</v>
      </c>
      <c r="AS236" s="14">
        <v>8928781.6400000006</v>
      </c>
      <c r="AT236" s="14">
        <v>1000000</v>
      </c>
      <c r="AU236" s="16">
        <f t="shared" si="32"/>
        <v>9928781.6400000006</v>
      </c>
      <c r="AV236" s="13" t="str">
        <f t="shared" si="33"/>
        <v>SIM</v>
      </c>
      <c r="AW236" s="13" t="str">
        <f t="shared" si="34"/>
        <v>VER CAPITAL</v>
      </c>
      <c r="AX236" s="13" t="str">
        <f t="shared" si="35"/>
        <v>OK</v>
      </c>
    </row>
    <row r="237" spans="1:50" x14ac:dyDescent="0.3">
      <c r="A237" s="10" t="s">
        <v>1112</v>
      </c>
      <c r="B237" t="s">
        <v>1560</v>
      </c>
      <c r="C237" t="s">
        <v>1130</v>
      </c>
      <c r="D237" t="s">
        <v>1131</v>
      </c>
      <c r="E237" t="s">
        <v>46</v>
      </c>
      <c r="F237" t="s">
        <v>107</v>
      </c>
      <c r="G237" t="s">
        <v>60</v>
      </c>
      <c r="H237" t="s">
        <v>49</v>
      </c>
      <c r="I237" t="s">
        <v>50</v>
      </c>
      <c r="J237" t="s">
        <v>51</v>
      </c>
      <c r="K237" t="s">
        <v>51</v>
      </c>
      <c r="L237" t="s">
        <v>134</v>
      </c>
      <c r="M237">
        <v>957</v>
      </c>
      <c r="N237" s="11" t="str">
        <f t="shared" si="27"/>
        <v>OK</v>
      </c>
      <c r="O237" t="s">
        <v>54</v>
      </c>
      <c r="P237" t="s">
        <v>54</v>
      </c>
      <c r="Q237" t="s">
        <v>51</v>
      </c>
      <c r="R237" t="str">
        <f>VLOOKUP($D237,[1]Rascunho!$E$2:$S$296,15,FALSE)</f>
        <v>https://www.caer.com.br/</v>
      </c>
      <c r="S237" s="12">
        <v>147553616.24000001</v>
      </c>
      <c r="T237" s="12">
        <v>91568059.659999996</v>
      </c>
      <c r="U237" s="13" t="str">
        <f t="shared" si="28"/>
        <v>OK</v>
      </c>
      <c r="V237" s="14">
        <v>253259916.03</v>
      </c>
      <c r="W237" s="14">
        <v>25977138.940000001</v>
      </c>
      <c r="X237" t="s">
        <v>51</v>
      </c>
      <c r="Y237" s="14">
        <v>514000.04</v>
      </c>
      <c r="Z237" s="14">
        <v>0</v>
      </c>
      <c r="AA237" s="14">
        <v>0</v>
      </c>
      <c r="AB237" s="14">
        <v>75045815.5</v>
      </c>
      <c r="AC237" s="13" t="str">
        <f t="shared" si="29"/>
        <v>OK</v>
      </c>
      <c r="AD237" s="14">
        <v>-693819758.24000001</v>
      </c>
      <c r="AE237" s="14">
        <v>0</v>
      </c>
      <c r="AF237" s="14">
        <v>0</v>
      </c>
      <c r="AG237" s="14">
        <v>0</v>
      </c>
      <c r="AH237" s="14">
        <v>0</v>
      </c>
      <c r="AI237" s="13" t="str">
        <f t="shared" si="30"/>
        <v>OK</v>
      </c>
      <c r="AJ237" s="14">
        <v>0</v>
      </c>
      <c r="AK237" s="14">
        <v>0</v>
      </c>
      <c r="AL237" s="14">
        <v>10000000</v>
      </c>
      <c r="AM237" s="14">
        <v>11735793.060000001</v>
      </c>
      <c r="AN237" s="14">
        <v>52304066</v>
      </c>
      <c r="AO237" s="14">
        <v>59966976</v>
      </c>
      <c r="AP237" s="15">
        <f t="shared" si="31"/>
        <v>7662910</v>
      </c>
      <c r="AQ237" s="14">
        <v>68710883.620000005</v>
      </c>
      <c r="AR237" s="14">
        <v>78710883.620000005</v>
      </c>
      <c r="AS237" s="14">
        <v>0</v>
      </c>
      <c r="AT237" s="14">
        <v>11735793.060000001</v>
      </c>
      <c r="AU237" s="16">
        <f t="shared" si="32"/>
        <v>21735793.060000002</v>
      </c>
      <c r="AV237" s="13" t="str">
        <f t="shared" si="33"/>
        <v>SIM</v>
      </c>
      <c r="AW237" s="13" t="str">
        <f t="shared" si="34"/>
        <v>VER CAPITAL</v>
      </c>
      <c r="AX237" s="13" t="str">
        <f t="shared" si="35"/>
        <v>OK</v>
      </c>
    </row>
    <row r="238" spans="1:50" x14ac:dyDescent="0.3">
      <c r="A238" s="10" t="s">
        <v>1112</v>
      </c>
      <c r="B238" t="s">
        <v>1561</v>
      </c>
      <c r="C238" t="s">
        <v>1114</v>
      </c>
      <c r="D238" t="s">
        <v>1115</v>
      </c>
      <c r="E238" t="s">
        <v>70</v>
      </c>
      <c r="F238" t="s">
        <v>409</v>
      </c>
      <c r="G238" t="s">
        <v>60</v>
      </c>
      <c r="H238" t="s">
        <v>49</v>
      </c>
      <c r="I238" t="s">
        <v>50</v>
      </c>
      <c r="J238" t="s">
        <v>51</v>
      </c>
      <c r="K238" t="s">
        <v>51</v>
      </c>
      <c r="L238" t="s">
        <v>52</v>
      </c>
      <c r="M238">
        <v>242</v>
      </c>
      <c r="N238" s="11" t="str">
        <f t="shared" si="27"/>
        <v>OK</v>
      </c>
      <c r="O238" t="s">
        <v>54</v>
      </c>
      <c r="P238" t="s">
        <v>54</v>
      </c>
      <c r="Q238" t="s">
        <v>51</v>
      </c>
      <c r="R238" t="str">
        <f>VLOOKUP($D238,[1]Rascunho!$E$2:$S$296,15,FALSE)</f>
        <v>https://www.imprensaoficial.rr.gov.br/app/_visualizar-doe/</v>
      </c>
      <c r="S238" s="12">
        <v>36108074.979999997</v>
      </c>
      <c r="T238" s="12">
        <v>32500488.18</v>
      </c>
      <c r="U238" s="13" t="str">
        <f t="shared" si="28"/>
        <v>OK</v>
      </c>
      <c r="V238" s="14">
        <v>34469992.380000003</v>
      </c>
      <c r="W238" s="14">
        <v>0</v>
      </c>
      <c r="X238" t="s">
        <v>51</v>
      </c>
      <c r="Y238" s="14">
        <v>250290</v>
      </c>
      <c r="Z238" s="14">
        <v>0</v>
      </c>
      <c r="AA238" s="14">
        <v>0</v>
      </c>
      <c r="AB238" s="14">
        <v>3496702.83</v>
      </c>
      <c r="AC238" s="13" t="str">
        <f t="shared" si="29"/>
        <v>OK</v>
      </c>
      <c r="AD238" s="14">
        <v>-29524490.239999998</v>
      </c>
      <c r="AE238" s="14">
        <v>0</v>
      </c>
      <c r="AF238" s="14">
        <v>0</v>
      </c>
      <c r="AG238" s="14">
        <v>28377933.75</v>
      </c>
      <c r="AH238" s="14">
        <v>7079730.0700000003</v>
      </c>
      <c r="AI238" s="13" t="str">
        <f t="shared" si="30"/>
        <v>OK</v>
      </c>
      <c r="AJ238" s="14">
        <v>0</v>
      </c>
      <c r="AK238" s="14">
        <v>0</v>
      </c>
      <c r="AL238" s="14">
        <v>0</v>
      </c>
      <c r="AM238" s="14">
        <v>0</v>
      </c>
      <c r="AN238" s="14">
        <v>192846707637</v>
      </c>
      <c r="AO238" s="14">
        <v>192846707637</v>
      </c>
      <c r="AP238" s="15">
        <f t="shared" si="31"/>
        <v>0</v>
      </c>
      <c r="AQ238" s="14">
        <v>1313101397.05</v>
      </c>
      <c r="AR238" s="14">
        <v>1313101397.05</v>
      </c>
      <c r="AS238" s="14">
        <v>0</v>
      </c>
      <c r="AT238" s="14">
        <v>0</v>
      </c>
      <c r="AU238" s="16">
        <f t="shared" si="32"/>
        <v>0</v>
      </c>
      <c r="AV238" s="13" t="str">
        <f t="shared" si="33"/>
        <v>NÃO</v>
      </c>
      <c r="AW238" s="13" t="str">
        <f t="shared" si="34"/>
        <v>OK</v>
      </c>
      <c r="AX238" s="13" t="str">
        <f t="shared" si="35"/>
        <v>OK</v>
      </c>
    </row>
    <row r="239" spans="1:50" ht="28.8" x14ac:dyDescent="0.3">
      <c r="A239" s="10" t="s">
        <v>1112</v>
      </c>
      <c r="B239" t="s">
        <v>1562</v>
      </c>
      <c r="C239" t="s">
        <v>1118</v>
      </c>
      <c r="D239" t="s">
        <v>1119</v>
      </c>
      <c r="E239" t="s">
        <v>46</v>
      </c>
      <c r="F239" s="6" t="s">
        <v>65</v>
      </c>
      <c r="G239" t="s">
        <v>60</v>
      </c>
      <c r="H239" t="s">
        <v>49</v>
      </c>
      <c r="I239" t="s">
        <v>50</v>
      </c>
      <c r="J239" t="s">
        <v>51</v>
      </c>
      <c r="K239" t="s">
        <v>51</v>
      </c>
      <c r="L239" t="s">
        <v>52</v>
      </c>
      <c r="M239">
        <v>264</v>
      </c>
      <c r="N239" s="11" t="str">
        <f t="shared" si="27"/>
        <v>OK</v>
      </c>
      <c r="O239" t="s">
        <v>54</v>
      </c>
      <c r="P239" t="s">
        <v>54</v>
      </c>
      <c r="Q239" t="s">
        <v>51</v>
      </c>
      <c r="R239" t="str">
        <f>VLOOKUP($D239,[1]Rascunho!$E$2:$S$296,15,FALSE)</f>
        <v>https://codesaima.rr.gov.br/</v>
      </c>
      <c r="S239" s="12">
        <v>0</v>
      </c>
      <c r="T239" s="12">
        <v>23461309.280000001</v>
      </c>
      <c r="U239" s="13" t="str">
        <f t="shared" si="28"/>
        <v>OK</v>
      </c>
      <c r="V239" s="14">
        <v>39787473.82</v>
      </c>
      <c r="W239" s="14">
        <v>0</v>
      </c>
      <c r="X239" t="s">
        <v>51</v>
      </c>
      <c r="Y239" s="14">
        <v>379743</v>
      </c>
      <c r="Z239" s="14">
        <v>0</v>
      </c>
      <c r="AA239" s="14">
        <v>0</v>
      </c>
      <c r="AB239" s="14">
        <v>-7396225.1100000003</v>
      </c>
      <c r="AC239" s="13" t="str">
        <f t="shared" si="29"/>
        <v>OK</v>
      </c>
      <c r="AD239" s="14">
        <v>119525114.04000001</v>
      </c>
      <c r="AE239" s="14">
        <v>533496172.04000002</v>
      </c>
      <c r="AF239" s="14">
        <v>0</v>
      </c>
      <c r="AG239" s="14">
        <v>53523112.960000001</v>
      </c>
      <c r="AH239" s="14">
        <v>29832593.460000001</v>
      </c>
      <c r="AI239" s="13" t="str">
        <f t="shared" si="30"/>
        <v>OK</v>
      </c>
      <c r="AJ239" s="14">
        <v>0</v>
      </c>
      <c r="AK239" s="14">
        <v>0</v>
      </c>
      <c r="AL239" s="14">
        <v>0</v>
      </c>
      <c r="AM239" s="14">
        <v>0</v>
      </c>
      <c r="AN239" s="14">
        <v>99841.36</v>
      </c>
      <c r="AO239" s="14">
        <v>99841.36</v>
      </c>
      <c r="AP239" s="15">
        <f t="shared" si="31"/>
        <v>0</v>
      </c>
      <c r="AQ239" s="14">
        <v>533496172.04000002</v>
      </c>
      <c r="AR239" s="14">
        <v>533496172.04000002</v>
      </c>
      <c r="AS239" s="14">
        <v>0</v>
      </c>
      <c r="AT239" s="14">
        <v>0</v>
      </c>
      <c r="AU239" s="16">
        <f t="shared" si="32"/>
        <v>0</v>
      </c>
      <c r="AV239" s="13" t="str">
        <f t="shared" si="33"/>
        <v>NÃO</v>
      </c>
      <c r="AW239" s="13" t="str">
        <f t="shared" si="34"/>
        <v>OK</v>
      </c>
      <c r="AX239" s="13" t="str">
        <f t="shared" si="35"/>
        <v>OK</v>
      </c>
    </row>
    <row r="240" spans="1:50" x14ac:dyDescent="0.3">
      <c r="A240" s="10" t="s">
        <v>1112</v>
      </c>
      <c r="B240" t="s">
        <v>1563</v>
      </c>
      <c r="C240" t="s">
        <v>1123</v>
      </c>
      <c r="D240" t="s">
        <v>1124</v>
      </c>
      <c r="E240" t="s">
        <v>46</v>
      </c>
      <c r="F240" t="s">
        <v>71</v>
      </c>
      <c r="G240" t="s">
        <v>60</v>
      </c>
      <c r="H240" t="s">
        <v>49</v>
      </c>
      <c r="I240" t="s">
        <v>50</v>
      </c>
      <c r="J240" t="s">
        <v>51</v>
      </c>
      <c r="K240" t="s">
        <v>51</v>
      </c>
      <c r="L240" t="s">
        <v>52</v>
      </c>
      <c r="M240">
        <v>41</v>
      </c>
      <c r="N240" s="11" t="str">
        <f t="shared" si="27"/>
        <v>OK</v>
      </c>
      <c r="O240" t="s">
        <v>54</v>
      </c>
      <c r="P240" t="s">
        <v>54</v>
      </c>
      <c r="Q240" t="s">
        <v>54</v>
      </c>
      <c r="R240" t="str">
        <f>VLOOKUP($D240,[1]Rascunho!$E$2:$S$296,15,FALSE)</f>
        <v>https://desenvolve.rr.gov.br/</v>
      </c>
      <c r="S240" s="12">
        <v>1517860.78</v>
      </c>
      <c r="T240" s="12">
        <v>6557587.75</v>
      </c>
      <c r="U240" s="13" t="str">
        <f t="shared" si="28"/>
        <v>OK</v>
      </c>
      <c r="V240" s="14">
        <v>11436621.470000001</v>
      </c>
      <c r="W240" s="14">
        <v>3625000</v>
      </c>
      <c r="X240" t="s">
        <v>51</v>
      </c>
      <c r="Y240" s="14">
        <v>278100</v>
      </c>
      <c r="Z240" s="14">
        <v>0</v>
      </c>
      <c r="AA240" s="14">
        <v>0</v>
      </c>
      <c r="AB240" s="14">
        <v>-2973722.17</v>
      </c>
      <c r="AC240" s="13" t="str">
        <f t="shared" si="29"/>
        <v>OK</v>
      </c>
      <c r="AD240" s="14">
        <v>9240036.8900000006</v>
      </c>
      <c r="AE240" s="14">
        <v>9240036.8900000006</v>
      </c>
      <c r="AF240" s="14">
        <v>0</v>
      </c>
      <c r="AG240" s="14">
        <v>7494000</v>
      </c>
      <c r="AH240" s="14">
        <v>8462899.3000000007</v>
      </c>
      <c r="AI240" s="13" t="str">
        <f t="shared" si="30"/>
        <v>OK</v>
      </c>
      <c r="AJ240" s="14">
        <v>0</v>
      </c>
      <c r="AK240" s="14">
        <v>0</v>
      </c>
      <c r="AL240" s="14">
        <v>0</v>
      </c>
      <c r="AM240" s="14">
        <v>0</v>
      </c>
      <c r="AN240" s="14">
        <v>16159750</v>
      </c>
      <c r="AO240" s="14">
        <v>16159750</v>
      </c>
      <c r="AP240" s="15">
        <f t="shared" si="31"/>
        <v>0</v>
      </c>
      <c r="AQ240" s="14">
        <v>16164393.109999999</v>
      </c>
      <c r="AR240" s="14">
        <v>16164393.109999999</v>
      </c>
      <c r="AS240" s="14">
        <v>0</v>
      </c>
      <c r="AT240" s="14">
        <v>0</v>
      </c>
      <c r="AU240" s="16">
        <f t="shared" si="32"/>
        <v>0</v>
      </c>
      <c r="AV240" s="13" t="str">
        <f t="shared" si="33"/>
        <v>NÃO</v>
      </c>
      <c r="AW240" s="13" t="str">
        <f t="shared" si="34"/>
        <v>OK</v>
      </c>
      <c r="AX240" s="13" t="str">
        <f t="shared" si="35"/>
        <v>OK</v>
      </c>
    </row>
    <row r="241" spans="1:50" x14ac:dyDescent="0.3">
      <c r="A241" s="10" t="s">
        <v>1112</v>
      </c>
      <c r="B241" t="s">
        <v>1564</v>
      </c>
      <c r="C241" t="s">
        <v>1127</v>
      </c>
      <c r="D241" t="s">
        <v>1128</v>
      </c>
      <c r="E241" t="s">
        <v>46</v>
      </c>
      <c r="F241" t="s">
        <v>150</v>
      </c>
      <c r="G241" t="s">
        <v>48</v>
      </c>
      <c r="H241" t="s">
        <v>76</v>
      </c>
      <c r="I241" t="s">
        <v>50</v>
      </c>
      <c r="J241" t="s">
        <v>51</v>
      </c>
      <c r="K241" t="s">
        <v>51</v>
      </c>
      <c r="L241" t="s">
        <v>52</v>
      </c>
      <c r="M241">
        <v>66</v>
      </c>
      <c r="N241" s="11" t="str">
        <f t="shared" si="27"/>
        <v>OK</v>
      </c>
      <c r="O241" t="s">
        <v>54</v>
      </c>
      <c r="P241" t="s">
        <v>51</v>
      </c>
      <c r="Q241" t="s">
        <v>54</v>
      </c>
      <c r="R241" t="str">
        <f>VLOOKUP($D241,[1]Rascunho!$E$2:$S$296,15,FALSE)</f>
        <v>https://www.radiororaima.com.br/</v>
      </c>
      <c r="S241" s="12">
        <v>81582.11</v>
      </c>
      <c r="T241" s="12">
        <v>4593459.66</v>
      </c>
      <c r="U241" s="13" t="str">
        <f t="shared" si="28"/>
        <v>OK</v>
      </c>
      <c r="V241" s="14">
        <v>4944639.9800000004</v>
      </c>
      <c r="W241" s="14">
        <v>95178</v>
      </c>
      <c r="X241" t="s">
        <v>51</v>
      </c>
      <c r="Y241" s="14">
        <v>130000</v>
      </c>
      <c r="Z241" s="14">
        <v>0</v>
      </c>
      <c r="AA241" s="14">
        <v>0</v>
      </c>
      <c r="AB241" s="14">
        <v>-1284993.77</v>
      </c>
      <c r="AC241" s="13" t="str">
        <f t="shared" si="29"/>
        <v>OK</v>
      </c>
      <c r="AD241" s="14">
        <v>-2696163.28</v>
      </c>
      <c r="AE241" s="14">
        <v>0</v>
      </c>
      <c r="AF241" s="14">
        <v>0</v>
      </c>
      <c r="AG241" s="14">
        <v>4445436.47</v>
      </c>
      <c r="AH241" s="14">
        <v>5693691.79</v>
      </c>
      <c r="AI241" s="13" t="str">
        <f t="shared" si="30"/>
        <v>OK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5">
        <f t="shared" si="31"/>
        <v>0</v>
      </c>
      <c r="AQ241" s="14">
        <v>800000</v>
      </c>
      <c r="AR241" s="14">
        <v>800000</v>
      </c>
      <c r="AS241" s="14">
        <v>0</v>
      </c>
      <c r="AT241" s="14">
        <v>0</v>
      </c>
      <c r="AU241" s="16">
        <f t="shared" si="32"/>
        <v>0</v>
      </c>
      <c r="AV241" s="13" t="str">
        <f t="shared" si="33"/>
        <v>NÃO</v>
      </c>
      <c r="AW241" s="13" t="str">
        <f t="shared" si="34"/>
        <v>OK</v>
      </c>
      <c r="AX241" s="13" t="str">
        <f t="shared" si="35"/>
        <v>OK</v>
      </c>
    </row>
    <row r="242" spans="1:50" x14ac:dyDescent="0.3">
      <c r="A242" s="10" t="s">
        <v>1134</v>
      </c>
      <c r="B242" t="s">
        <v>1565</v>
      </c>
      <c r="C242" t="s">
        <v>1136</v>
      </c>
      <c r="D242" t="s">
        <v>1137</v>
      </c>
      <c r="E242" t="s">
        <v>46</v>
      </c>
      <c r="F242" t="s">
        <v>71</v>
      </c>
      <c r="G242" t="s">
        <v>60</v>
      </c>
      <c r="H242" t="s">
        <v>49</v>
      </c>
      <c r="I242" t="s">
        <v>50</v>
      </c>
      <c r="J242" t="s">
        <v>51</v>
      </c>
      <c r="K242" t="s">
        <v>51</v>
      </c>
      <c r="L242" t="s">
        <v>134</v>
      </c>
      <c r="M242">
        <v>151</v>
      </c>
      <c r="N242" s="11" t="str">
        <f t="shared" si="27"/>
        <v>OK</v>
      </c>
      <c r="O242" t="s">
        <v>54</v>
      </c>
      <c r="P242" t="s">
        <v>54</v>
      </c>
      <c r="Q242" t="s">
        <v>54</v>
      </c>
      <c r="R242" t="str">
        <f>VLOOKUP($D242,[1]Rascunho!$E$2:$S$296,15,FALSE)</f>
        <v>https://www.badesul.com.br/transparencia#11</v>
      </c>
      <c r="S242" s="12">
        <v>444980862</v>
      </c>
      <c r="T242" s="12">
        <v>39218654</v>
      </c>
      <c r="U242" s="13" t="str">
        <f t="shared" si="28"/>
        <v>OK</v>
      </c>
      <c r="V242" s="14">
        <v>510954001</v>
      </c>
      <c r="W242" s="14">
        <v>0</v>
      </c>
      <c r="X242" t="s">
        <v>54</v>
      </c>
      <c r="Y242" s="14">
        <v>398132.32</v>
      </c>
      <c r="Z242" s="14">
        <v>42209.599999999999</v>
      </c>
      <c r="AA242" s="14">
        <v>40763.839999999997</v>
      </c>
      <c r="AB242" s="14">
        <v>116346510</v>
      </c>
      <c r="AC242" s="13" t="str">
        <f t="shared" si="29"/>
        <v>OK</v>
      </c>
      <c r="AD242" s="14">
        <v>947875000</v>
      </c>
      <c r="AE242" s="14">
        <v>0</v>
      </c>
      <c r="AF242" s="14">
        <v>0</v>
      </c>
      <c r="AG242" s="14">
        <v>0</v>
      </c>
      <c r="AH242" s="14">
        <v>0</v>
      </c>
      <c r="AI242" s="13" t="str">
        <f t="shared" si="30"/>
        <v>OK</v>
      </c>
      <c r="AJ242" s="14">
        <v>0</v>
      </c>
      <c r="AK242" s="14">
        <v>0</v>
      </c>
      <c r="AL242" s="14">
        <v>0</v>
      </c>
      <c r="AM242" s="14">
        <v>0</v>
      </c>
      <c r="AN242" s="14">
        <v>100</v>
      </c>
      <c r="AO242" s="14">
        <v>100</v>
      </c>
      <c r="AP242" s="15">
        <f t="shared" si="31"/>
        <v>0</v>
      </c>
      <c r="AQ242" s="14">
        <v>761690000</v>
      </c>
      <c r="AR242" s="14">
        <v>798273000</v>
      </c>
      <c r="AS242" s="14">
        <v>0</v>
      </c>
      <c r="AT242" s="14">
        <v>0</v>
      </c>
      <c r="AU242" s="16">
        <f t="shared" si="32"/>
        <v>36583000</v>
      </c>
      <c r="AV242" s="13" t="str">
        <f t="shared" si="33"/>
        <v>SIM</v>
      </c>
      <c r="AW242" s="13" t="str">
        <f t="shared" si="34"/>
        <v>OK</v>
      </c>
      <c r="AX242" s="13" t="str">
        <f t="shared" si="35"/>
        <v>OK</v>
      </c>
    </row>
    <row r="243" spans="1:50" x14ac:dyDescent="0.3">
      <c r="A243" s="10" t="s">
        <v>1134</v>
      </c>
      <c r="B243" t="s">
        <v>1566</v>
      </c>
      <c r="C243" t="s">
        <v>1141</v>
      </c>
      <c r="D243" t="s">
        <v>1142</v>
      </c>
      <c r="E243" t="s">
        <v>46</v>
      </c>
      <c r="F243" t="s">
        <v>71</v>
      </c>
      <c r="G243" t="s">
        <v>60</v>
      </c>
      <c r="H243" t="s">
        <v>49</v>
      </c>
      <c r="I243" t="s">
        <v>373</v>
      </c>
      <c r="J243" t="s">
        <v>54</v>
      </c>
      <c r="K243" t="s">
        <v>51</v>
      </c>
      <c r="L243" t="s">
        <v>134</v>
      </c>
      <c r="M243">
        <v>13778</v>
      </c>
      <c r="N243" s="11" t="str">
        <f t="shared" si="27"/>
        <v>OK</v>
      </c>
      <c r="O243" t="s">
        <v>54</v>
      </c>
      <c r="P243" t="s">
        <v>54</v>
      </c>
      <c r="Q243" t="s">
        <v>54</v>
      </c>
      <c r="R243" t="str">
        <f>VLOOKUP($D243,[1]Rascunho!$E$2:$S$296,15,FALSE)</f>
        <v>https://ri.banrisul.com.br/governanca-corporativa/estatuto-politicas-e-documentos/</v>
      </c>
      <c r="S243" s="12">
        <v>15701727940.809999</v>
      </c>
      <c r="T243" s="12">
        <v>2377229796.6900001</v>
      </c>
      <c r="U243" s="13" t="str">
        <f t="shared" si="28"/>
        <v>OK</v>
      </c>
      <c r="V243" s="14">
        <v>18381915470.25</v>
      </c>
      <c r="W243" s="14">
        <v>336492584.81</v>
      </c>
      <c r="X243" t="s">
        <v>54</v>
      </c>
      <c r="Y243" s="14">
        <v>1452935.66</v>
      </c>
      <c r="Z243" s="14">
        <v>20915.78</v>
      </c>
      <c r="AA243" s="14">
        <v>28759.8</v>
      </c>
      <c r="AB243" s="14">
        <v>870103937.90999997</v>
      </c>
      <c r="AC243" s="13" t="str">
        <f t="shared" si="29"/>
        <v>OK</v>
      </c>
      <c r="AD243" s="14">
        <v>9662087683.2000008</v>
      </c>
      <c r="AE243" s="14">
        <v>5459809267.9499998</v>
      </c>
      <c r="AF243" s="14">
        <v>185278712.34</v>
      </c>
      <c r="AG243" s="14">
        <v>0</v>
      </c>
      <c r="AH243" s="14">
        <v>0</v>
      </c>
      <c r="AI243" s="13" t="str">
        <f t="shared" si="30"/>
        <v>OK</v>
      </c>
      <c r="AJ243" s="14">
        <v>0</v>
      </c>
      <c r="AK243" s="14">
        <v>0</v>
      </c>
      <c r="AL243" s="14">
        <v>0</v>
      </c>
      <c r="AM243" s="14">
        <v>0</v>
      </c>
      <c r="AN243" s="14">
        <v>49.39</v>
      </c>
      <c r="AO243" s="14">
        <v>49.39</v>
      </c>
      <c r="AP243" s="15">
        <f t="shared" si="31"/>
        <v>0</v>
      </c>
      <c r="AQ243" s="14">
        <v>5200000000</v>
      </c>
      <c r="AR243" s="14">
        <v>5200000000</v>
      </c>
      <c r="AS243" s="14">
        <v>0</v>
      </c>
      <c r="AT243" s="14">
        <v>0</v>
      </c>
      <c r="AU243" s="16">
        <f t="shared" si="32"/>
        <v>0</v>
      </c>
      <c r="AV243" s="13" t="str">
        <f t="shared" si="33"/>
        <v>NÃO</v>
      </c>
      <c r="AW243" s="13" t="str">
        <f t="shared" si="34"/>
        <v>OK</v>
      </c>
      <c r="AX243" s="13" t="str">
        <f t="shared" si="35"/>
        <v>OK</v>
      </c>
    </row>
    <row r="244" spans="1:50" x14ac:dyDescent="0.3">
      <c r="A244" s="10" t="s">
        <v>1134</v>
      </c>
      <c r="B244" t="s">
        <v>1567</v>
      </c>
      <c r="C244" t="s">
        <v>1568</v>
      </c>
      <c r="D244" t="s">
        <v>1147</v>
      </c>
      <c r="E244" t="s">
        <v>46</v>
      </c>
      <c r="F244" t="s">
        <v>71</v>
      </c>
      <c r="G244" t="s">
        <v>48</v>
      </c>
      <c r="H244" t="s">
        <v>76</v>
      </c>
      <c r="I244" t="s">
        <v>50</v>
      </c>
      <c r="J244" t="s">
        <v>51</v>
      </c>
      <c r="K244" t="s">
        <v>51</v>
      </c>
      <c r="L244" t="s">
        <v>134</v>
      </c>
      <c r="M244">
        <v>0</v>
      </c>
      <c r="N244" s="11" t="str">
        <f t="shared" si="27"/>
        <v>VERIFICAR</v>
      </c>
      <c r="O244" t="s">
        <v>54</v>
      </c>
      <c r="P244" t="s">
        <v>54</v>
      </c>
      <c r="Q244" t="s">
        <v>54</v>
      </c>
      <c r="R244" t="str">
        <f>VLOOKUP($D244,[1]Rascunho!$E$2:$S$296,15,FALSE)</f>
        <v>https://www.brde.com.br/wp-content/uploads/2023/04/CARTA-ANUAL-2023.pdf</v>
      </c>
      <c r="S244" s="12">
        <v>2286378085.3800001</v>
      </c>
      <c r="T244" s="12">
        <v>231513090.36000001</v>
      </c>
      <c r="U244" s="13" t="str">
        <f t="shared" si="28"/>
        <v>VERIFICAR</v>
      </c>
      <c r="V244" s="14">
        <v>1571608662.55</v>
      </c>
      <c r="W244" s="14">
        <v>6533754.0599999996</v>
      </c>
      <c r="X244" t="s">
        <v>54</v>
      </c>
      <c r="Y244" s="14">
        <v>791768.55</v>
      </c>
      <c r="Z244" s="14">
        <v>55997.760000000002</v>
      </c>
      <c r="AA244" s="14">
        <v>22432.400000000001</v>
      </c>
      <c r="AB244" s="14">
        <v>517249729.23000002</v>
      </c>
      <c r="AC244" s="13" t="str">
        <f t="shared" si="29"/>
        <v>OK</v>
      </c>
      <c r="AD244" s="14">
        <v>4101322431.8600001</v>
      </c>
      <c r="AE244" s="14">
        <v>0</v>
      </c>
      <c r="AF244" s="14">
        <v>0</v>
      </c>
      <c r="AG244" s="14">
        <v>0</v>
      </c>
      <c r="AH244" s="14">
        <v>0</v>
      </c>
      <c r="AI244" s="13" t="str">
        <f t="shared" si="30"/>
        <v>OK</v>
      </c>
      <c r="AJ244" s="14">
        <v>0</v>
      </c>
      <c r="AK244" s="14">
        <v>0</v>
      </c>
      <c r="AL244" s="14">
        <v>0</v>
      </c>
      <c r="AM244" s="14">
        <v>0</v>
      </c>
      <c r="AN244" s="14">
        <v>33.33</v>
      </c>
      <c r="AO244" s="14">
        <v>33.33</v>
      </c>
      <c r="AP244" s="15">
        <f t="shared" si="31"/>
        <v>0</v>
      </c>
      <c r="AQ244" s="14">
        <v>1971507000</v>
      </c>
      <c r="AR244" s="14">
        <v>2225541000</v>
      </c>
      <c r="AS244" s="14">
        <v>0</v>
      </c>
      <c r="AT244" s="14">
        <v>0</v>
      </c>
      <c r="AU244" s="16">
        <f t="shared" si="32"/>
        <v>254034000</v>
      </c>
      <c r="AV244" s="13" t="str">
        <f t="shared" si="33"/>
        <v>SIM</v>
      </c>
      <c r="AW244" s="13" t="str">
        <f t="shared" si="34"/>
        <v>OK</v>
      </c>
      <c r="AX244" s="13" t="str">
        <f t="shared" si="35"/>
        <v>OK</v>
      </c>
    </row>
    <row r="245" spans="1:50" x14ac:dyDescent="0.3">
      <c r="A245" s="10" t="s">
        <v>1134</v>
      </c>
      <c r="B245" t="s">
        <v>1569</v>
      </c>
      <c r="C245" t="s">
        <v>1150</v>
      </c>
      <c r="D245" t="s">
        <v>1151</v>
      </c>
      <c r="E245" t="s">
        <v>46</v>
      </c>
      <c r="F245" t="s">
        <v>133</v>
      </c>
      <c r="G245" t="s">
        <v>60</v>
      </c>
      <c r="H245" t="s">
        <v>49</v>
      </c>
      <c r="I245" t="s">
        <v>373</v>
      </c>
      <c r="J245" t="s">
        <v>51</v>
      </c>
      <c r="K245" t="s">
        <v>51</v>
      </c>
      <c r="L245" t="s">
        <v>134</v>
      </c>
      <c r="M245">
        <v>0</v>
      </c>
      <c r="N245" s="11" t="str">
        <f t="shared" si="27"/>
        <v>VERIFICAR</v>
      </c>
      <c r="O245" t="s">
        <v>54</v>
      </c>
      <c r="P245" t="s">
        <v>54</v>
      </c>
      <c r="Q245" t="s">
        <v>51</v>
      </c>
      <c r="R245" t="str">
        <f>VLOOKUP($D245,[1]Rascunho!$E$2:$S$296,15,FALSE)</f>
        <v>http://www.cadip.rs.gov.br/lista/631/carta-anual-de-governanca-corporativa</v>
      </c>
      <c r="S245" s="12">
        <v>0</v>
      </c>
      <c r="T245" s="12">
        <v>0</v>
      </c>
      <c r="U245" s="13" t="str">
        <f t="shared" si="28"/>
        <v>OK</v>
      </c>
      <c r="V245" s="14">
        <v>282398.51</v>
      </c>
      <c r="W245" s="14">
        <v>0</v>
      </c>
      <c r="X245" t="s">
        <v>51</v>
      </c>
      <c r="Y245" s="14">
        <v>0</v>
      </c>
      <c r="Z245" s="14">
        <v>0</v>
      </c>
      <c r="AA245" s="14">
        <v>0</v>
      </c>
      <c r="AB245" s="14">
        <v>-282398.51</v>
      </c>
      <c r="AC245" s="13" t="str">
        <f t="shared" si="29"/>
        <v>OK</v>
      </c>
      <c r="AD245" s="14">
        <v>20743739.449999999</v>
      </c>
      <c r="AE245" s="14">
        <v>0</v>
      </c>
      <c r="AF245" s="14">
        <v>0</v>
      </c>
      <c r="AG245" s="14">
        <v>0</v>
      </c>
      <c r="AH245" s="14">
        <v>0</v>
      </c>
      <c r="AI245" s="13" t="str">
        <f t="shared" si="30"/>
        <v>OK</v>
      </c>
      <c r="AJ245" s="14">
        <v>0</v>
      </c>
      <c r="AK245" s="14">
        <v>0</v>
      </c>
      <c r="AL245" s="14">
        <v>0</v>
      </c>
      <c r="AM245" s="14">
        <v>0</v>
      </c>
      <c r="AN245" s="14">
        <v>100</v>
      </c>
      <c r="AO245" s="14">
        <v>100</v>
      </c>
      <c r="AP245" s="15">
        <f t="shared" si="31"/>
        <v>0</v>
      </c>
      <c r="AQ245" s="14">
        <v>21026000</v>
      </c>
      <c r="AR245" s="14">
        <v>10200000</v>
      </c>
      <c r="AS245" s="14">
        <v>0</v>
      </c>
      <c r="AT245" s="14">
        <v>0</v>
      </c>
      <c r="AU245" s="16">
        <f t="shared" si="32"/>
        <v>-10826000</v>
      </c>
      <c r="AV245" s="13" t="str">
        <f t="shared" si="33"/>
        <v>NÃO</v>
      </c>
      <c r="AW245" s="13" t="str">
        <f t="shared" si="34"/>
        <v>OK</v>
      </c>
      <c r="AX245" s="13" t="str">
        <f t="shared" si="35"/>
        <v>OK</v>
      </c>
    </row>
    <row r="246" spans="1:50" x14ac:dyDescent="0.3">
      <c r="A246" s="10" t="s">
        <v>1134</v>
      </c>
      <c r="B246" t="s">
        <v>1570</v>
      </c>
      <c r="C246" t="s">
        <v>1571</v>
      </c>
      <c r="D246" t="s">
        <v>1154</v>
      </c>
      <c r="E246" t="s">
        <v>46</v>
      </c>
      <c r="F246" t="s">
        <v>75</v>
      </c>
      <c r="G246" t="s">
        <v>60</v>
      </c>
      <c r="H246" t="s">
        <v>49</v>
      </c>
      <c r="I246" t="s">
        <v>50</v>
      </c>
      <c r="J246" t="s">
        <v>51</v>
      </c>
      <c r="K246" t="s">
        <v>51</v>
      </c>
      <c r="L246" t="s">
        <v>134</v>
      </c>
      <c r="M246">
        <v>262</v>
      </c>
      <c r="N246" s="11" t="str">
        <f t="shared" si="27"/>
        <v>OK</v>
      </c>
      <c r="O246" t="s">
        <v>54</v>
      </c>
      <c r="P246" t="s">
        <v>54</v>
      </c>
      <c r="Q246" t="s">
        <v>54</v>
      </c>
      <c r="R246" t="str">
        <f>VLOOKUP($D246,[1]Rascunho!$E$2:$S$296,15,FALSE)</f>
        <v>https://ceasa.rs.gov.br/carta-anual-de-governanca-corporativa/</v>
      </c>
      <c r="S246" s="12">
        <v>14434725.91</v>
      </c>
      <c r="T246" s="12">
        <v>13579791.289999999</v>
      </c>
      <c r="U246" s="13" t="str">
        <f t="shared" si="28"/>
        <v>OK</v>
      </c>
      <c r="V246" s="14">
        <v>18919047.329999998</v>
      </c>
      <c r="W246" s="14">
        <v>23543.15</v>
      </c>
      <c r="X246" t="s">
        <v>51</v>
      </c>
      <c r="Y246" s="14">
        <v>352420.37</v>
      </c>
      <c r="Z246" s="14">
        <v>0</v>
      </c>
      <c r="AA246" s="14">
        <v>0</v>
      </c>
      <c r="AB246" s="14">
        <v>371127.18</v>
      </c>
      <c r="AC246" s="13" t="str">
        <f t="shared" si="29"/>
        <v>OK</v>
      </c>
      <c r="AD246" s="14">
        <v>18346789.039999999</v>
      </c>
      <c r="AE246" s="14">
        <v>0</v>
      </c>
      <c r="AF246" s="14">
        <v>0</v>
      </c>
      <c r="AG246" s="14">
        <v>0</v>
      </c>
      <c r="AH246" s="14">
        <v>0</v>
      </c>
      <c r="AI246" s="13" t="str">
        <f t="shared" si="30"/>
        <v>OK</v>
      </c>
      <c r="AJ246" s="14">
        <v>0</v>
      </c>
      <c r="AK246" s="14">
        <v>0</v>
      </c>
      <c r="AL246" s="14">
        <v>0</v>
      </c>
      <c r="AM246" s="14">
        <v>0</v>
      </c>
      <c r="AN246" s="14">
        <v>94.24</v>
      </c>
      <c r="AO246" s="14">
        <v>94.24</v>
      </c>
      <c r="AP246" s="15">
        <f t="shared" si="31"/>
        <v>0</v>
      </c>
      <c r="AQ246" s="14">
        <v>20617765.920000002</v>
      </c>
      <c r="AR246" s="14">
        <v>21877617.98</v>
      </c>
      <c r="AS246" s="14">
        <v>0</v>
      </c>
      <c r="AT246" s="14">
        <v>0</v>
      </c>
      <c r="AU246" s="16">
        <f t="shared" si="32"/>
        <v>1259852.0599999987</v>
      </c>
      <c r="AV246" s="13" t="str">
        <f t="shared" si="33"/>
        <v>SIM</v>
      </c>
      <c r="AW246" s="13" t="str">
        <f t="shared" si="34"/>
        <v>OK</v>
      </c>
      <c r="AX246" s="13" t="str">
        <f t="shared" si="35"/>
        <v>OK</v>
      </c>
    </row>
    <row r="247" spans="1:50" x14ac:dyDescent="0.3">
      <c r="A247" s="10" t="s">
        <v>1134</v>
      </c>
      <c r="B247" t="s">
        <v>1572</v>
      </c>
      <c r="C247" t="s">
        <v>1158</v>
      </c>
      <c r="D247" t="s">
        <v>1159</v>
      </c>
      <c r="E247" t="s">
        <v>70</v>
      </c>
      <c r="F247" t="s">
        <v>75</v>
      </c>
      <c r="G247" t="s">
        <v>60</v>
      </c>
      <c r="H247" t="s">
        <v>76</v>
      </c>
      <c r="I247" t="s">
        <v>50</v>
      </c>
      <c r="J247" t="s">
        <v>51</v>
      </c>
      <c r="K247" t="s">
        <v>51</v>
      </c>
      <c r="L247" t="s">
        <v>134</v>
      </c>
      <c r="M247">
        <v>13</v>
      </c>
      <c r="N247" s="11" t="str">
        <f t="shared" si="27"/>
        <v>OK</v>
      </c>
      <c r="O247" t="s">
        <v>54</v>
      </c>
      <c r="P247" t="s">
        <v>54</v>
      </c>
      <c r="Q247" t="s">
        <v>51</v>
      </c>
      <c r="R247" t="str">
        <f>VLOOKUP($D247,[1]Rascunho!$E$2:$S$296,15,FALSE)</f>
        <v>http://www.cesa.rs.gov.br/novosite/</v>
      </c>
      <c r="S247" s="12">
        <v>0</v>
      </c>
      <c r="T247" s="12">
        <v>4757525.93</v>
      </c>
      <c r="U247" s="13" t="str">
        <f t="shared" si="28"/>
        <v>OK</v>
      </c>
      <c r="V247" s="14">
        <v>42060447.75</v>
      </c>
      <c r="W247" s="14">
        <v>0</v>
      </c>
      <c r="X247" t="s">
        <v>51</v>
      </c>
      <c r="Y247" s="14">
        <v>650497.74</v>
      </c>
      <c r="Z247" s="14">
        <v>0</v>
      </c>
      <c r="AA247" s="14">
        <v>0</v>
      </c>
      <c r="AB247" s="14">
        <v>-668276819.51999998</v>
      </c>
      <c r="AC247" s="13" t="str">
        <f t="shared" si="29"/>
        <v>OK</v>
      </c>
      <c r="AD247" s="14">
        <v>-458084387.88</v>
      </c>
      <c r="AE247" s="14">
        <v>0</v>
      </c>
      <c r="AF247" s="14">
        <v>0</v>
      </c>
      <c r="AG247" s="14">
        <v>62517065.880000003</v>
      </c>
      <c r="AH247" s="14">
        <v>19200000</v>
      </c>
      <c r="AI247" s="13" t="str">
        <f t="shared" si="30"/>
        <v>INDÍCIO DE DEPENDÊNCIA POR SUBVENÇÃO</v>
      </c>
      <c r="AJ247" s="14">
        <v>0</v>
      </c>
      <c r="AK247" s="14">
        <v>0</v>
      </c>
      <c r="AL247" s="14">
        <v>62627881.390000001</v>
      </c>
      <c r="AM247" s="14">
        <v>0</v>
      </c>
      <c r="AN247" s="14">
        <v>100</v>
      </c>
      <c r="AO247" s="14">
        <v>100</v>
      </c>
      <c r="AP247" s="15">
        <f t="shared" si="31"/>
        <v>0</v>
      </c>
      <c r="AQ247" s="14">
        <v>193337426.28999999</v>
      </c>
      <c r="AR247" s="14">
        <v>193337426.28999999</v>
      </c>
      <c r="AS247" s="14">
        <v>156662573.61000001</v>
      </c>
      <c r="AT247" s="14">
        <v>156662573.61000001</v>
      </c>
      <c r="AU247" s="16">
        <f t="shared" si="32"/>
        <v>156662573.61000001</v>
      </c>
      <c r="AV247" s="13" t="str">
        <f t="shared" si="33"/>
        <v>SIM</v>
      </c>
      <c r="AW247" s="13" t="str">
        <f t="shared" si="34"/>
        <v>OK</v>
      </c>
      <c r="AX247" s="13" t="str">
        <f t="shared" si="35"/>
        <v>OK</v>
      </c>
    </row>
    <row r="248" spans="1:50" x14ac:dyDescent="0.3">
      <c r="A248" s="10" t="s">
        <v>1134</v>
      </c>
      <c r="B248" t="s">
        <v>1573</v>
      </c>
      <c r="C248" t="s">
        <v>1161</v>
      </c>
      <c r="D248" t="s">
        <v>1162</v>
      </c>
      <c r="E248" t="s">
        <v>46</v>
      </c>
      <c r="F248" t="s">
        <v>224</v>
      </c>
      <c r="G248" t="s">
        <v>60</v>
      </c>
      <c r="H248" t="s">
        <v>49</v>
      </c>
      <c r="I248" t="s">
        <v>50</v>
      </c>
      <c r="J248" t="s">
        <v>51</v>
      </c>
      <c r="K248" t="s">
        <v>51</v>
      </c>
      <c r="L248" t="s">
        <v>134</v>
      </c>
      <c r="M248">
        <v>351</v>
      </c>
      <c r="N248" s="11" t="str">
        <f t="shared" si="27"/>
        <v>OK</v>
      </c>
      <c r="O248" t="s">
        <v>54</v>
      </c>
      <c r="P248" t="s">
        <v>54</v>
      </c>
      <c r="Q248" t="s">
        <v>54</v>
      </c>
      <c r="R248" t="str">
        <f>VLOOKUP($D248,[1]Rascunho!$E$2:$S$296,15,FALSE)</f>
        <v>http://www.crm.rs.gov.br/upload/arquivos/202203/25101002-carta-anual-de-politicas-publicas-e-governanca-corporativa-2022.pdf</v>
      </c>
      <c r="S248" s="12">
        <v>188358132.06999999</v>
      </c>
      <c r="T248" s="12">
        <v>60204595.329999998</v>
      </c>
      <c r="U248" s="13" t="str">
        <f t="shared" si="28"/>
        <v>OK</v>
      </c>
      <c r="V248" s="14">
        <v>182850575.09</v>
      </c>
      <c r="W248" s="14">
        <v>229801.98</v>
      </c>
      <c r="X248" t="s">
        <v>51</v>
      </c>
      <c r="Y248" s="14">
        <v>515333.5</v>
      </c>
      <c r="Z248" s="14">
        <v>0</v>
      </c>
      <c r="AA248" s="14">
        <v>22199.759999999998</v>
      </c>
      <c r="AB248" s="14">
        <v>8577334.5800000001</v>
      </c>
      <c r="AC248" s="13" t="str">
        <f t="shared" si="29"/>
        <v>OK</v>
      </c>
      <c r="AD248" s="14">
        <v>286284274.44</v>
      </c>
      <c r="AE248" s="14">
        <v>0</v>
      </c>
      <c r="AF248" s="14">
        <v>0</v>
      </c>
      <c r="AG248" s="14">
        <v>0</v>
      </c>
      <c r="AH248" s="14">
        <v>0</v>
      </c>
      <c r="AI248" s="13" t="str">
        <f t="shared" si="30"/>
        <v>OK</v>
      </c>
      <c r="AJ248" s="14">
        <v>0</v>
      </c>
      <c r="AK248" s="14">
        <v>0</v>
      </c>
      <c r="AL248" s="14">
        <v>0</v>
      </c>
      <c r="AM248" s="14">
        <v>0</v>
      </c>
      <c r="AN248" s="14">
        <v>100</v>
      </c>
      <c r="AO248" s="14">
        <v>100</v>
      </c>
      <c r="AP248" s="15">
        <f t="shared" si="31"/>
        <v>0</v>
      </c>
      <c r="AQ248" s="14">
        <v>289465153.32999998</v>
      </c>
      <c r="AR248" s="14">
        <v>289465153.32999998</v>
      </c>
      <c r="AS248" s="14">
        <v>0</v>
      </c>
      <c r="AT248" s="14">
        <v>0</v>
      </c>
      <c r="AU248" s="16">
        <f t="shared" si="32"/>
        <v>0</v>
      </c>
      <c r="AV248" s="13" t="str">
        <f t="shared" si="33"/>
        <v>NÃO</v>
      </c>
      <c r="AW248" s="13" t="str">
        <f t="shared" si="34"/>
        <v>OK</v>
      </c>
      <c r="AX248" s="13" t="str">
        <f t="shared" si="35"/>
        <v>OK</v>
      </c>
    </row>
    <row r="249" spans="1:50" x14ac:dyDescent="0.3">
      <c r="A249" s="10" t="s">
        <v>1134</v>
      </c>
      <c r="B249" t="s">
        <v>1574</v>
      </c>
      <c r="C249" t="s">
        <v>1166</v>
      </c>
      <c r="D249" t="s">
        <v>1167</v>
      </c>
      <c r="E249" t="s">
        <v>46</v>
      </c>
      <c r="F249" t="s">
        <v>240</v>
      </c>
      <c r="G249" t="s">
        <v>48</v>
      </c>
      <c r="H249" t="s">
        <v>49</v>
      </c>
      <c r="I249" t="s">
        <v>50</v>
      </c>
      <c r="J249" t="s">
        <v>51</v>
      </c>
      <c r="K249" t="s">
        <v>51</v>
      </c>
      <c r="L249" t="s">
        <v>134</v>
      </c>
      <c r="M249">
        <v>45</v>
      </c>
      <c r="N249" s="11" t="str">
        <f t="shared" si="27"/>
        <v>OK</v>
      </c>
      <c r="O249" t="s">
        <v>54</v>
      </c>
      <c r="P249" t="s">
        <v>54</v>
      </c>
      <c r="Q249" t="s">
        <v>54</v>
      </c>
      <c r="R249" t="str">
        <f>VLOOKUP($D249,[1]Rascunho!$E$2:$S$296,15,FALSE)</f>
        <v>https://egr.rs.gov.br/inicial</v>
      </c>
      <c r="S249" s="12">
        <v>192692582.44999999</v>
      </c>
      <c r="T249" s="12">
        <v>6424905.3600000003</v>
      </c>
      <c r="U249" s="13" t="str">
        <f t="shared" si="28"/>
        <v>OK</v>
      </c>
      <c r="V249" s="14">
        <v>204617302.65000001</v>
      </c>
      <c r="W249" s="14">
        <v>92096960.870000005</v>
      </c>
      <c r="X249" t="s">
        <v>51</v>
      </c>
      <c r="Y249" s="14">
        <v>209550.54</v>
      </c>
      <c r="Z249" s="14">
        <v>0</v>
      </c>
      <c r="AA249" s="14">
        <v>0</v>
      </c>
      <c r="AB249" s="14">
        <v>0</v>
      </c>
      <c r="AC249" s="13" t="str">
        <f t="shared" si="29"/>
        <v>OK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3" t="str">
        <f t="shared" si="30"/>
        <v>OK</v>
      </c>
      <c r="AJ249" s="14">
        <v>0</v>
      </c>
      <c r="AK249" s="14">
        <v>0</v>
      </c>
      <c r="AL249" s="14">
        <v>0</v>
      </c>
      <c r="AM249" s="14">
        <v>20000000</v>
      </c>
      <c r="AN249" s="14">
        <v>100</v>
      </c>
      <c r="AO249" s="14">
        <v>100</v>
      </c>
      <c r="AP249" s="15">
        <f t="shared" si="31"/>
        <v>0</v>
      </c>
      <c r="AQ249" s="14">
        <v>20000000</v>
      </c>
      <c r="AR249" s="14">
        <v>20000000</v>
      </c>
      <c r="AS249" s="14">
        <v>0</v>
      </c>
      <c r="AT249" s="14">
        <v>0</v>
      </c>
      <c r="AU249" s="16">
        <f t="shared" si="32"/>
        <v>0</v>
      </c>
      <c r="AV249" s="13" t="str">
        <f t="shared" si="33"/>
        <v>NÃO</v>
      </c>
      <c r="AW249" s="13" t="str">
        <f t="shared" si="34"/>
        <v>VER CAPITAL</v>
      </c>
      <c r="AX249" s="13" t="str">
        <f t="shared" si="35"/>
        <v>INDÍCIO DE DEPENDÊNCIA POR CAPITAL</v>
      </c>
    </row>
    <row r="250" spans="1:50" x14ac:dyDescent="0.3">
      <c r="A250" s="10" t="s">
        <v>1134</v>
      </c>
      <c r="B250" t="s">
        <v>1575</v>
      </c>
      <c r="C250" t="s">
        <v>1171</v>
      </c>
      <c r="D250" t="s">
        <v>1172</v>
      </c>
      <c r="E250" t="s">
        <v>46</v>
      </c>
      <c r="F250" t="s">
        <v>314</v>
      </c>
      <c r="G250" t="s">
        <v>48</v>
      </c>
      <c r="H250" t="s">
        <v>49</v>
      </c>
      <c r="I250" t="s">
        <v>50</v>
      </c>
      <c r="J250" t="s">
        <v>51</v>
      </c>
      <c r="K250" t="s">
        <v>51</v>
      </c>
      <c r="L250" t="s">
        <v>134</v>
      </c>
      <c r="M250">
        <v>553</v>
      </c>
      <c r="N250" s="11" t="str">
        <f t="shared" si="27"/>
        <v>OK</v>
      </c>
      <c r="O250" t="s">
        <v>54</v>
      </c>
      <c r="P250" t="s">
        <v>54</v>
      </c>
      <c r="Q250" t="s">
        <v>54</v>
      </c>
      <c r="R250" t="str">
        <f>VLOOKUP($D250,[1]Rascunho!$E$2:$S$296,15,FALSE)</f>
        <v>https://www.portosrs.com.br/site/public/uploads/site/cartas/2.pdf</v>
      </c>
      <c r="S250" s="12">
        <v>209640956.58000001</v>
      </c>
      <c r="T250" s="12">
        <v>83511130.120000005</v>
      </c>
      <c r="U250" s="13" t="str">
        <f t="shared" si="28"/>
        <v>OK</v>
      </c>
      <c r="V250" s="14">
        <v>268124013.56</v>
      </c>
      <c r="W250" s="14">
        <v>8471349.5500000007</v>
      </c>
      <c r="X250" t="s">
        <v>51</v>
      </c>
      <c r="Y250" s="14">
        <v>334734.08000000002</v>
      </c>
      <c r="Z250" s="14">
        <v>0</v>
      </c>
      <c r="AA250" s="14">
        <v>0</v>
      </c>
      <c r="AB250" s="14">
        <v>1645823</v>
      </c>
      <c r="AC250" s="13" t="str">
        <f t="shared" si="29"/>
        <v>OK</v>
      </c>
      <c r="AD250" s="14">
        <v>970319169.74000001</v>
      </c>
      <c r="AE250" s="14">
        <v>0</v>
      </c>
      <c r="AF250" s="14">
        <v>0</v>
      </c>
      <c r="AG250" s="14">
        <v>0</v>
      </c>
      <c r="AH250" s="14">
        <v>0</v>
      </c>
      <c r="AI250" s="13" t="str">
        <f t="shared" si="30"/>
        <v>OK</v>
      </c>
      <c r="AJ250" s="14">
        <v>0</v>
      </c>
      <c r="AK250" s="14">
        <v>0</v>
      </c>
      <c r="AL250" s="14">
        <v>0</v>
      </c>
      <c r="AM250" s="14">
        <v>0</v>
      </c>
      <c r="AN250" s="14">
        <v>100</v>
      </c>
      <c r="AO250" s="14">
        <v>100</v>
      </c>
      <c r="AP250" s="15">
        <f t="shared" si="31"/>
        <v>0</v>
      </c>
      <c r="AQ250" s="14">
        <v>957963888.23000002</v>
      </c>
      <c r="AR250" s="14">
        <v>968734389.03999996</v>
      </c>
      <c r="AS250" s="14">
        <v>14676200.939999999</v>
      </c>
      <c r="AT250" s="14">
        <v>3905700.13</v>
      </c>
      <c r="AU250" s="16">
        <f t="shared" si="32"/>
        <v>14676200.939999942</v>
      </c>
      <c r="AV250" s="13" t="str">
        <f t="shared" si="33"/>
        <v>SIM</v>
      </c>
      <c r="AW250" s="13" t="str">
        <f t="shared" si="34"/>
        <v>OK</v>
      </c>
      <c r="AX250" s="13" t="str">
        <f t="shared" si="35"/>
        <v>OK</v>
      </c>
    </row>
    <row r="251" spans="1:50" x14ac:dyDescent="0.3">
      <c r="A251" s="10" t="s">
        <v>1134</v>
      </c>
      <c r="B251" t="s">
        <v>1576</v>
      </c>
      <c r="C251" t="s">
        <v>1176</v>
      </c>
      <c r="D251" t="s">
        <v>1177</v>
      </c>
      <c r="E251" t="s">
        <v>46</v>
      </c>
      <c r="F251" t="s">
        <v>47</v>
      </c>
      <c r="G251" t="s">
        <v>60</v>
      </c>
      <c r="H251" t="s">
        <v>49</v>
      </c>
      <c r="I251" t="s">
        <v>50</v>
      </c>
      <c r="J251" t="s">
        <v>51</v>
      </c>
      <c r="K251" t="s">
        <v>51</v>
      </c>
      <c r="L251" t="s">
        <v>134</v>
      </c>
      <c r="M251">
        <v>1080</v>
      </c>
      <c r="N251" s="11" t="str">
        <f t="shared" si="27"/>
        <v>OK</v>
      </c>
      <c r="O251" t="s">
        <v>54</v>
      </c>
      <c r="P251" t="s">
        <v>54</v>
      </c>
      <c r="Q251" t="s">
        <v>54</v>
      </c>
      <c r="R251" t="str">
        <f>VLOOKUP($D251,[1]Rascunho!$E$2:$S$296,15,FALSE)</f>
        <v>https://www.procergs.rs.gov.br/carta-de-governanca-corporativa</v>
      </c>
      <c r="S251" s="12">
        <v>447593819.44999999</v>
      </c>
      <c r="T251" s="12">
        <v>309618837.39999998</v>
      </c>
      <c r="U251" s="13" t="str">
        <f t="shared" si="28"/>
        <v>OK</v>
      </c>
      <c r="V251" s="14">
        <v>419913433.64999998</v>
      </c>
      <c r="W251" s="14">
        <v>52464693.649999999</v>
      </c>
      <c r="X251" t="s">
        <v>54</v>
      </c>
      <c r="Y251" s="14">
        <v>554741.21</v>
      </c>
      <c r="Z251" s="14">
        <v>30894.240000000002</v>
      </c>
      <c r="AA251" s="14">
        <v>18986.88</v>
      </c>
      <c r="AB251" s="14">
        <v>33178696.300000001</v>
      </c>
      <c r="AC251" s="13" t="str">
        <f t="shared" si="29"/>
        <v>OK</v>
      </c>
      <c r="AD251" s="14">
        <v>161636292.31999999</v>
      </c>
      <c r="AE251" s="14">
        <v>0</v>
      </c>
      <c r="AF251" s="14">
        <v>0</v>
      </c>
      <c r="AG251" s="14">
        <v>0</v>
      </c>
      <c r="AH251" s="14">
        <v>0</v>
      </c>
      <c r="AI251" s="13" t="str">
        <f t="shared" si="30"/>
        <v>OK</v>
      </c>
      <c r="AJ251" s="14">
        <v>0</v>
      </c>
      <c r="AK251" s="14">
        <v>0</v>
      </c>
      <c r="AL251" s="14">
        <v>87900000</v>
      </c>
      <c r="AM251" s="14">
        <v>0</v>
      </c>
      <c r="AN251" s="14">
        <v>100</v>
      </c>
      <c r="AO251" s="14">
        <v>100</v>
      </c>
      <c r="AP251" s="15">
        <f t="shared" si="31"/>
        <v>0</v>
      </c>
      <c r="AQ251" s="14">
        <v>203219287.84</v>
      </c>
      <c r="AR251" s="14">
        <v>203219287.84</v>
      </c>
      <c r="AS251" s="14">
        <v>0</v>
      </c>
      <c r="AT251" s="14">
        <v>0</v>
      </c>
      <c r="AU251" s="16">
        <f t="shared" si="32"/>
        <v>0</v>
      </c>
      <c r="AV251" s="13" t="str">
        <f t="shared" si="33"/>
        <v>NÃO</v>
      </c>
      <c r="AW251" s="13" t="str">
        <f t="shared" si="34"/>
        <v>OK</v>
      </c>
      <c r="AX251" s="13" t="str">
        <f t="shared" si="35"/>
        <v>OK</v>
      </c>
    </row>
    <row r="252" spans="1:50" x14ac:dyDescent="0.3">
      <c r="A252" s="10" t="s">
        <v>1180</v>
      </c>
      <c r="B252" t="s">
        <v>1577</v>
      </c>
      <c r="C252" t="s">
        <v>1198</v>
      </c>
      <c r="D252" t="s">
        <v>1199</v>
      </c>
      <c r="E252" t="s">
        <v>46</v>
      </c>
      <c r="F252" t="s">
        <v>71</v>
      </c>
      <c r="G252" t="s">
        <v>60</v>
      </c>
      <c r="H252" t="s">
        <v>49</v>
      </c>
      <c r="I252" t="s">
        <v>50</v>
      </c>
      <c r="J252" t="s">
        <v>51</v>
      </c>
      <c r="K252" t="s">
        <v>51</v>
      </c>
      <c r="L252" t="s">
        <v>134</v>
      </c>
      <c r="M252">
        <v>118</v>
      </c>
      <c r="N252" s="11" t="str">
        <f t="shared" si="27"/>
        <v>OK</v>
      </c>
      <c r="O252" t="s">
        <v>54</v>
      </c>
      <c r="P252" t="s">
        <v>54</v>
      </c>
      <c r="Q252" t="s">
        <v>54</v>
      </c>
      <c r="R252" t="str">
        <f>VLOOKUP($D252,[1]Rascunho!$E$2:$S$296,15,FALSE)</f>
        <v>http://transparencia.badesc.gov.br/gestaoEstadual/cartaGovernanca</v>
      </c>
      <c r="S252" s="12">
        <v>190209000</v>
      </c>
      <c r="T252" s="12">
        <v>49103000</v>
      </c>
      <c r="U252" s="13" t="str">
        <f t="shared" si="28"/>
        <v>OK</v>
      </c>
      <c r="V252" s="14">
        <v>105173000</v>
      </c>
      <c r="W252" s="14">
        <v>2060000</v>
      </c>
      <c r="X252" t="s">
        <v>51</v>
      </c>
      <c r="Y252" s="14">
        <v>750205.32</v>
      </c>
      <c r="Z252" s="14">
        <v>0</v>
      </c>
      <c r="AA252" s="14">
        <v>0</v>
      </c>
      <c r="AB252" s="14">
        <v>80864000</v>
      </c>
      <c r="AC252" s="13" t="str">
        <f t="shared" si="29"/>
        <v>OK</v>
      </c>
      <c r="AD252" s="14">
        <v>896914000</v>
      </c>
      <c r="AE252" s="14">
        <v>0</v>
      </c>
      <c r="AF252" s="14">
        <v>46011763.109999999</v>
      </c>
      <c r="AG252" s="14">
        <v>0</v>
      </c>
      <c r="AH252" s="14">
        <v>0</v>
      </c>
      <c r="AI252" s="13" t="str">
        <f t="shared" si="30"/>
        <v>OK</v>
      </c>
      <c r="AJ252" s="14">
        <v>0</v>
      </c>
      <c r="AK252" s="14">
        <v>0</v>
      </c>
      <c r="AL252" s="14">
        <v>61500000</v>
      </c>
      <c r="AM252" s="14">
        <v>0</v>
      </c>
      <c r="AN252" s="14">
        <v>271102000</v>
      </c>
      <c r="AO252" s="14">
        <v>271102262</v>
      </c>
      <c r="AP252" s="15">
        <f t="shared" si="31"/>
        <v>262</v>
      </c>
      <c r="AQ252" s="14">
        <v>669705000</v>
      </c>
      <c r="AR252" s="14">
        <v>699704845.25999999</v>
      </c>
      <c r="AS252" s="14">
        <v>0</v>
      </c>
      <c r="AT252" s="14">
        <v>0</v>
      </c>
      <c r="AU252" s="16">
        <f t="shared" si="32"/>
        <v>29999845.25999999</v>
      </c>
      <c r="AV252" s="13" t="str">
        <f t="shared" si="33"/>
        <v>SIM</v>
      </c>
      <c r="AW252" s="13" t="str">
        <f t="shared" si="34"/>
        <v>OK</v>
      </c>
      <c r="AX252" s="13" t="str">
        <f t="shared" si="35"/>
        <v>OK</v>
      </c>
    </row>
    <row r="253" spans="1:50" x14ac:dyDescent="0.3">
      <c r="A253" s="10" t="s">
        <v>1180</v>
      </c>
      <c r="B253" t="s">
        <v>1578</v>
      </c>
      <c r="C253" t="s">
        <v>1203</v>
      </c>
      <c r="D253" t="s">
        <v>1204</v>
      </c>
      <c r="E253" t="s">
        <v>70</v>
      </c>
      <c r="F253" t="s">
        <v>133</v>
      </c>
      <c r="G253" t="s">
        <v>60</v>
      </c>
      <c r="H253" t="s">
        <v>49</v>
      </c>
      <c r="I253" t="s">
        <v>50</v>
      </c>
      <c r="J253" t="s">
        <v>51</v>
      </c>
      <c r="K253" t="s">
        <v>51</v>
      </c>
      <c r="L253" t="s">
        <v>134</v>
      </c>
      <c r="M253">
        <v>3</v>
      </c>
      <c r="N253" s="11" t="str">
        <f t="shared" si="27"/>
        <v>OK</v>
      </c>
      <c r="O253" t="s">
        <v>51</v>
      </c>
      <c r="P253" t="s">
        <v>54</v>
      </c>
      <c r="Q253" t="s">
        <v>51</v>
      </c>
      <c r="R253" t="str">
        <f>VLOOKUP($D253,[1]Rascunho!$E$2:$S$296,15,FALSE)</f>
        <v>Site não disponível</v>
      </c>
      <c r="S253" s="12">
        <v>970211.22</v>
      </c>
      <c r="T253" s="12">
        <v>356616.47</v>
      </c>
      <c r="U253" s="13" t="str">
        <f t="shared" si="28"/>
        <v>OK</v>
      </c>
      <c r="V253" s="14">
        <v>547979.06000000006</v>
      </c>
      <c r="W253" s="14">
        <v>0</v>
      </c>
      <c r="X253" t="s">
        <v>51</v>
      </c>
      <c r="Y253" s="14">
        <v>168442.32</v>
      </c>
      <c r="Z253" s="14">
        <v>0</v>
      </c>
      <c r="AA253" s="14">
        <v>0</v>
      </c>
      <c r="AB253" s="14">
        <v>1385928.64</v>
      </c>
      <c r="AC253" s="13" t="str">
        <f t="shared" si="29"/>
        <v>OK</v>
      </c>
      <c r="AD253" s="14">
        <v>620716.02</v>
      </c>
      <c r="AE253" s="14">
        <v>0</v>
      </c>
      <c r="AF253" s="14">
        <v>0</v>
      </c>
      <c r="AG253" s="14">
        <v>0</v>
      </c>
      <c r="AH253" s="14">
        <v>0</v>
      </c>
      <c r="AI253" s="13" t="str">
        <f t="shared" si="30"/>
        <v>OK</v>
      </c>
      <c r="AJ253" s="14">
        <v>0</v>
      </c>
      <c r="AK253" s="14">
        <v>0</v>
      </c>
      <c r="AL253" s="14">
        <v>1494603.19</v>
      </c>
      <c r="AM253" s="14">
        <v>0</v>
      </c>
      <c r="AN253" s="14">
        <v>4774469.43</v>
      </c>
      <c r="AO253" s="14">
        <v>4774469.43</v>
      </c>
      <c r="AP253" s="15">
        <f t="shared" si="31"/>
        <v>0</v>
      </c>
      <c r="AQ253" s="14">
        <v>4774650.18</v>
      </c>
      <c r="AR253" s="14">
        <v>4774650.18</v>
      </c>
      <c r="AS253" s="14">
        <v>0</v>
      </c>
      <c r="AT253" s="14">
        <v>0</v>
      </c>
      <c r="AU253" s="16">
        <f t="shared" si="32"/>
        <v>0</v>
      </c>
      <c r="AV253" s="13" t="str">
        <f t="shared" si="33"/>
        <v>NÃO</v>
      </c>
      <c r="AW253" s="13" t="str">
        <f t="shared" si="34"/>
        <v>OK</v>
      </c>
      <c r="AX253" s="13" t="str">
        <f t="shared" si="35"/>
        <v>OK</v>
      </c>
    </row>
    <row r="254" spans="1:50" x14ac:dyDescent="0.3">
      <c r="A254" s="10" t="s">
        <v>1180</v>
      </c>
      <c r="B254" t="s">
        <v>1567</v>
      </c>
      <c r="C254" t="s">
        <v>1568</v>
      </c>
      <c r="D254" t="s">
        <v>1147</v>
      </c>
      <c r="E254" t="s">
        <v>46</v>
      </c>
      <c r="F254" t="s">
        <v>71</v>
      </c>
      <c r="G254" t="s">
        <v>48</v>
      </c>
      <c r="H254" t="s">
        <v>76</v>
      </c>
      <c r="I254" t="s">
        <v>50</v>
      </c>
      <c r="J254" t="s">
        <v>51</v>
      </c>
      <c r="K254" t="s">
        <v>51</v>
      </c>
      <c r="L254" t="s">
        <v>134</v>
      </c>
      <c r="M254">
        <v>511</v>
      </c>
      <c r="N254" s="11" t="str">
        <f t="shared" si="27"/>
        <v>OK</v>
      </c>
      <c r="O254" t="s">
        <v>54</v>
      </c>
      <c r="P254" t="s">
        <v>54</v>
      </c>
      <c r="Q254" t="s">
        <v>54</v>
      </c>
      <c r="R254" t="str">
        <f>VLOOKUP($D254,[1]Rascunho!$E$2:$S$296,15,FALSE)</f>
        <v>https://www.brde.com.br/wp-content/uploads/2023/04/CARTA-ANUAL-2023.pdf</v>
      </c>
      <c r="S254" s="12">
        <v>2286378085.3800001</v>
      </c>
      <c r="T254" s="12">
        <v>231513090.36000001</v>
      </c>
      <c r="U254" s="13" t="str">
        <f t="shared" si="28"/>
        <v>OK</v>
      </c>
      <c r="V254" s="14">
        <v>1571608662.55</v>
      </c>
      <c r="W254" s="14">
        <v>6533754.0599999996</v>
      </c>
      <c r="X254" t="s">
        <v>54</v>
      </c>
      <c r="Y254" s="14">
        <v>791768.55</v>
      </c>
      <c r="Z254" s="14">
        <v>55997.760000000002</v>
      </c>
      <c r="AA254" s="14">
        <v>22432.400000000001</v>
      </c>
      <c r="AB254" s="14">
        <v>517249729.23000002</v>
      </c>
      <c r="AC254" s="13" t="str">
        <f t="shared" si="29"/>
        <v>OK</v>
      </c>
      <c r="AD254" s="14">
        <v>4101322431.8600001</v>
      </c>
      <c r="AE254" s="14">
        <v>0</v>
      </c>
      <c r="AF254" s="14">
        <v>0</v>
      </c>
      <c r="AG254" s="14">
        <v>0</v>
      </c>
      <c r="AH254" s="14">
        <v>0</v>
      </c>
      <c r="AI254" s="13" t="str">
        <f t="shared" si="30"/>
        <v>OK</v>
      </c>
      <c r="AJ254" s="14">
        <v>0</v>
      </c>
      <c r="AK254" s="14">
        <v>0</v>
      </c>
      <c r="AL254" s="14">
        <v>0</v>
      </c>
      <c r="AM254" s="14">
        <v>0</v>
      </c>
      <c r="AN254" s="14">
        <v>1971507000</v>
      </c>
      <c r="AO254" s="14">
        <v>2225541000</v>
      </c>
      <c r="AP254" s="15">
        <f t="shared" si="31"/>
        <v>254034000</v>
      </c>
      <c r="AQ254" s="14">
        <v>1971507000</v>
      </c>
      <c r="AR254" s="14">
        <v>2225541000</v>
      </c>
      <c r="AS254" s="14">
        <v>0</v>
      </c>
      <c r="AT254" s="14">
        <v>0</v>
      </c>
      <c r="AU254" s="16">
        <f t="shared" si="32"/>
        <v>254034000</v>
      </c>
      <c r="AV254" s="13" t="str">
        <f t="shared" si="33"/>
        <v>SIM</v>
      </c>
      <c r="AW254" s="13" t="str">
        <f t="shared" si="34"/>
        <v>OK</v>
      </c>
      <c r="AX254" s="13" t="str">
        <f t="shared" si="35"/>
        <v>OK</v>
      </c>
    </row>
    <row r="255" spans="1:50" x14ac:dyDescent="0.3">
      <c r="A255" s="10" t="s">
        <v>1180</v>
      </c>
      <c r="B255" t="s">
        <v>1207</v>
      </c>
      <c r="C255" t="s">
        <v>1208</v>
      </c>
      <c r="D255" t="s">
        <v>1209</v>
      </c>
      <c r="E255" t="s">
        <v>46</v>
      </c>
      <c r="F255" t="s">
        <v>107</v>
      </c>
      <c r="G255" t="s">
        <v>60</v>
      </c>
      <c r="H255" t="s">
        <v>49</v>
      </c>
      <c r="I255" t="s">
        <v>373</v>
      </c>
      <c r="J255" t="s">
        <v>54</v>
      </c>
      <c r="K255" t="s">
        <v>51</v>
      </c>
      <c r="L255" t="s">
        <v>134</v>
      </c>
      <c r="M255">
        <v>3393</v>
      </c>
      <c r="N255" s="11" t="str">
        <f t="shared" si="27"/>
        <v>OK</v>
      </c>
      <c r="O255" t="s">
        <v>54</v>
      </c>
      <c r="P255" t="s">
        <v>54</v>
      </c>
      <c r="Q255" t="s">
        <v>54</v>
      </c>
      <c r="R255" t="str">
        <f>VLOOKUP($D255,[1]Rascunho!$E$2:$S$296,15,FALSE)</f>
        <v>https://ri.casan.com.br/governanca-corporativa/carta-anual-de-politicas-publicas-e-governanca-corporativa/</v>
      </c>
      <c r="S255" s="12">
        <v>1634101021</v>
      </c>
      <c r="T255" s="12">
        <v>529073403</v>
      </c>
      <c r="U255" s="13" t="str">
        <f t="shared" si="28"/>
        <v>OK</v>
      </c>
      <c r="V255" s="14">
        <v>1801242550</v>
      </c>
      <c r="W255" s="14">
        <v>462053095</v>
      </c>
      <c r="X255" t="s">
        <v>51</v>
      </c>
      <c r="Y255" s="14">
        <v>696685</v>
      </c>
      <c r="Z255" s="14">
        <v>0</v>
      </c>
      <c r="AA255" s="14">
        <v>0</v>
      </c>
      <c r="AB255" s="14">
        <v>50742536</v>
      </c>
      <c r="AC255" s="13" t="str">
        <f t="shared" si="29"/>
        <v>OK</v>
      </c>
      <c r="AD255" s="14">
        <v>2003578229</v>
      </c>
      <c r="AE255" s="14">
        <v>0</v>
      </c>
      <c r="AF255" s="14">
        <v>19196681</v>
      </c>
      <c r="AG255" s="14">
        <v>0</v>
      </c>
      <c r="AH255" s="14">
        <v>0</v>
      </c>
      <c r="AI255" s="13" t="str">
        <f t="shared" si="30"/>
        <v>OK</v>
      </c>
      <c r="AJ255" s="14">
        <v>0</v>
      </c>
      <c r="AK255" s="14">
        <v>0</v>
      </c>
      <c r="AL255" s="14">
        <v>82702237</v>
      </c>
      <c r="AM255" s="14">
        <v>113081435</v>
      </c>
      <c r="AN255" s="14">
        <v>834410056</v>
      </c>
      <c r="AO255" s="14">
        <v>926058028</v>
      </c>
      <c r="AP255" s="15">
        <f t="shared" si="31"/>
        <v>91647972</v>
      </c>
      <c r="AQ255" s="14">
        <v>982890542</v>
      </c>
      <c r="AR255" s="14">
        <v>1095971978</v>
      </c>
      <c r="AS255" s="14">
        <v>86662978</v>
      </c>
      <c r="AT255" s="14">
        <v>120000000</v>
      </c>
      <c r="AU255" s="16">
        <f t="shared" si="32"/>
        <v>233081436</v>
      </c>
      <c r="AV255" s="13" t="str">
        <f t="shared" si="33"/>
        <v>SIM</v>
      </c>
      <c r="AW255" s="13" t="str">
        <f t="shared" si="34"/>
        <v>VER CAPITAL</v>
      </c>
      <c r="AX255" s="13" t="str">
        <f t="shared" si="35"/>
        <v>OK</v>
      </c>
    </row>
    <row r="256" spans="1:50" x14ac:dyDescent="0.3">
      <c r="A256" s="10" t="s">
        <v>1180</v>
      </c>
      <c r="B256" t="s">
        <v>1212</v>
      </c>
      <c r="C256" t="s">
        <v>1579</v>
      </c>
      <c r="D256" t="s">
        <v>1213</v>
      </c>
      <c r="E256" t="s">
        <v>46</v>
      </c>
      <c r="F256" t="s">
        <v>75</v>
      </c>
      <c r="G256" t="s">
        <v>60</v>
      </c>
      <c r="H256" t="s">
        <v>49</v>
      </c>
      <c r="I256" t="s">
        <v>50</v>
      </c>
      <c r="J256" t="s">
        <v>51</v>
      </c>
      <c r="K256" t="s">
        <v>51</v>
      </c>
      <c r="L256" t="s">
        <v>134</v>
      </c>
      <c r="M256">
        <v>43</v>
      </c>
      <c r="N256" s="11" t="str">
        <f t="shared" si="27"/>
        <v>OK</v>
      </c>
      <c r="O256" t="s">
        <v>54</v>
      </c>
      <c r="P256" t="s">
        <v>54</v>
      </c>
      <c r="Q256" t="s">
        <v>51</v>
      </c>
      <c r="R256" t="str">
        <f>VLOOKUP($D256,[1]Rascunho!$E$2:$S$296,15,FALSE)</f>
        <v>http://www.transparencia.ceasa.sc.gov.br/</v>
      </c>
      <c r="S256" s="12">
        <v>6699288.5599999996</v>
      </c>
      <c r="T256" s="12">
        <v>1604821.2</v>
      </c>
      <c r="U256" s="13" t="str">
        <f t="shared" si="28"/>
        <v>OK</v>
      </c>
      <c r="V256" s="14">
        <v>2913827.87</v>
      </c>
      <c r="W256" s="14">
        <v>428119.62</v>
      </c>
      <c r="X256" t="s">
        <v>51</v>
      </c>
      <c r="Y256" s="14">
        <v>25356.31</v>
      </c>
      <c r="Z256" s="14">
        <v>0</v>
      </c>
      <c r="AA256" s="14">
        <v>0</v>
      </c>
      <c r="AB256" s="14">
        <v>1303025.6599999999</v>
      </c>
      <c r="AC256" s="13" t="str">
        <f t="shared" si="29"/>
        <v>OK</v>
      </c>
      <c r="AD256" s="14">
        <v>13707467.789999999</v>
      </c>
      <c r="AE256" s="14">
        <v>0</v>
      </c>
      <c r="AF256" s="14">
        <v>0</v>
      </c>
      <c r="AG256" s="14">
        <v>0</v>
      </c>
      <c r="AH256" s="14">
        <v>0</v>
      </c>
      <c r="AI256" s="13" t="str">
        <f t="shared" si="30"/>
        <v>OK</v>
      </c>
      <c r="AJ256" s="14">
        <v>0</v>
      </c>
      <c r="AK256" s="14">
        <v>0</v>
      </c>
      <c r="AL256" s="14">
        <v>0</v>
      </c>
      <c r="AM256" s="14">
        <v>0</v>
      </c>
      <c r="AN256" s="14">
        <v>11959320</v>
      </c>
      <c r="AO256" s="14">
        <v>11959320</v>
      </c>
      <c r="AP256" s="15">
        <f t="shared" si="31"/>
        <v>0</v>
      </c>
      <c r="AQ256" s="14">
        <v>12735232.08</v>
      </c>
      <c r="AR256" s="14">
        <v>12735232.08</v>
      </c>
      <c r="AS256" s="14">
        <v>1455785.92</v>
      </c>
      <c r="AT256" s="14">
        <v>1455785.92</v>
      </c>
      <c r="AU256" s="16">
        <f t="shared" si="32"/>
        <v>1455785.92</v>
      </c>
      <c r="AV256" s="13" t="str">
        <f t="shared" si="33"/>
        <v>SIM</v>
      </c>
      <c r="AW256" s="13" t="str">
        <f t="shared" si="34"/>
        <v>OK</v>
      </c>
      <c r="AX256" s="13" t="str">
        <f t="shared" si="35"/>
        <v>OK</v>
      </c>
    </row>
    <row r="257" spans="1:50" x14ac:dyDescent="0.3">
      <c r="A257" s="10" t="s">
        <v>1180</v>
      </c>
      <c r="B257" t="s">
        <v>1580</v>
      </c>
      <c r="C257" t="s">
        <v>1215</v>
      </c>
      <c r="D257" t="s">
        <v>1216</v>
      </c>
      <c r="E257" t="s">
        <v>46</v>
      </c>
      <c r="F257" t="s">
        <v>409</v>
      </c>
      <c r="G257" t="s">
        <v>60</v>
      </c>
      <c r="H257" t="s">
        <v>49</v>
      </c>
      <c r="I257" t="s">
        <v>373</v>
      </c>
      <c r="J257" t="s">
        <v>54</v>
      </c>
      <c r="K257" t="s">
        <v>51</v>
      </c>
      <c r="L257" t="s">
        <v>134</v>
      </c>
      <c r="M257">
        <v>7668</v>
      </c>
      <c r="N257" s="11" t="str">
        <f t="shared" si="27"/>
        <v>OK</v>
      </c>
      <c r="O257" t="s">
        <v>54</v>
      </c>
      <c r="P257" t="s">
        <v>54</v>
      </c>
      <c r="Q257" t="s">
        <v>54</v>
      </c>
      <c r="R257" t="str">
        <f>VLOOKUP($D257,[1]Rascunho!$E$2:$S$296,15,FALSE)</f>
        <v>https://api.mziq.com/mzfilemanager/v2/d/137b4414-3d0c-493e-8b59-0d02bc3e4072/5096cbae-96bc-0bcc-6a35-59e93c983a5e?origin=1</v>
      </c>
      <c r="S257" s="12">
        <v>10402608000</v>
      </c>
      <c r="T257" s="12">
        <v>907056000</v>
      </c>
      <c r="U257" s="13" t="str">
        <f t="shared" si="28"/>
        <v>OK</v>
      </c>
      <c r="V257" s="14">
        <v>9634626000</v>
      </c>
      <c r="W257" s="14">
        <v>1317082495.24</v>
      </c>
      <c r="X257" t="s">
        <v>54</v>
      </c>
      <c r="Y257" s="14">
        <v>873638.33</v>
      </c>
      <c r="Z257" s="14">
        <v>21677.43</v>
      </c>
      <c r="AA257" s="14">
        <v>0</v>
      </c>
      <c r="AB257" s="14">
        <v>557034000</v>
      </c>
      <c r="AC257" s="13" t="str">
        <f t="shared" si="29"/>
        <v>OK</v>
      </c>
      <c r="AD257" s="14">
        <v>2932567000</v>
      </c>
      <c r="AE257" s="14">
        <v>2461650351.25</v>
      </c>
      <c r="AF257" s="14">
        <v>36930699.07</v>
      </c>
      <c r="AG257" s="14">
        <v>0</v>
      </c>
      <c r="AH257" s="14">
        <v>0</v>
      </c>
      <c r="AI257" s="13" t="str">
        <f t="shared" si="30"/>
        <v>OK</v>
      </c>
      <c r="AJ257" s="14">
        <v>0</v>
      </c>
      <c r="AK257" s="14">
        <v>0</v>
      </c>
      <c r="AL257" s="14">
        <v>0</v>
      </c>
      <c r="AM257" s="14">
        <v>0</v>
      </c>
      <c r="AN257" s="14">
        <v>7791201</v>
      </c>
      <c r="AO257" s="14">
        <v>7791201</v>
      </c>
      <c r="AP257" s="15">
        <f t="shared" si="31"/>
        <v>0</v>
      </c>
      <c r="AQ257" s="14">
        <v>2480000000</v>
      </c>
      <c r="AR257" s="14">
        <v>2480000000</v>
      </c>
      <c r="AS257" s="14">
        <v>0</v>
      </c>
      <c r="AT257" s="14">
        <v>0</v>
      </c>
      <c r="AU257" s="16">
        <f t="shared" si="32"/>
        <v>0</v>
      </c>
      <c r="AV257" s="13" t="str">
        <f t="shared" si="33"/>
        <v>NÃO</v>
      </c>
      <c r="AW257" s="13" t="str">
        <f t="shared" si="34"/>
        <v>OK</v>
      </c>
      <c r="AX257" s="13" t="str">
        <f t="shared" si="35"/>
        <v>OK</v>
      </c>
    </row>
    <row r="258" spans="1:50" x14ac:dyDescent="0.3">
      <c r="A258" s="10" t="s">
        <v>1180</v>
      </c>
      <c r="B258" t="s">
        <v>1581</v>
      </c>
      <c r="C258" t="s">
        <v>1220</v>
      </c>
      <c r="D258" t="s">
        <v>1221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51</v>
      </c>
      <c r="K258" t="s">
        <v>51</v>
      </c>
      <c r="L258" t="s">
        <v>134</v>
      </c>
      <c r="M258">
        <v>362</v>
      </c>
      <c r="N258" s="11" t="str">
        <f t="shared" ref="N258:N321" si="36">IF(AND(E258="ATIVA",M258=0),"VERIFICAR","OK")</f>
        <v>OK</v>
      </c>
      <c r="O258" t="s">
        <v>54</v>
      </c>
      <c r="P258" t="s">
        <v>54</v>
      </c>
      <c r="Q258" t="s">
        <v>51</v>
      </c>
      <c r="R258" t="str">
        <f>VLOOKUP($D258,[1]Rascunho!$E$2:$S$296,15,FALSE)</f>
        <v>https://transparencia.ciasc.sc.gov.br/ciasc/gestao/planos-relatorios-e-indicadores/relatorio-de-administracao/307-relatorio-de-administracao-2023/file</v>
      </c>
      <c r="S258" s="12">
        <v>179593403.19999999</v>
      </c>
      <c r="T258" s="12">
        <v>109391893.59</v>
      </c>
      <c r="U258" s="13" t="str">
        <f t="shared" ref="U258:U321" si="37">IF(AND(M258=0,T258&gt;0),"VERIFICAR","OK")</f>
        <v>OK</v>
      </c>
      <c r="V258" s="14">
        <v>185766884.40000001</v>
      </c>
      <c r="W258" s="14">
        <v>9588767.9499999993</v>
      </c>
      <c r="X258" t="s">
        <v>51</v>
      </c>
      <c r="Y258" s="14">
        <v>663047.41</v>
      </c>
      <c r="Z258" s="14">
        <v>0</v>
      </c>
      <c r="AA258" s="14">
        <v>41236.080000000002</v>
      </c>
      <c r="AB258" s="14">
        <v>-6173481.21</v>
      </c>
      <c r="AC258" s="13" t="str">
        <f t="shared" ref="AC258:AC321" si="38">IF(AND(X258="SIM",AB258&lt;0),"VERIFICAR","OK")</f>
        <v>OK</v>
      </c>
      <c r="AD258" s="14">
        <v>50089000</v>
      </c>
      <c r="AE258" s="14">
        <v>0</v>
      </c>
      <c r="AF258" s="14">
        <v>0</v>
      </c>
      <c r="AG258" s="14">
        <v>0</v>
      </c>
      <c r="AH258" s="14">
        <v>0</v>
      </c>
      <c r="AI258" s="13" t="str">
        <f t="shared" ref="AI258:AI321" si="39">IF(AND(L258="NÃO DEPENDENTE",AH258&gt;0),"INDÍCIO DE DEPENDÊNCIA POR SUBVENÇÃO","OK")</f>
        <v>OK</v>
      </c>
      <c r="AJ258" s="14">
        <v>0</v>
      </c>
      <c r="AK258" s="14">
        <v>0</v>
      </c>
      <c r="AL258" s="14">
        <v>0</v>
      </c>
      <c r="AM258" s="14">
        <v>0</v>
      </c>
      <c r="AN258" s="14">
        <v>66288995</v>
      </c>
      <c r="AO258" s="14">
        <v>66288995</v>
      </c>
      <c r="AP258" s="15">
        <f t="shared" ref="AP258:AP321" si="40">AO258-AN258</f>
        <v>0</v>
      </c>
      <c r="AQ258" s="14">
        <v>66288995</v>
      </c>
      <c r="AR258" s="14">
        <v>66288995</v>
      </c>
      <c r="AS258" s="14">
        <v>18711004.5</v>
      </c>
      <c r="AT258" s="14">
        <v>18711004.5</v>
      </c>
      <c r="AU258" s="16">
        <f t="shared" ref="AU258:AU321" si="41">(AR258-AQ258)+(AT258)</f>
        <v>18711004.5</v>
      </c>
      <c r="AV258" s="13" t="str">
        <f t="shared" ref="AV258:AV321" si="42">IF(OR(AP258&gt;0,AU258&gt;0),"SIM","NÃO")</f>
        <v>SIM</v>
      </c>
      <c r="AW258" s="13" t="str">
        <f t="shared" ref="AW258:AW296" si="43">IF(AND(L258="NÃO DEPENDENTE",AM258&gt;0),"VER CAPITAL","OK")</f>
        <v>OK</v>
      </c>
      <c r="AX258" s="13" t="str">
        <f t="shared" ref="AX258:AX321" si="44">IF(AND(AW258="VER CAPITAL",AV258="NÃO"),"INDÍCIO DE DEPENDÊNCIA POR CAPITAL","OK")</f>
        <v>OK</v>
      </c>
    </row>
    <row r="259" spans="1:50" x14ac:dyDescent="0.3">
      <c r="A259" s="10" t="s">
        <v>1180</v>
      </c>
      <c r="B259" t="s">
        <v>1181</v>
      </c>
      <c r="C259" t="s">
        <v>1182</v>
      </c>
      <c r="D259" t="s">
        <v>1183</v>
      </c>
      <c r="E259" t="s">
        <v>46</v>
      </c>
      <c r="F259" t="s">
        <v>102</v>
      </c>
      <c r="G259" t="s">
        <v>48</v>
      </c>
      <c r="H259" t="s">
        <v>76</v>
      </c>
      <c r="I259" t="s">
        <v>50</v>
      </c>
      <c r="J259" t="s">
        <v>51</v>
      </c>
      <c r="K259" t="s">
        <v>51</v>
      </c>
      <c r="L259" t="s">
        <v>52</v>
      </c>
      <c r="M259">
        <v>1375</v>
      </c>
      <c r="N259" s="11" t="str">
        <f t="shared" si="36"/>
        <v>OK</v>
      </c>
      <c r="O259" t="s">
        <v>54</v>
      </c>
      <c r="P259" t="s">
        <v>54</v>
      </c>
      <c r="Q259" t="s">
        <v>51</v>
      </c>
      <c r="R259" t="str">
        <f>VLOOKUP($D259,[1]Rascunho!$E$2:$S$296,15,FALSE)</f>
        <v>https://www.cidasc.sc.gov.br/wp-content/uploads/2023/04/CAGC-2023.docx-1.pdf</v>
      </c>
      <c r="S259" s="12">
        <v>7206714.1799999997</v>
      </c>
      <c r="T259" s="12">
        <v>249593798.63</v>
      </c>
      <c r="U259" s="13" t="str">
        <f t="shared" si="37"/>
        <v>OK</v>
      </c>
      <c r="V259" s="14">
        <v>275114600.24000001</v>
      </c>
      <c r="W259" s="14">
        <v>3392120.74</v>
      </c>
      <c r="X259" t="s">
        <v>51</v>
      </c>
      <c r="Y259" s="14">
        <v>500825.81</v>
      </c>
      <c r="Z259" s="14">
        <v>0</v>
      </c>
      <c r="AA259" s="14">
        <v>14029.9</v>
      </c>
      <c r="AB259" s="14">
        <v>1548244.87</v>
      </c>
      <c r="AC259" s="13" t="str">
        <f t="shared" si="38"/>
        <v>OK</v>
      </c>
      <c r="AD259" s="14">
        <v>-19347393.399999999</v>
      </c>
      <c r="AE259" s="14">
        <v>0</v>
      </c>
      <c r="AF259" s="14">
        <v>0</v>
      </c>
      <c r="AG259" s="14">
        <v>231984797</v>
      </c>
      <c r="AH259" s="14">
        <v>253733123.93000001</v>
      </c>
      <c r="AI259" s="13" t="str">
        <f t="shared" si="39"/>
        <v>OK</v>
      </c>
      <c r="AJ259" s="14">
        <v>0</v>
      </c>
      <c r="AK259" s="14">
        <v>0</v>
      </c>
      <c r="AL259" s="14">
        <v>0</v>
      </c>
      <c r="AM259" s="14">
        <v>0</v>
      </c>
      <c r="AN259" s="14">
        <v>42408424</v>
      </c>
      <c r="AO259" s="14">
        <v>42408424</v>
      </c>
      <c r="AP259" s="15">
        <f t="shared" si="40"/>
        <v>0</v>
      </c>
      <c r="AQ259" s="14">
        <v>42408423.68</v>
      </c>
      <c r="AR259" s="14">
        <v>42408423.68</v>
      </c>
      <c r="AS259" s="14">
        <v>6800000</v>
      </c>
      <c r="AT259" s="14">
        <v>6800000</v>
      </c>
      <c r="AU259" s="16">
        <f t="shared" si="41"/>
        <v>6800000</v>
      </c>
      <c r="AV259" s="13" t="str">
        <f t="shared" si="42"/>
        <v>SIM</v>
      </c>
      <c r="AW259" s="13" t="str">
        <f t="shared" si="43"/>
        <v>OK</v>
      </c>
      <c r="AX259" s="13" t="str">
        <f t="shared" si="44"/>
        <v>OK</v>
      </c>
    </row>
    <row r="260" spans="1:50" x14ac:dyDescent="0.3">
      <c r="A260" s="10" t="s">
        <v>1180</v>
      </c>
      <c r="B260" t="s">
        <v>1582</v>
      </c>
      <c r="C260" t="s">
        <v>1187</v>
      </c>
      <c r="D260" t="s">
        <v>1188</v>
      </c>
      <c r="E260" t="s">
        <v>70</v>
      </c>
      <c r="F260" t="s">
        <v>93</v>
      </c>
      <c r="G260" t="s">
        <v>60</v>
      </c>
      <c r="H260" t="s">
        <v>49</v>
      </c>
      <c r="I260" t="s">
        <v>50</v>
      </c>
      <c r="J260" t="s">
        <v>51</v>
      </c>
      <c r="K260" t="s">
        <v>51</v>
      </c>
      <c r="L260" t="s">
        <v>52</v>
      </c>
      <c r="M260">
        <v>20</v>
      </c>
      <c r="N260" s="11" t="str">
        <f t="shared" si="36"/>
        <v>OK</v>
      </c>
      <c r="O260" t="s">
        <v>51</v>
      </c>
      <c r="P260" t="s">
        <v>54</v>
      </c>
      <c r="Q260" t="s">
        <v>51</v>
      </c>
      <c r="R260" t="str">
        <f>VLOOKUP($D260,[1]Rascunho!$E$2:$S$296,15,FALSE)</f>
        <v>http://www.cohab.sc.gov.br/</v>
      </c>
      <c r="S260" s="12">
        <v>1437906</v>
      </c>
      <c r="T260" s="12">
        <v>6512923</v>
      </c>
      <c r="U260" s="13" t="str">
        <f t="shared" si="37"/>
        <v>OK</v>
      </c>
      <c r="V260" s="14">
        <v>8546550</v>
      </c>
      <c r="W260" s="14">
        <v>0</v>
      </c>
      <c r="X260" t="s">
        <v>51</v>
      </c>
      <c r="Y260" s="14">
        <v>295638.96000000002</v>
      </c>
      <c r="Z260" s="14">
        <v>0</v>
      </c>
      <c r="AA260" s="14">
        <v>121981.7</v>
      </c>
      <c r="AB260" s="14">
        <v>-736199</v>
      </c>
      <c r="AC260" s="13" t="str">
        <f t="shared" si="38"/>
        <v>OK</v>
      </c>
      <c r="AD260" s="14">
        <v>-32644131</v>
      </c>
      <c r="AE260" s="14">
        <v>0</v>
      </c>
      <c r="AF260" s="14">
        <v>0</v>
      </c>
      <c r="AG260" s="14">
        <v>4887003</v>
      </c>
      <c r="AH260" s="14">
        <v>5510738</v>
      </c>
      <c r="AI260" s="13" t="str">
        <f t="shared" si="39"/>
        <v>OK</v>
      </c>
      <c r="AJ260" s="14">
        <v>46342958.68</v>
      </c>
      <c r="AK260" s="14">
        <v>46342958.68</v>
      </c>
      <c r="AL260" s="14">
        <v>0</v>
      </c>
      <c r="AM260" s="14">
        <v>0</v>
      </c>
      <c r="AN260" s="14">
        <v>32300207</v>
      </c>
      <c r="AO260" s="14">
        <v>32300207</v>
      </c>
      <c r="AP260" s="15">
        <f t="shared" si="40"/>
        <v>0</v>
      </c>
      <c r="AQ260" s="14">
        <v>32300207</v>
      </c>
      <c r="AR260" s="14">
        <v>32300207</v>
      </c>
      <c r="AS260" s="14">
        <v>0</v>
      </c>
      <c r="AT260" s="14">
        <v>0</v>
      </c>
      <c r="AU260" s="16">
        <f t="shared" si="41"/>
        <v>0</v>
      </c>
      <c r="AV260" s="13" t="str">
        <f t="shared" si="42"/>
        <v>NÃO</v>
      </c>
      <c r="AW260" s="13" t="str">
        <f t="shared" si="43"/>
        <v>OK</v>
      </c>
      <c r="AX260" s="13" t="str">
        <f t="shared" si="44"/>
        <v>OK</v>
      </c>
    </row>
    <row r="261" spans="1:50" x14ac:dyDescent="0.3">
      <c r="A261" s="10" t="s">
        <v>1180</v>
      </c>
      <c r="B261" t="s">
        <v>1583</v>
      </c>
      <c r="C261" t="s">
        <v>1190</v>
      </c>
      <c r="D261" t="s">
        <v>1191</v>
      </c>
      <c r="E261" t="s">
        <v>46</v>
      </c>
      <c r="F261" t="s">
        <v>102</v>
      </c>
      <c r="G261" t="s">
        <v>48</v>
      </c>
      <c r="H261" t="s">
        <v>363</v>
      </c>
      <c r="I261" t="s">
        <v>50</v>
      </c>
      <c r="J261" t="s">
        <v>51</v>
      </c>
      <c r="K261" t="s">
        <v>51</v>
      </c>
      <c r="L261" t="s">
        <v>52</v>
      </c>
      <c r="M261">
        <v>1816</v>
      </c>
      <c r="N261" s="11" t="str">
        <f t="shared" si="36"/>
        <v>OK</v>
      </c>
      <c r="O261" t="s">
        <v>54</v>
      </c>
      <c r="P261" t="s">
        <v>54</v>
      </c>
      <c r="Q261" t="s">
        <v>51</v>
      </c>
      <c r="R261" t="str">
        <f>VLOOKUP($D261,[1]Rascunho!$E$2:$S$296,15,FALSE)</f>
        <v>https://transparencia.epagri.sc.gov.br/?page_id=919</v>
      </c>
      <c r="S261" s="12">
        <v>26319496</v>
      </c>
      <c r="T261" s="12">
        <v>406514566.69</v>
      </c>
      <c r="U261" s="13" t="str">
        <f t="shared" si="37"/>
        <v>OK</v>
      </c>
      <c r="V261" s="14">
        <v>487020795</v>
      </c>
      <c r="W261" s="14">
        <v>17097087</v>
      </c>
      <c r="X261" t="s">
        <v>51</v>
      </c>
      <c r="Y261" s="14">
        <v>499437.52</v>
      </c>
      <c r="Z261" s="14">
        <v>0</v>
      </c>
      <c r="AA261" s="14">
        <v>0</v>
      </c>
      <c r="AB261" s="14">
        <v>-118261</v>
      </c>
      <c r="AC261" s="13" t="str">
        <f t="shared" si="38"/>
        <v>OK</v>
      </c>
      <c r="AD261" s="14">
        <v>-25643905</v>
      </c>
      <c r="AE261" s="14">
        <v>0</v>
      </c>
      <c r="AF261" s="14">
        <v>0</v>
      </c>
      <c r="AG261" s="14">
        <v>432446310</v>
      </c>
      <c r="AH261" s="14">
        <v>433219082</v>
      </c>
      <c r="AI261" s="13" t="str">
        <f t="shared" si="39"/>
        <v>OK</v>
      </c>
      <c r="AJ261" s="14">
        <v>0</v>
      </c>
      <c r="AK261" s="14">
        <v>0</v>
      </c>
      <c r="AL261" s="14">
        <v>0</v>
      </c>
      <c r="AM261" s="14">
        <v>0</v>
      </c>
      <c r="AN261" s="14">
        <v>169781641.53</v>
      </c>
      <c r="AO261" s="14">
        <v>169781641.53</v>
      </c>
      <c r="AP261" s="15">
        <f t="shared" si="40"/>
        <v>0</v>
      </c>
      <c r="AQ261" s="14">
        <v>169781641.53</v>
      </c>
      <c r="AR261" s="14">
        <v>169781641.53</v>
      </c>
      <c r="AS261" s="14">
        <v>0</v>
      </c>
      <c r="AT261" s="14">
        <v>0</v>
      </c>
      <c r="AU261" s="16">
        <f t="shared" si="41"/>
        <v>0</v>
      </c>
      <c r="AV261" s="13" t="str">
        <f t="shared" si="42"/>
        <v>NÃO</v>
      </c>
      <c r="AW261" s="13" t="str">
        <f t="shared" si="43"/>
        <v>OK</v>
      </c>
      <c r="AX261" s="13" t="str">
        <f t="shared" si="44"/>
        <v>OK</v>
      </c>
    </row>
    <row r="262" spans="1:50" x14ac:dyDescent="0.3">
      <c r="A262" s="10" t="s">
        <v>1180</v>
      </c>
      <c r="B262" t="s">
        <v>1584</v>
      </c>
      <c r="C262" t="s">
        <v>1224</v>
      </c>
      <c r="D262" t="s">
        <v>1225</v>
      </c>
      <c r="E262" t="s">
        <v>46</v>
      </c>
      <c r="F262" t="s">
        <v>59</v>
      </c>
      <c r="G262" t="s">
        <v>60</v>
      </c>
      <c r="H262" t="s">
        <v>49</v>
      </c>
      <c r="I262" t="s">
        <v>50</v>
      </c>
      <c r="J262" t="s">
        <v>51</v>
      </c>
      <c r="K262" t="s">
        <v>51</v>
      </c>
      <c r="L262" t="s">
        <v>134</v>
      </c>
      <c r="M262">
        <v>57</v>
      </c>
      <c r="N262" s="11" t="str">
        <f t="shared" si="36"/>
        <v>OK</v>
      </c>
      <c r="O262" t="s">
        <v>54</v>
      </c>
      <c r="P262" t="s">
        <v>54</v>
      </c>
      <c r="Q262" t="s">
        <v>51</v>
      </c>
      <c r="R262" t="str">
        <f>VLOOKUP($D262,[1]Rascunho!$E$2:$S$296,15,FALSE)</f>
        <v>https://hidrocaldas.com.br/</v>
      </c>
      <c r="S262" s="12">
        <v>4920760.07</v>
      </c>
      <c r="T262" s="12">
        <v>3572290.06</v>
      </c>
      <c r="U262" s="13" t="str">
        <f t="shared" si="37"/>
        <v>OK</v>
      </c>
      <c r="V262" s="14">
        <v>6202097.8700000001</v>
      </c>
      <c r="W262" s="14">
        <v>547888.06999999995</v>
      </c>
      <c r="X262" t="s">
        <v>51</v>
      </c>
      <c r="Y262" s="14">
        <v>65541.37</v>
      </c>
      <c r="Z262" s="14">
        <v>0</v>
      </c>
      <c r="AA262" s="14">
        <v>46402.16</v>
      </c>
      <c r="AB262" s="14">
        <v>-2847890.17</v>
      </c>
      <c r="AC262" s="13" t="str">
        <f t="shared" si="38"/>
        <v>OK</v>
      </c>
      <c r="AD262" s="14">
        <v>3039104.56</v>
      </c>
      <c r="AE262" s="14">
        <v>0</v>
      </c>
      <c r="AF262" s="14">
        <v>0</v>
      </c>
      <c r="AG262" s="14">
        <v>0</v>
      </c>
      <c r="AH262" s="14">
        <v>0</v>
      </c>
      <c r="AI262" s="13" t="str">
        <f t="shared" si="39"/>
        <v>OK</v>
      </c>
      <c r="AJ262" s="14">
        <v>2472310570</v>
      </c>
      <c r="AK262" s="14">
        <v>3651537</v>
      </c>
      <c r="AL262" s="14">
        <v>0</v>
      </c>
      <c r="AM262" s="14">
        <v>0</v>
      </c>
      <c r="AN262" s="14">
        <v>161671674</v>
      </c>
      <c r="AO262" s="14">
        <v>161671674</v>
      </c>
      <c r="AP262" s="15">
        <f t="shared" si="40"/>
        <v>0</v>
      </c>
      <c r="AQ262" s="14">
        <v>1616016.74</v>
      </c>
      <c r="AR262" s="14">
        <v>1616016.74</v>
      </c>
      <c r="AS262" s="14">
        <v>7510017.2000000002</v>
      </c>
      <c r="AT262" s="14">
        <v>10429792.140000001</v>
      </c>
      <c r="AU262" s="16">
        <f t="shared" si="41"/>
        <v>10429792.140000001</v>
      </c>
      <c r="AV262" s="13" t="str">
        <f t="shared" si="42"/>
        <v>SIM</v>
      </c>
      <c r="AW262" s="13" t="str">
        <f t="shared" si="43"/>
        <v>OK</v>
      </c>
      <c r="AX262" s="13" t="str">
        <f t="shared" si="44"/>
        <v>OK</v>
      </c>
    </row>
    <row r="263" spans="1:50" x14ac:dyDescent="0.3">
      <c r="A263" s="10" t="s">
        <v>1180</v>
      </c>
      <c r="B263" t="s">
        <v>1585</v>
      </c>
      <c r="C263" t="s">
        <v>1227</v>
      </c>
      <c r="D263" t="s">
        <v>1228</v>
      </c>
      <c r="E263" t="s">
        <v>46</v>
      </c>
      <c r="F263" t="s">
        <v>65</v>
      </c>
      <c r="G263" t="s">
        <v>60</v>
      </c>
      <c r="H263" t="s">
        <v>49</v>
      </c>
      <c r="I263" t="s">
        <v>50</v>
      </c>
      <c r="J263" t="s">
        <v>51</v>
      </c>
      <c r="K263" t="s">
        <v>51</v>
      </c>
      <c r="L263" t="s">
        <v>134</v>
      </c>
      <c r="M263">
        <v>2</v>
      </c>
      <c r="N263" s="11" t="str">
        <f t="shared" si="36"/>
        <v>OK</v>
      </c>
      <c r="O263" t="s">
        <v>54</v>
      </c>
      <c r="P263" t="s">
        <v>54</v>
      </c>
      <c r="Q263" t="s">
        <v>51</v>
      </c>
      <c r="R263" t="str">
        <f>VLOOKUP($D263,[1]Rascunho!$E$2:$S$296,15,FALSE)</f>
        <v>Site não disponível</v>
      </c>
      <c r="S263" s="12">
        <v>0</v>
      </c>
      <c r="T263" s="12">
        <v>48277</v>
      </c>
      <c r="U263" s="13" t="str">
        <f t="shared" si="37"/>
        <v>OK</v>
      </c>
      <c r="V263" s="14">
        <v>168719.66</v>
      </c>
      <c r="W263" s="14">
        <v>0</v>
      </c>
      <c r="X263" t="s">
        <v>51</v>
      </c>
      <c r="Y263" s="14">
        <v>0</v>
      </c>
      <c r="Z263" s="14">
        <v>0</v>
      </c>
      <c r="AA263" s="14">
        <v>0</v>
      </c>
      <c r="AB263" s="14">
        <v>-48300.19</v>
      </c>
      <c r="AC263" s="13" t="str">
        <f t="shared" si="38"/>
        <v>OK</v>
      </c>
      <c r="AD263" s="14">
        <v>2251808.9700000002</v>
      </c>
      <c r="AE263" s="14">
        <v>0</v>
      </c>
      <c r="AF263" s="14">
        <v>0</v>
      </c>
      <c r="AG263" s="14">
        <v>0</v>
      </c>
      <c r="AH263" s="14">
        <v>0</v>
      </c>
      <c r="AI263" s="13" t="str">
        <f t="shared" si="39"/>
        <v>OK</v>
      </c>
      <c r="AJ263" s="14">
        <v>0</v>
      </c>
      <c r="AK263" s="14">
        <v>0</v>
      </c>
      <c r="AL263" s="14">
        <v>2000000</v>
      </c>
      <c r="AM263" s="14">
        <v>0</v>
      </c>
      <c r="AN263" s="14">
        <v>21272243.239999998</v>
      </c>
      <c r="AO263" s="14">
        <v>23272243</v>
      </c>
      <c r="AP263" s="15">
        <f t="shared" si="40"/>
        <v>1999999.7600000016</v>
      </c>
      <c r="AQ263" s="14">
        <v>21370426.239999998</v>
      </c>
      <c r="AR263" s="14">
        <v>23370426.239999998</v>
      </c>
      <c r="AS263" s="14">
        <v>0</v>
      </c>
      <c r="AT263" s="14">
        <v>0</v>
      </c>
      <c r="AU263" s="16">
        <f t="shared" si="41"/>
        <v>2000000</v>
      </c>
      <c r="AV263" s="13" t="str">
        <f t="shared" si="42"/>
        <v>SIM</v>
      </c>
      <c r="AW263" s="13" t="str">
        <f t="shared" si="43"/>
        <v>OK</v>
      </c>
      <c r="AX263" s="13" t="str">
        <f t="shared" si="44"/>
        <v>OK</v>
      </c>
    </row>
    <row r="264" spans="1:50" x14ac:dyDescent="0.3">
      <c r="A264" s="10" t="s">
        <v>1180</v>
      </c>
      <c r="B264" t="s">
        <v>1229</v>
      </c>
      <c r="C264" t="s">
        <v>1230</v>
      </c>
      <c r="D264" t="s">
        <v>1231</v>
      </c>
      <c r="E264" t="s">
        <v>46</v>
      </c>
      <c r="F264" t="s">
        <v>71</v>
      </c>
      <c r="G264" t="s">
        <v>60</v>
      </c>
      <c r="H264" t="s">
        <v>49</v>
      </c>
      <c r="I264" t="s">
        <v>50</v>
      </c>
      <c r="J264" t="s">
        <v>51</v>
      </c>
      <c r="K264" t="s">
        <v>51</v>
      </c>
      <c r="L264" t="s">
        <v>134</v>
      </c>
      <c r="M264">
        <v>0</v>
      </c>
      <c r="N264" s="11" t="str">
        <f t="shared" si="36"/>
        <v>VERIFICAR</v>
      </c>
      <c r="O264" t="s">
        <v>54</v>
      </c>
      <c r="P264" t="s">
        <v>54</v>
      </c>
      <c r="Q264" t="s">
        <v>54</v>
      </c>
      <c r="R264" t="str">
        <f>VLOOKUP($D264,[1]Rascunho!$E$2:$S$296,15,FALSE)</f>
        <v>Site não disponível</v>
      </c>
      <c r="S264" s="12">
        <v>0</v>
      </c>
      <c r="T264" s="12">
        <v>0</v>
      </c>
      <c r="U264" s="13" t="str">
        <f t="shared" si="37"/>
        <v>OK</v>
      </c>
      <c r="V264" s="14">
        <v>113752.82</v>
      </c>
      <c r="W264" s="14">
        <v>0</v>
      </c>
      <c r="X264" t="s">
        <v>51</v>
      </c>
      <c r="Y264" s="14">
        <v>0</v>
      </c>
      <c r="Z264" s="14">
        <v>0</v>
      </c>
      <c r="AA264" s="14">
        <v>0</v>
      </c>
      <c r="AB264" s="14">
        <v>-116616.78</v>
      </c>
      <c r="AC264" s="13" t="str">
        <f t="shared" si="38"/>
        <v>OK</v>
      </c>
      <c r="AD264" s="14">
        <v>-8059886370.8900003</v>
      </c>
      <c r="AE264" s="14">
        <v>0</v>
      </c>
      <c r="AF264" s="14">
        <v>0</v>
      </c>
      <c r="AG264" s="14">
        <v>0</v>
      </c>
      <c r="AH264" s="14">
        <v>0</v>
      </c>
      <c r="AI264" s="13" t="str">
        <f t="shared" si="39"/>
        <v>OK</v>
      </c>
      <c r="AJ264" s="14">
        <v>0</v>
      </c>
      <c r="AK264" s="14">
        <v>0</v>
      </c>
      <c r="AL264" s="14">
        <v>0</v>
      </c>
      <c r="AM264" s="14">
        <v>0</v>
      </c>
      <c r="AN264" s="14">
        <v>199000</v>
      </c>
      <c r="AO264" s="14">
        <v>199000</v>
      </c>
      <c r="AP264" s="15">
        <f t="shared" si="40"/>
        <v>0</v>
      </c>
      <c r="AQ264" s="14">
        <v>82632889.269999996</v>
      </c>
      <c r="AR264" s="14">
        <v>82682702.340000004</v>
      </c>
      <c r="AS264" s="14">
        <v>117367110.73</v>
      </c>
      <c r="AT264" s="14">
        <v>117317297.66</v>
      </c>
      <c r="AU264" s="16">
        <f t="shared" si="41"/>
        <v>117367110.73</v>
      </c>
      <c r="AV264" s="13" t="str">
        <f t="shared" si="42"/>
        <v>SIM</v>
      </c>
      <c r="AW264" s="13" t="str">
        <f t="shared" si="43"/>
        <v>OK</v>
      </c>
      <c r="AX264" s="13" t="str">
        <f t="shared" si="44"/>
        <v>OK</v>
      </c>
    </row>
    <row r="265" spans="1:50" x14ac:dyDescent="0.3">
      <c r="A265" s="10" t="s">
        <v>1180</v>
      </c>
      <c r="B265" t="s">
        <v>1586</v>
      </c>
      <c r="C265" t="s">
        <v>1195</v>
      </c>
      <c r="D265" t="s">
        <v>1196</v>
      </c>
      <c r="E265" t="s">
        <v>70</v>
      </c>
      <c r="F265" t="s">
        <v>162</v>
      </c>
      <c r="G265" t="s">
        <v>60</v>
      </c>
      <c r="H265" t="s">
        <v>49</v>
      </c>
      <c r="I265" t="s">
        <v>50</v>
      </c>
      <c r="J265" t="s">
        <v>51</v>
      </c>
      <c r="K265" t="s">
        <v>51</v>
      </c>
      <c r="L265" t="s">
        <v>52</v>
      </c>
      <c r="M265">
        <v>31</v>
      </c>
      <c r="N265" s="11" t="str">
        <f t="shared" si="36"/>
        <v>OK</v>
      </c>
      <c r="O265" t="s">
        <v>51</v>
      </c>
      <c r="P265" t="s">
        <v>54</v>
      </c>
      <c r="Q265" t="s">
        <v>51</v>
      </c>
      <c r="R265" t="str">
        <f>VLOOKUP($D265,[1]Rascunho!$E$2:$S$296,15,FALSE)</f>
        <v>https://www.scturismo.com.br/orgaos/</v>
      </c>
      <c r="S265" s="12">
        <v>7126652</v>
      </c>
      <c r="T265" s="12">
        <v>7283602</v>
      </c>
      <c r="U265" s="13" t="str">
        <f t="shared" si="37"/>
        <v>OK</v>
      </c>
      <c r="V265" s="14">
        <v>7395104</v>
      </c>
      <c r="W265" s="14">
        <v>0</v>
      </c>
      <c r="X265" t="s">
        <v>51</v>
      </c>
      <c r="Y265" s="14">
        <v>331857.48</v>
      </c>
      <c r="Z265" s="14">
        <v>0</v>
      </c>
      <c r="AA265" s="14">
        <v>0</v>
      </c>
      <c r="AB265" s="14">
        <v>-268452</v>
      </c>
      <c r="AC265" s="13" t="str">
        <f t="shared" si="38"/>
        <v>OK</v>
      </c>
      <c r="AD265" s="14">
        <v>5630</v>
      </c>
      <c r="AE265" s="14">
        <v>0</v>
      </c>
      <c r="AF265" s="14">
        <v>0</v>
      </c>
      <c r="AG265" s="14">
        <v>0</v>
      </c>
      <c r="AH265" s="14">
        <v>0</v>
      </c>
      <c r="AI265" s="13" t="str">
        <f t="shared" si="39"/>
        <v>OK</v>
      </c>
      <c r="AJ265" s="14">
        <v>0</v>
      </c>
      <c r="AK265" s="14">
        <v>0</v>
      </c>
      <c r="AL265" s="14">
        <v>0</v>
      </c>
      <c r="AM265" s="14">
        <v>0</v>
      </c>
      <c r="AN265" s="14">
        <v>3413873</v>
      </c>
      <c r="AO265" s="14">
        <v>3413873</v>
      </c>
      <c r="AP265" s="15">
        <f t="shared" si="40"/>
        <v>0</v>
      </c>
      <c r="AQ265" s="14">
        <v>3528671</v>
      </c>
      <c r="AR265" s="14">
        <v>3528671</v>
      </c>
      <c r="AS265" s="14">
        <v>1165848</v>
      </c>
      <c r="AT265" s="14">
        <v>1165848</v>
      </c>
      <c r="AU265" s="16">
        <f t="shared" si="41"/>
        <v>1165848</v>
      </c>
      <c r="AV265" s="13" t="str">
        <f t="shared" si="42"/>
        <v>SIM</v>
      </c>
      <c r="AW265" s="13" t="str">
        <f t="shared" si="43"/>
        <v>OK</v>
      </c>
      <c r="AX265" s="13" t="str">
        <f t="shared" si="44"/>
        <v>OK</v>
      </c>
    </row>
    <row r="266" spans="1:50" x14ac:dyDescent="0.3">
      <c r="A266" s="10" t="s">
        <v>1180</v>
      </c>
      <c r="B266" t="s">
        <v>1587</v>
      </c>
      <c r="C266" t="s">
        <v>1233</v>
      </c>
      <c r="D266" t="s">
        <v>1234</v>
      </c>
      <c r="E266" t="s">
        <v>46</v>
      </c>
      <c r="F266" t="s">
        <v>59</v>
      </c>
      <c r="G266" t="s">
        <v>60</v>
      </c>
      <c r="H266" t="s">
        <v>49</v>
      </c>
      <c r="I266" t="s">
        <v>50</v>
      </c>
      <c r="J266" t="s">
        <v>51</v>
      </c>
      <c r="K266" t="s">
        <v>51</v>
      </c>
      <c r="L266" t="s">
        <v>134</v>
      </c>
      <c r="M266">
        <v>19</v>
      </c>
      <c r="N266" s="11" t="str">
        <f t="shared" si="36"/>
        <v>OK</v>
      </c>
      <c r="O266" t="s">
        <v>54</v>
      </c>
      <c r="P266" t="s">
        <v>54</v>
      </c>
      <c r="Q266" t="s">
        <v>51</v>
      </c>
      <c r="R266" t="str">
        <f>VLOOKUP($D266,[1]Rascunho!$E$2:$S$296,15,FALSE)</f>
        <v>Site não disponível</v>
      </c>
      <c r="S266" s="12">
        <v>65248.69</v>
      </c>
      <c r="T266" s="12">
        <v>2156424.73</v>
      </c>
      <c r="U266" s="13" t="str">
        <f t="shared" si="37"/>
        <v>OK</v>
      </c>
      <c r="V266" s="14">
        <v>14082119.41</v>
      </c>
      <c r="W266" s="14">
        <v>0</v>
      </c>
      <c r="X266" t="s">
        <v>51</v>
      </c>
      <c r="Y266" s="14">
        <v>104220.18</v>
      </c>
      <c r="Z266" s="14">
        <v>0</v>
      </c>
      <c r="AA266" s="14">
        <v>0</v>
      </c>
      <c r="AB266" s="14">
        <v>6994418.3600000003</v>
      </c>
      <c r="AC266" s="13" t="str">
        <f t="shared" si="38"/>
        <v>OK</v>
      </c>
      <c r="AD266" s="14">
        <v>407147626.61000001</v>
      </c>
      <c r="AE266" s="14">
        <v>0</v>
      </c>
      <c r="AF266" s="14">
        <v>0</v>
      </c>
      <c r="AG266" s="14">
        <v>0</v>
      </c>
      <c r="AH266" s="14">
        <v>0</v>
      </c>
      <c r="AI266" s="13" t="str">
        <f t="shared" si="39"/>
        <v>OK</v>
      </c>
      <c r="AJ266" s="14">
        <v>0</v>
      </c>
      <c r="AK266" s="14">
        <v>0</v>
      </c>
      <c r="AL266" s="14">
        <v>235000</v>
      </c>
      <c r="AM266" s="14">
        <v>20251723.949999999</v>
      </c>
      <c r="AN266" s="14">
        <v>210473078</v>
      </c>
      <c r="AO266" s="14">
        <v>210708078</v>
      </c>
      <c r="AP266" s="15">
        <f t="shared" si="40"/>
        <v>235000</v>
      </c>
      <c r="AQ266" s="14">
        <v>285386230</v>
      </c>
      <c r="AR266" s="14">
        <v>210708078</v>
      </c>
      <c r="AS266" s="14">
        <v>6209566</v>
      </c>
      <c r="AT266" s="14">
        <v>6209566</v>
      </c>
      <c r="AU266" s="16">
        <f t="shared" si="41"/>
        <v>-68468586</v>
      </c>
      <c r="AV266" s="13" t="str">
        <f t="shared" si="42"/>
        <v>SIM</v>
      </c>
      <c r="AW266" s="13" t="str">
        <f t="shared" si="43"/>
        <v>VER CAPITAL</v>
      </c>
      <c r="AX266" s="13" t="str">
        <f t="shared" si="44"/>
        <v>OK</v>
      </c>
    </row>
    <row r="267" spans="1:50" x14ac:dyDescent="0.3">
      <c r="A267" s="10" t="s">
        <v>1180</v>
      </c>
      <c r="B267" t="s">
        <v>1588</v>
      </c>
      <c r="C267" t="s">
        <v>1236</v>
      </c>
      <c r="D267" t="s">
        <v>1237</v>
      </c>
      <c r="E267" t="s">
        <v>46</v>
      </c>
      <c r="F267" t="s">
        <v>133</v>
      </c>
      <c r="G267" t="s">
        <v>60</v>
      </c>
      <c r="H267" t="s">
        <v>49</v>
      </c>
      <c r="I267" t="s">
        <v>50</v>
      </c>
      <c r="J267" t="s">
        <v>51</v>
      </c>
      <c r="K267" t="s">
        <v>51</v>
      </c>
      <c r="L267" t="s">
        <v>134</v>
      </c>
      <c r="M267">
        <v>40</v>
      </c>
      <c r="N267" s="11" t="str">
        <f t="shared" si="36"/>
        <v>OK</v>
      </c>
      <c r="O267" t="s">
        <v>54</v>
      </c>
      <c r="P267" t="s">
        <v>54</v>
      </c>
      <c r="Q267" t="s">
        <v>54</v>
      </c>
      <c r="R267" t="str">
        <f>VLOOKUP($D267,[1]Rascunho!$E$2:$S$296,15,FALSE)</f>
        <v>http://transparencia.scpar.sc.gov.br/scpar/gestao/governanca/carta-anual-de-governanca-corporativa</v>
      </c>
      <c r="S267" s="12">
        <v>1167504.43</v>
      </c>
      <c r="T267" s="12">
        <v>9571052.8100000005</v>
      </c>
      <c r="U267" s="13" t="str">
        <f t="shared" si="37"/>
        <v>OK</v>
      </c>
      <c r="V267" s="14">
        <v>10379381.060000001</v>
      </c>
      <c r="W267" s="14">
        <v>79206.820000000007</v>
      </c>
      <c r="X267" t="s">
        <v>51</v>
      </c>
      <c r="Y267" s="14">
        <v>354057.57</v>
      </c>
      <c r="Z267" s="14">
        <v>0</v>
      </c>
      <c r="AA267" s="14">
        <v>0</v>
      </c>
      <c r="AB267" s="14">
        <v>23719035.699999999</v>
      </c>
      <c r="AC267" s="13" t="str">
        <f t="shared" si="38"/>
        <v>OK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3" t="str">
        <f t="shared" si="39"/>
        <v>OK</v>
      </c>
      <c r="AJ267" s="14">
        <v>0</v>
      </c>
      <c r="AK267" s="14">
        <v>0</v>
      </c>
      <c r="AL267" s="14">
        <v>5528686.2800000003</v>
      </c>
      <c r="AM267" s="14">
        <v>4558700.29</v>
      </c>
      <c r="AN267" s="14">
        <v>227208991</v>
      </c>
      <c r="AO267" s="14">
        <v>231767692</v>
      </c>
      <c r="AP267" s="15">
        <f t="shared" si="40"/>
        <v>4558701</v>
      </c>
      <c r="AQ267" s="14">
        <v>5528686.2800000003</v>
      </c>
      <c r="AR267" s="14">
        <v>4558700.29</v>
      </c>
      <c r="AS267" s="14">
        <v>0</v>
      </c>
      <c r="AT267" s="14">
        <v>0</v>
      </c>
      <c r="AU267" s="16">
        <f t="shared" si="41"/>
        <v>-969985.99000000022</v>
      </c>
      <c r="AV267" s="13" t="str">
        <f t="shared" si="42"/>
        <v>SIM</v>
      </c>
      <c r="AW267" s="13" t="str">
        <f t="shared" si="43"/>
        <v>VER CAPITAL</v>
      </c>
      <c r="AX267" s="13" t="str">
        <f t="shared" si="44"/>
        <v>OK</v>
      </c>
    </row>
    <row r="268" spans="1:50" x14ac:dyDescent="0.3">
      <c r="A268" s="10" t="s">
        <v>1240</v>
      </c>
      <c r="B268" t="s">
        <v>1589</v>
      </c>
      <c r="C268" t="s">
        <v>1272</v>
      </c>
      <c r="D268" t="s">
        <v>1273</v>
      </c>
      <c r="E268" t="s">
        <v>46</v>
      </c>
      <c r="F268" t="s">
        <v>71</v>
      </c>
      <c r="G268" t="s">
        <v>60</v>
      </c>
      <c r="H268" t="s">
        <v>49</v>
      </c>
      <c r="I268" t="s">
        <v>373</v>
      </c>
      <c r="J268" t="s">
        <v>54</v>
      </c>
      <c r="K268" t="s">
        <v>51</v>
      </c>
      <c r="L268" t="s">
        <v>134</v>
      </c>
      <c r="M268">
        <v>1387</v>
      </c>
      <c r="N268" s="11" t="str">
        <f t="shared" si="36"/>
        <v>OK</v>
      </c>
      <c r="O268" t="s">
        <v>54</v>
      </c>
      <c r="P268" t="s">
        <v>54</v>
      </c>
      <c r="Q268" t="s">
        <v>54</v>
      </c>
      <c r="R268" t="str">
        <f>VLOOKUP($D268,[1]Rascunho!$E$2:$S$296,15,FALSE)</f>
        <v>https://ri.banese.com.br/governanca-corporativa/carta-anual-de-governanca/</v>
      </c>
      <c r="S268" s="12">
        <v>62561725.890000001</v>
      </c>
      <c r="T268" s="12">
        <v>231339632.03</v>
      </c>
      <c r="U268" s="13" t="str">
        <f t="shared" si="37"/>
        <v>OK</v>
      </c>
      <c r="V268" s="14">
        <v>1468000974.76</v>
      </c>
      <c r="W268" s="14">
        <v>23579401</v>
      </c>
      <c r="X268" t="s">
        <v>54</v>
      </c>
      <c r="Y268" s="14">
        <v>439416.29</v>
      </c>
      <c r="Z268" s="14">
        <v>23993.47</v>
      </c>
      <c r="AA268" s="14">
        <v>30773.919999999998</v>
      </c>
      <c r="AB268" s="14">
        <v>47470552.549999997</v>
      </c>
      <c r="AC268" s="13" t="str">
        <f t="shared" si="38"/>
        <v>OK</v>
      </c>
      <c r="AD268" s="14">
        <v>668274347.60000002</v>
      </c>
      <c r="AE268" s="14">
        <v>441902863.92000002</v>
      </c>
      <c r="AF268" s="14">
        <v>51387033.030000001</v>
      </c>
      <c r="AG268" s="14">
        <v>0</v>
      </c>
      <c r="AH268" s="14">
        <v>0</v>
      </c>
      <c r="AI268" s="13" t="str">
        <f t="shared" si="39"/>
        <v>OK</v>
      </c>
      <c r="AJ268" s="14">
        <v>0</v>
      </c>
      <c r="AK268" s="14">
        <v>0</v>
      </c>
      <c r="AL268" s="14">
        <v>0</v>
      </c>
      <c r="AM268" s="14">
        <v>56242461.5</v>
      </c>
      <c r="AN268" s="14">
        <v>13736267</v>
      </c>
      <c r="AO268" s="14">
        <v>16205471</v>
      </c>
      <c r="AP268" s="15">
        <f t="shared" si="40"/>
        <v>2469204</v>
      </c>
      <c r="AQ268" s="14">
        <v>461033100</v>
      </c>
      <c r="AR268" s="14">
        <v>519098927.52999997</v>
      </c>
      <c r="AS268" s="14">
        <v>0</v>
      </c>
      <c r="AT268" s="14">
        <v>0</v>
      </c>
      <c r="AU268" s="16">
        <f t="shared" si="41"/>
        <v>58065827.529999971</v>
      </c>
      <c r="AV268" s="13" t="str">
        <f t="shared" si="42"/>
        <v>SIM</v>
      </c>
      <c r="AW268" s="13" t="str">
        <f t="shared" si="43"/>
        <v>VER CAPITAL</v>
      </c>
      <c r="AX268" s="13" t="str">
        <f t="shared" si="44"/>
        <v>OK</v>
      </c>
    </row>
    <row r="269" spans="1:50" x14ac:dyDescent="0.3">
      <c r="A269" s="10" t="s">
        <v>1240</v>
      </c>
      <c r="B269" t="s">
        <v>1241</v>
      </c>
      <c r="C269" t="s">
        <v>1242</v>
      </c>
      <c r="D269" t="s">
        <v>1243</v>
      </c>
      <c r="E269" t="s">
        <v>46</v>
      </c>
      <c r="F269" t="s">
        <v>93</v>
      </c>
      <c r="G269" t="s">
        <v>60</v>
      </c>
      <c r="H269" t="s">
        <v>49</v>
      </c>
      <c r="I269" t="s">
        <v>373</v>
      </c>
      <c r="J269" t="s">
        <v>51</v>
      </c>
      <c r="K269" t="s">
        <v>51</v>
      </c>
      <c r="L269" t="s">
        <v>52</v>
      </c>
      <c r="M269">
        <v>194</v>
      </c>
      <c r="N269" s="11" t="str">
        <f t="shared" si="36"/>
        <v>OK</v>
      </c>
      <c r="O269" t="s">
        <v>54</v>
      </c>
      <c r="P269" t="s">
        <v>54</v>
      </c>
      <c r="Q269" t="s">
        <v>51</v>
      </c>
      <c r="R269" t="str">
        <f>VLOOKUP($D269,[1]Rascunho!$E$2:$S$296,15,FALSE)</f>
        <v>https://cehop.se.gov.br/</v>
      </c>
      <c r="S269" s="12">
        <v>34194376.579999998</v>
      </c>
      <c r="T269" s="12">
        <v>27738975.010000002</v>
      </c>
      <c r="U269" s="13" t="str">
        <f t="shared" si="37"/>
        <v>OK</v>
      </c>
      <c r="V269" s="14">
        <v>36143829.009999998</v>
      </c>
      <c r="W269" s="14">
        <v>81667.56</v>
      </c>
      <c r="X269" t="s">
        <v>51</v>
      </c>
      <c r="Y269" s="14">
        <v>356974.84</v>
      </c>
      <c r="Z269" s="14">
        <v>0</v>
      </c>
      <c r="AA269" s="14">
        <v>0</v>
      </c>
      <c r="AB269" s="14">
        <v>-1949452.43</v>
      </c>
      <c r="AC269" s="13" t="str">
        <f t="shared" si="38"/>
        <v>OK</v>
      </c>
      <c r="AD269" s="14">
        <v>102942842.76000001</v>
      </c>
      <c r="AE269" s="14" t="e">
        <v>#VALUE!</v>
      </c>
      <c r="AF269" s="14">
        <v>0</v>
      </c>
      <c r="AG269" s="14">
        <v>34119125.299999997</v>
      </c>
      <c r="AH269" s="14">
        <v>28966706.260000002</v>
      </c>
      <c r="AI269" s="13" t="str">
        <f t="shared" si="39"/>
        <v>OK</v>
      </c>
      <c r="AJ269" s="14">
        <v>0</v>
      </c>
      <c r="AK269" s="14">
        <v>80795161.310000002</v>
      </c>
      <c r="AL269" s="14">
        <v>0</v>
      </c>
      <c r="AM269" s="14">
        <v>0</v>
      </c>
      <c r="AN269" s="14">
        <v>515885165</v>
      </c>
      <c r="AO269" s="14">
        <v>515885165</v>
      </c>
      <c r="AP269" s="15">
        <f t="shared" si="40"/>
        <v>0</v>
      </c>
      <c r="AQ269" s="14">
        <v>515936758.60000002</v>
      </c>
      <c r="AR269" s="14">
        <v>515936758.60000002</v>
      </c>
      <c r="AS269" s="14">
        <v>0</v>
      </c>
      <c r="AT269" s="14">
        <v>0</v>
      </c>
      <c r="AU269" s="16">
        <f t="shared" si="41"/>
        <v>0</v>
      </c>
      <c r="AV269" s="13" t="str">
        <f t="shared" si="42"/>
        <v>NÃO</v>
      </c>
      <c r="AW269" s="13" t="str">
        <f t="shared" si="43"/>
        <v>OK</v>
      </c>
      <c r="AX269" s="13" t="str">
        <f t="shared" si="44"/>
        <v>OK</v>
      </c>
    </row>
    <row r="270" spans="1:50" x14ac:dyDescent="0.3">
      <c r="A270" s="10" t="s">
        <v>1240</v>
      </c>
      <c r="B270" t="s">
        <v>1244</v>
      </c>
      <c r="C270" t="s">
        <v>1245</v>
      </c>
      <c r="D270" t="s">
        <v>1246</v>
      </c>
      <c r="E270" t="s">
        <v>46</v>
      </c>
      <c r="F270" t="s">
        <v>75</v>
      </c>
      <c r="G270" t="s">
        <v>60</v>
      </c>
      <c r="H270" t="s">
        <v>49</v>
      </c>
      <c r="I270" t="s">
        <v>373</v>
      </c>
      <c r="J270" t="s">
        <v>51</v>
      </c>
      <c r="K270" t="s">
        <v>51</v>
      </c>
      <c r="L270" t="s">
        <v>52</v>
      </c>
      <c r="M270">
        <v>304</v>
      </c>
      <c r="N270" s="11" t="str">
        <f t="shared" si="36"/>
        <v>OK</v>
      </c>
      <c r="O270" t="s">
        <v>54</v>
      </c>
      <c r="P270" t="s">
        <v>54</v>
      </c>
      <c r="Q270" t="s">
        <v>51</v>
      </c>
      <c r="R270" t="str">
        <f>VLOOKUP($D270,[1]Rascunho!$E$2:$S$296,15,FALSE)</f>
        <v>https://coderse.se.gov.br/</v>
      </c>
      <c r="S270" s="12">
        <v>3404991.08</v>
      </c>
      <c r="T270" s="12">
        <v>51535748.770000003</v>
      </c>
      <c r="U270" s="13" t="str">
        <f t="shared" si="37"/>
        <v>OK</v>
      </c>
      <c r="V270" s="14">
        <v>71549152.819999993</v>
      </c>
      <c r="W270" s="14">
        <v>0</v>
      </c>
      <c r="X270" t="s">
        <v>51</v>
      </c>
      <c r="Y270" s="14">
        <v>242420.89</v>
      </c>
      <c r="Z270" s="14">
        <v>0</v>
      </c>
      <c r="AA270" s="14">
        <v>700456.36</v>
      </c>
      <c r="AB270" s="14">
        <v>-433819.39</v>
      </c>
      <c r="AC270" s="13" t="str">
        <f t="shared" si="38"/>
        <v>OK</v>
      </c>
      <c r="AD270" s="14">
        <v>-15634770.810000001</v>
      </c>
      <c r="AE270" s="14" t="e">
        <v>#VALUE!</v>
      </c>
      <c r="AF270" s="14">
        <v>0</v>
      </c>
      <c r="AG270" s="14">
        <v>37112659.5</v>
      </c>
      <c r="AH270" s="14">
        <v>66915177.979999997</v>
      </c>
      <c r="AI270" s="13" t="str">
        <f t="shared" si="39"/>
        <v>OK</v>
      </c>
      <c r="AJ270" s="14">
        <v>0</v>
      </c>
      <c r="AK270" s="14">
        <v>0</v>
      </c>
      <c r="AL270" s="14">
        <v>0</v>
      </c>
      <c r="AM270" s="14">
        <v>0</v>
      </c>
      <c r="AN270" s="14">
        <v>55879586.670000002</v>
      </c>
      <c r="AO270" s="14">
        <v>55879586.670000002</v>
      </c>
      <c r="AP270" s="15">
        <f t="shared" si="40"/>
        <v>0</v>
      </c>
      <c r="AQ270" s="14">
        <v>96690083.200000003</v>
      </c>
      <c r="AR270" s="14">
        <v>96690083.200000003</v>
      </c>
      <c r="AS270" s="14">
        <v>0</v>
      </c>
      <c r="AT270" s="14">
        <v>0</v>
      </c>
      <c r="AU270" s="16">
        <f t="shared" si="41"/>
        <v>0</v>
      </c>
      <c r="AV270" s="13" t="str">
        <f t="shared" si="42"/>
        <v>NÃO</v>
      </c>
      <c r="AW270" s="13" t="str">
        <f t="shared" si="43"/>
        <v>OK</v>
      </c>
      <c r="AX270" s="13" t="str">
        <f t="shared" si="44"/>
        <v>OK</v>
      </c>
    </row>
    <row r="271" spans="1:50" x14ac:dyDescent="0.3">
      <c r="A271" s="10" t="s">
        <v>1240</v>
      </c>
      <c r="B271" t="s">
        <v>1590</v>
      </c>
      <c r="C271" t="s">
        <v>1249</v>
      </c>
      <c r="D271" t="s">
        <v>1250</v>
      </c>
      <c r="E271" t="s">
        <v>46</v>
      </c>
      <c r="F271" t="s">
        <v>65</v>
      </c>
      <c r="G271" t="s">
        <v>60</v>
      </c>
      <c r="H271" t="s">
        <v>49</v>
      </c>
      <c r="I271" t="s">
        <v>373</v>
      </c>
      <c r="J271" t="s">
        <v>51</v>
      </c>
      <c r="K271" t="s">
        <v>51</v>
      </c>
      <c r="L271" t="s">
        <v>52</v>
      </c>
      <c r="M271">
        <v>157</v>
      </c>
      <c r="N271" s="11" t="str">
        <f t="shared" si="36"/>
        <v>OK</v>
      </c>
      <c r="O271" t="s">
        <v>54</v>
      </c>
      <c r="P271" t="s">
        <v>54</v>
      </c>
      <c r="Q271" t="s">
        <v>51</v>
      </c>
      <c r="R271" t="str">
        <f>VLOOKUP($D271,[1]Rascunho!$E$2:$S$296,15,FALSE)</f>
        <v>https://codise.se.gov.br/carta-anual-politicas-publicas/</v>
      </c>
      <c r="S271" s="12">
        <v>41771850</v>
      </c>
      <c r="T271" s="12">
        <v>27429226</v>
      </c>
      <c r="U271" s="13" t="str">
        <f t="shared" si="37"/>
        <v>OK</v>
      </c>
      <c r="V271" s="14">
        <v>45039044.149999999</v>
      </c>
      <c r="W271" s="14">
        <v>2954955</v>
      </c>
      <c r="X271" t="s">
        <v>51</v>
      </c>
      <c r="Y271" s="14">
        <v>432276</v>
      </c>
      <c r="Z271" s="14">
        <v>0</v>
      </c>
      <c r="AA271" s="14">
        <v>253751</v>
      </c>
      <c r="AB271" s="14">
        <v>-3267193.41</v>
      </c>
      <c r="AC271" s="13" t="str">
        <f t="shared" si="38"/>
        <v>OK</v>
      </c>
      <c r="AD271" s="14">
        <v>216793092.44</v>
      </c>
      <c r="AE271" s="14" t="e">
        <v>#VALUE!</v>
      </c>
      <c r="AF271" s="14">
        <v>0</v>
      </c>
      <c r="AG271" s="14">
        <v>0</v>
      </c>
      <c r="AH271" s="14">
        <v>0</v>
      </c>
      <c r="AI271" s="13" t="str">
        <f t="shared" si="39"/>
        <v>OK</v>
      </c>
      <c r="AJ271" s="14">
        <v>0</v>
      </c>
      <c r="AK271" s="14">
        <v>0</v>
      </c>
      <c r="AL271" s="14">
        <v>0</v>
      </c>
      <c r="AM271" s="14">
        <v>0</v>
      </c>
      <c r="AN271" s="14">
        <v>117422262</v>
      </c>
      <c r="AO271" s="14">
        <v>117422262</v>
      </c>
      <c r="AP271" s="15">
        <f t="shared" si="40"/>
        <v>0</v>
      </c>
      <c r="AQ271" s="14">
        <v>118019938</v>
      </c>
      <c r="AR271" s="14">
        <v>118019938</v>
      </c>
      <c r="AS271" s="14">
        <v>0</v>
      </c>
      <c r="AT271" s="14">
        <v>0</v>
      </c>
      <c r="AU271" s="16">
        <f t="shared" si="41"/>
        <v>0</v>
      </c>
      <c r="AV271" s="13" t="str">
        <f t="shared" si="42"/>
        <v>NÃO</v>
      </c>
      <c r="AW271" s="13" t="str">
        <f t="shared" si="43"/>
        <v>OK</v>
      </c>
      <c r="AX271" s="13" t="str">
        <f t="shared" si="44"/>
        <v>OK</v>
      </c>
    </row>
    <row r="272" spans="1:50" x14ac:dyDescent="0.3">
      <c r="A272" s="10" t="s">
        <v>1240</v>
      </c>
      <c r="B272" t="s">
        <v>1276</v>
      </c>
      <c r="C272" t="s">
        <v>1277</v>
      </c>
      <c r="D272" t="s">
        <v>1278</v>
      </c>
      <c r="E272" t="s">
        <v>46</v>
      </c>
      <c r="F272" t="s">
        <v>65</v>
      </c>
      <c r="G272" t="s">
        <v>60</v>
      </c>
      <c r="H272" t="s">
        <v>49</v>
      </c>
      <c r="I272" t="s">
        <v>50</v>
      </c>
      <c r="J272" t="s">
        <v>51</v>
      </c>
      <c r="K272" t="s">
        <v>51</v>
      </c>
      <c r="L272" t="s">
        <v>134</v>
      </c>
      <c r="M272">
        <v>11</v>
      </c>
      <c r="N272" s="11" t="str">
        <f t="shared" si="36"/>
        <v>OK</v>
      </c>
      <c r="O272" t="s">
        <v>54</v>
      </c>
      <c r="P272" t="s">
        <v>54</v>
      </c>
      <c r="Q272" t="s">
        <v>51</v>
      </c>
      <c r="R272" t="str">
        <f>VLOOKUP($D272,[1]Rascunho!$E$2:$S$296,15,FALSE)</f>
        <v>https://desenvolve.se.gov.br/wp-content/uploads/2024/06/cartaanualdepoliticas.pdf</v>
      </c>
      <c r="S272" s="12">
        <v>0</v>
      </c>
      <c r="T272" s="12">
        <v>716654.07</v>
      </c>
      <c r="U272" s="13" t="str">
        <f t="shared" si="37"/>
        <v>OK</v>
      </c>
      <c r="V272" s="14">
        <v>848463.8</v>
      </c>
      <c r="W272" s="14">
        <v>0</v>
      </c>
      <c r="X272" t="s">
        <v>51</v>
      </c>
      <c r="Y272" s="14">
        <v>84000</v>
      </c>
      <c r="Z272" s="14">
        <v>0</v>
      </c>
      <c r="AA272" s="14">
        <v>0</v>
      </c>
      <c r="AB272" s="14">
        <v>-800838.41</v>
      </c>
      <c r="AC272" s="13" t="str">
        <f t="shared" si="38"/>
        <v>OK</v>
      </c>
      <c r="AD272" s="14">
        <v>2368442.63</v>
      </c>
      <c r="AE272" s="14" t="e">
        <v>#VALUE!</v>
      </c>
      <c r="AF272" s="14">
        <v>0</v>
      </c>
      <c r="AG272" s="14">
        <v>0</v>
      </c>
      <c r="AH272" s="14">
        <v>0</v>
      </c>
      <c r="AI272" s="13" t="str">
        <f t="shared" si="39"/>
        <v>OK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7920000</v>
      </c>
      <c r="AP272" s="15">
        <f t="shared" si="40"/>
        <v>7920000</v>
      </c>
      <c r="AQ272" s="14">
        <v>0</v>
      </c>
      <c r="AR272" s="14">
        <v>3200000</v>
      </c>
      <c r="AS272" s="14">
        <v>0</v>
      </c>
      <c r="AT272" s="14">
        <v>4720000</v>
      </c>
      <c r="AU272" s="16">
        <f t="shared" si="41"/>
        <v>7920000</v>
      </c>
      <c r="AV272" s="13" t="str">
        <f t="shared" si="42"/>
        <v>SIM</v>
      </c>
      <c r="AW272" s="13" t="str">
        <f t="shared" si="43"/>
        <v>OK</v>
      </c>
      <c r="AX272" s="13" t="str">
        <f t="shared" si="44"/>
        <v>OK</v>
      </c>
    </row>
    <row r="273" spans="1:50" x14ac:dyDescent="0.3">
      <c r="A273" s="10" t="s">
        <v>1240</v>
      </c>
      <c r="B273" t="s">
        <v>1279</v>
      </c>
      <c r="C273" t="s">
        <v>1280</v>
      </c>
      <c r="D273" t="s">
        <v>1281</v>
      </c>
      <c r="E273" t="s">
        <v>46</v>
      </c>
      <c r="F273" t="s">
        <v>107</v>
      </c>
      <c r="G273" t="s">
        <v>60</v>
      </c>
      <c r="H273" t="s">
        <v>49</v>
      </c>
      <c r="I273" t="s">
        <v>50</v>
      </c>
      <c r="J273" t="s">
        <v>51</v>
      </c>
      <c r="K273" t="s">
        <v>51</v>
      </c>
      <c r="L273" t="s">
        <v>134</v>
      </c>
      <c r="M273">
        <v>1573</v>
      </c>
      <c r="N273" s="11" t="str">
        <f t="shared" si="36"/>
        <v>OK</v>
      </c>
      <c r="O273" t="s">
        <v>54</v>
      </c>
      <c r="P273" t="s">
        <v>54</v>
      </c>
      <c r="Q273" t="s">
        <v>51</v>
      </c>
      <c r="R273" t="str">
        <f>VLOOKUP($D273,[1]Rascunho!$E$2:$S$296,15,FALSE)</f>
        <v>https://transparencia.deso-se.com.br/</v>
      </c>
      <c r="S273" s="12">
        <v>776515411</v>
      </c>
      <c r="T273" s="12">
        <v>309463432</v>
      </c>
      <c r="U273" s="13" t="str">
        <f t="shared" si="37"/>
        <v>OK</v>
      </c>
      <c r="V273" s="14">
        <v>724832295</v>
      </c>
      <c r="W273" s="14">
        <v>103655365</v>
      </c>
      <c r="X273" t="s">
        <v>51</v>
      </c>
      <c r="Y273" s="14">
        <v>795367.6</v>
      </c>
      <c r="Z273" s="14">
        <v>0</v>
      </c>
      <c r="AA273" s="14">
        <v>98472.49</v>
      </c>
      <c r="AB273" s="14">
        <v>46154909</v>
      </c>
      <c r="AC273" s="13" t="str">
        <f t="shared" si="38"/>
        <v>OK</v>
      </c>
      <c r="AD273" s="14">
        <v>1930266171</v>
      </c>
      <c r="AE273" s="14" t="e">
        <v>#VALUE!</v>
      </c>
      <c r="AF273" s="14">
        <v>0</v>
      </c>
      <c r="AG273" s="14">
        <v>0</v>
      </c>
      <c r="AH273" s="14">
        <v>0</v>
      </c>
      <c r="AI273" s="13" t="str">
        <f t="shared" si="39"/>
        <v>OK</v>
      </c>
      <c r="AJ273" s="14">
        <v>0</v>
      </c>
      <c r="AK273" s="14">
        <v>0</v>
      </c>
      <c r="AL273" s="14">
        <v>64540351</v>
      </c>
      <c r="AM273" s="14">
        <v>18884886</v>
      </c>
      <c r="AN273" s="14">
        <v>14974890260</v>
      </c>
      <c r="AO273" s="14">
        <v>14974890260</v>
      </c>
      <c r="AP273" s="15">
        <f t="shared" si="40"/>
        <v>0</v>
      </c>
      <c r="AQ273" s="14">
        <v>1302000000</v>
      </c>
      <c r="AR273" s="14">
        <v>1302000000</v>
      </c>
      <c r="AS273" s="14">
        <v>662078864.04999995</v>
      </c>
      <c r="AT273" s="14">
        <v>680963750</v>
      </c>
      <c r="AU273" s="16">
        <f t="shared" si="41"/>
        <v>680963750</v>
      </c>
      <c r="AV273" s="13" t="str">
        <f t="shared" si="42"/>
        <v>SIM</v>
      </c>
      <c r="AW273" s="13" t="str">
        <f t="shared" si="43"/>
        <v>VER CAPITAL</v>
      </c>
      <c r="AX273" s="13" t="str">
        <f t="shared" si="44"/>
        <v>OK</v>
      </c>
    </row>
    <row r="274" spans="1:50" x14ac:dyDescent="0.3">
      <c r="A274" s="10" t="s">
        <v>1240</v>
      </c>
      <c r="B274" t="s">
        <v>1252</v>
      </c>
      <c r="C274" t="s">
        <v>1253</v>
      </c>
      <c r="D274" t="s">
        <v>1254</v>
      </c>
      <c r="E274" t="s">
        <v>46</v>
      </c>
      <c r="F274" t="s">
        <v>102</v>
      </c>
      <c r="G274" t="s">
        <v>48</v>
      </c>
      <c r="H274" t="s">
        <v>76</v>
      </c>
      <c r="I274" t="s">
        <v>50</v>
      </c>
      <c r="J274" t="s">
        <v>51</v>
      </c>
      <c r="K274" t="s">
        <v>51</v>
      </c>
      <c r="L274" t="s">
        <v>52</v>
      </c>
      <c r="M274">
        <v>496</v>
      </c>
      <c r="N274" s="11" t="str">
        <f t="shared" si="36"/>
        <v>OK</v>
      </c>
      <c r="O274" t="s">
        <v>54</v>
      </c>
      <c r="P274" t="s">
        <v>54</v>
      </c>
      <c r="Q274" t="s">
        <v>51</v>
      </c>
      <c r="R274" t="str">
        <f>VLOOKUP($D274,[1]Rascunho!$E$2:$S$296,15,FALSE)</f>
        <v>https://www.emdagro.se.gov.br</v>
      </c>
      <c r="S274" s="12">
        <v>5900208.4900000002</v>
      </c>
      <c r="T274" s="12">
        <v>50374309.719999999</v>
      </c>
      <c r="U274" s="13" t="str">
        <f t="shared" si="37"/>
        <v>OK</v>
      </c>
      <c r="V274" s="14">
        <v>63063296.5</v>
      </c>
      <c r="W274" s="14">
        <v>1369643.83</v>
      </c>
      <c r="X274" t="s">
        <v>51</v>
      </c>
      <c r="Y274" s="14">
        <v>249488.09</v>
      </c>
      <c r="Z274" s="14">
        <v>0</v>
      </c>
      <c r="AA274" s="14">
        <v>2400</v>
      </c>
      <c r="AB274" s="14">
        <v>1563239.9</v>
      </c>
      <c r="AC274" s="13" t="str">
        <f t="shared" si="38"/>
        <v>OK</v>
      </c>
      <c r="AD274" s="14">
        <v>37175348.090000004</v>
      </c>
      <c r="AE274" s="14" t="e">
        <v>#VALUE!</v>
      </c>
      <c r="AF274" s="14">
        <v>0</v>
      </c>
      <c r="AG274" s="14">
        <v>54195241.079999998</v>
      </c>
      <c r="AH274" s="14">
        <v>53250877.299999997</v>
      </c>
      <c r="AI274" s="13" t="str">
        <f t="shared" si="39"/>
        <v>OK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5">
        <f t="shared" si="40"/>
        <v>0</v>
      </c>
      <c r="AQ274" s="14">
        <v>37572872.109999999</v>
      </c>
      <c r="AR274" s="14">
        <v>37572872.109999999</v>
      </c>
      <c r="AS274" s="14">
        <v>0</v>
      </c>
      <c r="AT274" s="14">
        <v>0</v>
      </c>
      <c r="AU274" s="16">
        <f t="shared" si="41"/>
        <v>0</v>
      </c>
      <c r="AV274" s="13" t="str">
        <f t="shared" si="42"/>
        <v>NÃO</v>
      </c>
      <c r="AW274" s="13" t="str">
        <f t="shared" si="43"/>
        <v>OK</v>
      </c>
      <c r="AX274" s="13" t="str">
        <f t="shared" si="44"/>
        <v>OK</v>
      </c>
    </row>
    <row r="275" spans="1:50" x14ac:dyDescent="0.3">
      <c r="A275" s="10" t="s">
        <v>1240</v>
      </c>
      <c r="B275" t="s">
        <v>1257</v>
      </c>
      <c r="C275" t="s">
        <v>1258</v>
      </c>
      <c r="D275" t="s">
        <v>1259</v>
      </c>
      <c r="E275" t="s">
        <v>46</v>
      </c>
      <c r="F275" t="s">
        <v>47</v>
      </c>
      <c r="G275" t="s">
        <v>48</v>
      </c>
      <c r="H275" t="s">
        <v>76</v>
      </c>
      <c r="I275" t="s">
        <v>50</v>
      </c>
      <c r="J275" t="s">
        <v>51</v>
      </c>
      <c r="K275" t="s">
        <v>51</v>
      </c>
      <c r="L275" t="s">
        <v>52</v>
      </c>
      <c r="M275">
        <v>98</v>
      </c>
      <c r="N275" s="11" t="str">
        <f t="shared" si="36"/>
        <v>OK</v>
      </c>
      <c r="O275" t="s">
        <v>54</v>
      </c>
      <c r="P275" t="s">
        <v>54</v>
      </c>
      <c r="Q275" t="s">
        <v>51</v>
      </c>
      <c r="R275" t="str">
        <f>VLOOKUP($D275,[1]Rascunho!$E$2:$S$296,15,FALSE)</f>
        <v>https://emgetis.se.gov.br/</v>
      </c>
      <c r="S275" s="12">
        <v>10728116.82</v>
      </c>
      <c r="T275" s="12">
        <v>7960105.96</v>
      </c>
      <c r="U275" s="13" t="str">
        <f t="shared" si="37"/>
        <v>OK</v>
      </c>
      <c r="V275" s="14">
        <v>10077050.949999999</v>
      </c>
      <c r="W275" s="14">
        <v>0</v>
      </c>
      <c r="X275" t="s">
        <v>51</v>
      </c>
      <c r="Y275" s="14">
        <v>320567.49</v>
      </c>
      <c r="Z275" s="14">
        <v>0</v>
      </c>
      <c r="AA275" s="14">
        <v>136651.01</v>
      </c>
      <c r="AB275" s="14">
        <v>651065.87</v>
      </c>
      <c r="AC275" s="13" t="str">
        <f t="shared" si="38"/>
        <v>OK</v>
      </c>
      <c r="AD275" s="14">
        <v>-5672358.8499999996</v>
      </c>
      <c r="AE275" s="14" t="e">
        <v>#VALUE!</v>
      </c>
      <c r="AF275" s="14">
        <v>0</v>
      </c>
      <c r="AG275" s="14">
        <v>0</v>
      </c>
      <c r="AH275" s="14">
        <v>0</v>
      </c>
      <c r="AI275" s="13" t="str">
        <f t="shared" si="39"/>
        <v>OK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5">
        <f t="shared" si="40"/>
        <v>0</v>
      </c>
      <c r="AQ275" s="14">
        <v>8775120.9600000009</v>
      </c>
      <c r="AR275" s="14">
        <v>8775120.9600000009</v>
      </c>
      <c r="AS275" s="14">
        <v>0</v>
      </c>
      <c r="AT275" s="14">
        <v>0</v>
      </c>
      <c r="AU275" s="16">
        <f t="shared" si="41"/>
        <v>0</v>
      </c>
      <c r="AV275" s="13" t="str">
        <f t="shared" si="42"/>
        <v>NÃO</v>
      </c>
      <c r="AW275" s="13" t="str">
        <f t="shared" si="43"/>
        <v>OK</v>
      </c>
      <c r="AX275" s="13" t="str">
        <f t="shared" si="44"/>
        <v>OK</v>
      </c>
    </row>
    <row r="276" spans="1:50" x14ac:dyDescent="0.3">
      <c r="A276" s="10" t="s">
        <v>1240</v>
      </c>
      <c r="B276" t="s">
        <v>1591</v>
      </c>
      <c r="C276" t="s">
        <v>1261</v>
      </c>
      <c r="D276" t="s">
        <v>1262</v>
      </c>
      <c r="E276" t="s">
        <v>46</v>
      </c>
      <c r="F276" t="s">
        <v>162</v>
      </c>
      <c r="G276" t="s">
        <v>60</v>
      </c>
      <c r="H276" t="s">
        <v>49</v>
      </c>
      <c r="I276" t="s">
        <v>50</v>
      </c>
      <c r="J276" t="s">
        <v>51</v>
      </c>
      <c r="K276" t="s">
        <v>51</v>
      </c>
      <c r="L276" t="s">
        <v>52</v>
      </c>
      <c r="M276">
        <v>41</v>
      </c>
      <c r="N276" s="11" t="str">
        <f t="shared" si="36"/>
        <v>OK</v>
      </c>
      <c r="O276" t="s">
        <v>54</v>
      </c>
      <c r="P276" t="s">
        <v>54</v>
      </c>
      <c r="Q276" t="s">
        <v>51</v>
      </c>
      <c r="R276" t="str">
        <f>VLOOKUP($D276,[1]Rascunho!$E$2:$S$296,15,FALSE)</f>
        <v>https://www.se.gov.br/emsetur/emsetur_transparencia</v>
      </c>
      <c r="S276" s="12">
        <v>40630.51</v>
      </c>
      <c r="T276" s="12">
        <v>2216254.96</v>
      </c>
      <c r="U276" s="13" t="str">
        <f t="shared" si="37"/>
        <v>OK</v>
      </c>
      <c r="V276" s="14">
        <v>5310502.67</v>
      </c>
      <c r="W276" s="14">
        <v>0</v>
      </c>
      <c r="X276" t="s">
        <v>51</v>
      </c>
      <c r="Y276" s="14">
        <v>554512.66</v>
      </c>
      <c r="Z276" s="14">
        <v>0</v>
      </c>
      <c r="AA276" s="14">
        <v>0</v>
      </c>
      <c r="AB276" s="14">
        <v>-2036750.62</v>
      </c>
      <c r="AC276" s="13" t="str">
        <f t="shared" si="38"/>
        <v>OK</v>
      </c>
      <c r="AD276" s="14">
        <v>6613196.0899999999</v>
      </c>
      <c r="AE276" s="14" t="e">
        <v>#VALUE!</v>
      </c>
      <c r="AF276" s="14">
        <v>0</v>
      </c>
      <c r="AG276" s="14">
        <v>0</v>
      </c>
      <c r="AH276" s="14">
        <v>0</v>
      </c>
      <c r="AI276" s="13" t="str">
        <f t="shared" si="39"/>
        <v>OK</v>
      </c>
      <c r="AJ276" s="14">
        <v>0</v>
      </c>
      <c r="AK276" s="14">
        <v>0</v>
      </c>
      <c r="AL276" s="14">
        <v>0</v>
      </c>
      <c r="AM276" s="14">
        <v>0</v>
      </c>
      <c r="AN276" s="14">
        <v>3025545.3</v>
      </c>
      <c r="AO276" s="14">
        <v>3025545.3</v>
      </c>
      <c r="AP276" s="15">
        <f t="shared" si="40"/>
        <v>0</v>
      </c>
      <c r="AQ276" s="14">
        <v>34550951</v>
      </c>
      <c r="AR276" s="14">
        <v>34550951</v>
      </c>
      <c r="AS276" s="14">
        <v>0</v>
      </c>
      <c r="AT276" s="14">
        <v>0</v>
      </c>
      <c r="AU276" s="16">
        <f t="shared" si="41"/>
        <v>0</v>
      </c>
      <c r="AV276" s="13" t="str">
        <f t="shared" si="42"/>
        <v>NÃO</v>
      </c>
      <c r="AW276" s="13" t="str">
        <f t="shared" si="43"/>
        <v>OK</v>
      </c>
      <c r="AX276" s="13" t="str">
        <f t="shared" si="44"/>
        <v>OK</v>
      </c>
    </row>
    <row r="277" spans="1:50" x14ac:dyDescent="0.3">
      <c r="A277" s="10" t="s">
        <v>1240</v>
      </c>
      <c r="B277" t="s">
        <v>1284</v>
      </c>
      <c r="C277" t="s">
        <v>1285</v>
      </c>
      <c r="D277" t="s">
        <v>1286</v>
      </c>
      <c r="E277" t="s">
        <v>46</v>
      </c>
      <c r="F277" t="s">
        <v>150</v>
      </c>
      <c r="G277" t="s">
        <v>48</v>
      </c>
      <c r="H277" t="s">
        <v>76</v>
      </c>
      <c r="I277" t="s">
        <v>50</v>
      </c>
      <c r="J277" t="s">
        <v>51</v>
      </c>
      <c r="K277" t="s">
        <v>51</v>
      </c>
      <c r="L277" t="s">
        <v>134</v>
      </c>
      <c r="M277">
        <v>73</v>
      </c>
      <c r="N277" s="11" t="str">
        <f t="shared" si="36"/>
        <v>OK</v>
      </c>
      <c r="O277" t="s">
        <v>54</v>
      </c>
      <c r="P277" t="s">
        <v>54</v>
      </c>
      <c r="Q277" t="s">
        <v>51</v>
      </c>
      <c r="R277" t="str">
        <f>VLOOKUP($D277,[1]Rascunho!$E$2:$S$296,15,FALSE)</f>
        <v>https://iose.se.gov.br/</v>
      </c>
      <c r="S277" s="12">
        <v>8194675.2699999996</v>
      </c>
      <c r="T277" s="12">
        <v>5733940.5999999996</v>
      </c>
      <c r="U277" s="13" t="str">
        <f t="shared" si="37"/>
        <v>OK</v>
      </c>
      <c r="V277" s="14">
        <v>9629770.7200000007</v>
      </c>
      <c r="W277" s="14">
        <v>0</v>
      </c>
      <c r="X277" t="s">
        <v>51</v>
      </c>
      <c r="Y277" s="14">
        <v>303596.26</v>
      </c>
      <c r="Z277" s="14">
        <v>0</v>
      </c>
      <c r="AA277" s="14">
        <v>0</v>
      </c>
      <c r="AB277" s="14">
        <v>-1012601.06</v>
      </c>
      <c r="AC277" s="13" t="str">
        <f t="shared" si="38"/>
        <v>OK</v>
      </c>
      <c r="AD277" s="14">
        <v>1743019.02</v>
      </c>
      <c r="AE277" s="14" t="e">
        <v>#VALUE!</v>
      </c>
      <c r="AF277" s="14">
        <v>0</v>
      </c>
      <c r="AG277" s="14">
        <v>0</v>
      </c>
      <c r="AH277" s="14">
        <v>0</v>
      </c>
      <c r="AI277" s="13" t="str">
        <f t="shared" si="39"/>
        <v>OK</v>
      </c>
      <c r="AJ277" s="14">
        <v>0</v>
      </c>
      <c r="AK277" s="14">
        <v>1270575.79</v>
      </c>
      <c r="AL277" s="14">
        <v>0</v>
      </c>
      <c r="AM277" s="14">
        <v>0</v>
      </c>
      <c r="AN277" s="14">
        <v>0</v>
      </c>
      <c r="AO277" s="14">
        <v>0</v>
      </c>
      <c r="AP277" s="15">
        <f t="shared" si="40"/>
        <v>0</v>
      </c>
      <c r="AQ277" s="14">
        <v>9000000</v>
      </c>
      <c r="AR277" s="14">
        <v>9000000</v>
      </c>
      <c r="AS277" s="14">
        <v>0</v>
      </c>
      <c r="AT277" s="14">
        <v>0</v>
      </c>
      <c r="AU277" s="16">
        <f t="shared" si="41"/>
        <v>0</v>
      </c>
      <c r="AV277" s="13" t="str">
        <f t="shared" si="42"/>
        <v>NÃO</v>
      </c>
      <c r="AW277" s="13" t="str">
        <f t="shared" si="43"/>
        <v>OK</v>
      </c>
      <c r="AX277" s="13" t="str">
        <f t="shared" si="44"/>
        <v>OK</v>
      </c>
    </row>
    <row r="278" spans="1:50" x14ac:dyDescent="0.3">
      <c r="A278" s="10" t="s">
        <v>1240</v>
      </c>
      <c r="B278" t="s">
        <v>1592</v>
      </c>
      <c r="C278" t="s">
        <v>1265</v>
      </c>
      <c r="D278" t="s">
        <v>1266</v>
      </c>
      <c r="E278" t="s">
        <v>46</v>
      </c>
      <c r="F278" t="s">
        <v>65</v>
      </c>
      <c r="G278" t="s">
        <v>48</v>
      </c>
      <c r="H278" t="s">
        <v>76</v>
      </c>
      <c r="I278" t="s">
        <v>50</v>
      </c>
      <c r="J278" t="s">
        <v>51</v>
      </c>
      <c r="K278" t="s">
        <v>51</v>
      </c>
      <c r="L278" t="s">
        <v>52</v>
      </c>
      <c r="M278">
        <v>56</v>
      </c>
      <c r="N278" s="11" t="str">
        <f t="shared" si="36"/>
        <v>OK</v>
      </c>
      <c r="O278" t="s">
        <v>54</v>
      </c>
      <c r="P278" t="s">
        <v>54</v>
      </c>
      <c r="Q278" t="s">
        <v>51</v>
      </c>
      <c r="R278" t="str">
        <f>VLOOKUP($D278,[1]Rascunho!$E$2:$S$296,15,FALSE)</f>
        <v>https://www.pronese.se.gov.br/transparencia</v>
      </c>
      <c r="S278" s="12">
        <v>8602467.6099999994</v>
      </c>
      <c r="T278" s="12">
        <v>8771231.3699999992</v>
      </c>
      <c r="U278" s="13" t="str">
        <f t="shared" si="37"/>
        <v>OK</v>
      </c>
      <c r="V278" s="14">
        <v>8771231.3699999992</v>
      </c>
      <c r="W278" s="14">
        <v>0</v>
      </c>
      <c r="X278" t="s">
        <v>51</v>
      </c>
      <c r="Y278" s="14">
        <v>171602</v>
      </c>
      <c r="Z278" s="14">
        <v>0</v>
      </c>
      <c r="AA278" s="14">
        <v>4785.38</v>
      </c>
      <c r="AB278" s="14">
        <v>-168763.76</v>
      </c>
      <c r="AC278" s="13" t="str">
        <f t="shared" si="38"/>
        <v>OK</v>
      </c>
      <c r="AD278" s="14">
        <v>-187186.39</v>
      </c>
      <c r="AE278" s="14" t="e">
        <v>#VALUE!</v>
      </c>
      <c r="AF278" s="14">
        <v>0</v>
      </c>
      <c r="AG278" s="14">
        <v>8579528.5099999998</v>
      </c>
      <c r="AH278" s="14">
        <v>8586982.6999999993</v>
      </c>
      <c r="AI278" s="13" t="str">
        <f t="shared" si="39"/>
        <v>OK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5">
        <f t="shared" si="40"/>
        <v>0</v>
      </c>
      <c r="AQ278" s="14">
        <v>2395568.41</v>
      </c>
      <c r="AR278" s="14">
        <v>2395568.41</v>
      </c>
      <c r="AS278" s="14">
        <v>0</v>
      </c>
      <c r="AT278" s="14">
        <v>0</v>
      </c>
      <c r="AU278" s="16">
        <f t="shared" si="41"/>
        <v>0</v>
      </c>
      <c r="AV278" s="13" t="str">
        <f t="shared" si="42"/>
        <v>NÃO</v>
      </c>
      <c r="AW278" s="13" t="str">
        <f t="shared" si="43"/>
        <v>OK</v>
      </c>
      <c r="AX278" s="13" t="str">
        <f t="shared" si="44"/>
        <v>OK</v>
      </c>
    </row>
    <row r="279" spans="1:50" x14ac:dyDescent="0.3">
      <c r="A279" s="10" t="s">
        <v>1240</v>
      </c>
      <c r="B279" t="s">
        <v>1593</v>
      </c>
      <c r="C279" t="s">
        <v>1288</v>
      </c>
      <c r="D279" t="s">
        <v>1289</v>
      </c>
      <c r="E279" t="s">
        <v>46</v>
      </c>
      <c r="F279" t="s">
        <v>139</v>
      </c>
      <c r="G279" t="s">
        <v>60</v>
      </c>
      <c r="H279" t="s">
        <v>49</v>
      </c>
      <c r="I279" t="s">
        <v>50</v>
      </c>
      <c r="J279" t="s">
        <v>51</v>
      </c>
      <c r="K279" t="s">
        <v>51</v>
      </c>
      <c r="L279" t="s">
        <v>134</v>
      </c>
      <c r="M279">
        <v>100</v>
      </c>
      <c r="N279" s="11" t="str">
        <f t="shared" si="36"/>
        <v>OK</v>
      </c>
      <c r="O279" t="s">
        <v>54</v>
      </c>
      <c r="P279" t="s">
        <v>54</v>
      </c>
      <c r="Q279" t="s">
        <v>51</v>
      </c>
      <c r="R279" t="str">
        <f>VLOOKUP($D279,[1]Rascunho!$E$2:$S$296,15,FALSE)</f>
        <v>https://www.sergipegas.com.br/transparencia/</v>
      </c>
      <c r="S279" s="12">
        <v>336305328.54000002</v>
      </c>
      <c r="T279" s="12">
        <v>21867477.300000001</v>
      </c>
      <c r="U279" s="13" t="str">
        <f t="shared" si="37"/>
        <v>OK</v>
      </c>
      <c r="V279" s="14">
        <v>320988077</v>
      </c>
      <c r="W279" s="14">
        <v>16638130.279999999</v>
      </c>
      <c r="X279" t="s">
        <v>51</v>
      </c>
      <c r="Y279" s="14">
        <v>424644.47</v>
      </c>
      <c r="Z279" s="14">
        <v>46328.160000000003</v>
      </c>
      <c r="AA279" s="14">
        <v>0</v>
      </c>
      <c r="AB279" s="14">
        <v>31789254.309999999</v>
      </c>
      <c r="AC279" s="13" t="str">
        <f t="shared" si="38"/>
        <v>OK</v>
      </c>
      <c r="AD279" s="14">
        <v>172114671.22</v>
      </c>
      <c r="AE279" s="14" t="e">
        <v>#VALUE!</v>
      </c>
      <c r="AF279" s="14">
        <v>14459841.119999999</v>
      </c>
      <c r="AG279" s="14">
        <v>0</v>
      </c>
      <c r="AH279" s="14">
        <v>0</v>
      </c>
      <c r="AI279" s="13" t="str">
        <f t="shared" si="39"/>
        <v>OK</v>
      </c>
      <c r="AJ279" s="14">
        <v>0</v>
      </c>
      <c r="AK279" s="14">
        <v>0</v>
      </c>
      <c r="AL279" s="14">
        <v>0</v>
      </c>
      <c r="AM279" s="14">
        <v>0</v>
      </c>
      <c r="AN279" s="14">
        <v>289550</v>
      </c>
      <c r="AO279" s="14">
        <v>325956.90000000002</v>
      </c>
      <c r="AP279" s="15">
        <f t="shared" si="40"/>
        <v>36406.900000000023</v>
      </c>
      <c r="AQ279" s="14">
        <v>40805855.670000002</v>
      </c>
      <c r="AR279" s="14">
        <v>45936802.109999999</v>
      </c>
      <c r="AS279" s="14">
        <v>0</v>
      </c>
      <c r="AT279" s="14">
        <v>0</v>
      </c>
      <c r="AU279" s="16">
        <f t="shared" si="41"/>
        <v>5130946.4399999976</v>
      </c>
      <c r="AV279" s="13" t="str">
        <f t="shared" si="42"/>
        <v>SIM</v>
      </c>
      <c r="AW279" s="13" t="str">
        <f t="shared" si="43"/>
        <v>OK</v>
      </c>
      <c r="AX279" s="13" t="str">
        <f t="shared" si="44"/>
        <v>OK</v>
      </c>
    </row>
    <row r="280" spans="1:50" ht="28.8" x14ac:dyDescent="0.3">
      <c r="A280" s="10" t="s">
        <v>1240</v>
      </c>
      <c r="B280" t="s">
        <v>1269</v>
      </c>
      <c r="C280" t="s">
        <v>1594</v>
      </c>
      <c r="D280" t="s">
        <v>1270</v>
      </c>
      <c r="E280" t="s">
        <v>46</v>
      </c>
      <c r="F280" s="6" t="s">
        <v>65</v>
      </c>
      <c r="G280" t="s">
        <v>60</v>
      </c>
      <c r="H280" t="s">
        <v>49</v>
      </c>
      <c r="I280" t="s">
        <v>50</v>
      </c>
      <c r="J280" t="s">
        <v>51</v>
      </c>
      <c r="K280" t="s">
        <v>51</v>
      </c>
      <c r="L280" t="s">
        <v>52</v>
      </c>
      <c r="M280">
        <v>0</v>
      </c>
      <c r="N280" s="11" t="str">
        <f t="shared" si="36"/>
        <v>VERIFICAR</v>
      </c>
      <c r="O280" t="s">
        <v>54</v>
      </c>
      <c r="P280" t="s">
        <v>54</v>
      </c>
      <c r="Q280" t="s">
        <v>51</v>
      </c>
      <c r="R280" t="str">
        <f>VLOOKUP($D280,[1]Rascunho!$E$2:$S$296,15,FALSE)</f>
        <v>https://www.abrazpe.org.br/index.php/zpesbrasil/</v>
      </c>
      <c r="S280" s="12">
        <v>0</v>
      </c>
      <c r="T280" s="12">
        <v>0</v>
      </c>
      <c r="U280" s="13" t="str">
        <f t="shared" si="37"/>
        <v>OK</v>
      </c>
      <c r="V280" s="14">
        <v>92.95</v>
      </c>
      <c r="W280" s="14">
        <v>0</v>
      </c>
      <c r="X280" t="s">
        <v>51</v>
      </c>
      <c r="Y280" s="14">
        <v>0</v>
      </c>
      <c r="Z280" s="14">
        <v>0</v>
      </c>
      <c r="AA280" s="14">
        <v>0</v>
      </c>
      <c r="AB280" s="14">
        <v>911.93</v>
      </c>
      <c r="AC280" s="13" t="str">
        <f t="shared" si="38"/>
        <v>OK</v>
      </c>
      <c r="AD280" s="14">
        <v>11602.66</v>
      </c>
      <c r="AE280" s="14" t="e">
        <v>#VALUE!</v>
      </c>
      <c r="AF280" s="14">
        <v>0</v>
      </c>
      <c r="AG280" s="14">
        <v>0</v>
      </c>
      <c r="AH280" s="14">
        <v>0</v>
      </c>
      <c r="AI280" s="13" t="str">
        <f t="shared" si="39"/>
        <v>OK</v>
      </c>
      <c r="AJ280" s="14">
        <v>0</v>
      </c>
      <c r="AK280" s="14">
        <v>0</v>
      </c>
      <c r="AL280" s="14">
        <v>0</v>
      </c>
      <c r="AM280" s="14">
        <v>0</v>
      </c>
      <c r="AN280" s="14">
        <v>500000</v>
      </c>
      <c r="AO280" s="14">
        <v>500000</v>
      </c>
      <c r="AP280" s="15">
        <f t="shared" si="40"/>
        <v>0</v>
      </c>
      <c r="AQ280" s="14">
        <v>83650.149999999994</v>
      </c>
      <c r="AR280" s="14">
        <v>83808.72</v>
      </c>
      <c r="AS280" s="14">
        <v>416349.85</v>
      </c>
      <c r="AT280" s="14">
        <v>416191.28</v>
      </c>
      <c r="AU280" s="16">
        <f t="shared" si="41"/>
        <v>416349.85000000003</v>
      </c>
      <c r="AV280" s="13" t="str">
        <f t="shared" si="42"/>
        <v>SIM</v>
      </c>
      <c r="AW280" s="13" t="str">
        <f t="shared" si="43"/>
        <v>OK</v>
      </c>
      <c r="AX280" s="13" t="str">
        <f t="shared" si="44"/>
        <v>OK</v>
      </c>
    </row>
    <row r="281" spans="1:50" x14ac:dyDescent="0.3">
      <c r="A281" s="10" t="s">
        <v>1292</v>
      </c>
      <c r="B281" t="s">
        <v>1595</v>
      </c>
      <c r="C281" t="s">
        <v>1319</v>
      </c>
      <c r="D281" t="s">
        <v>1320</v>
      </c>
      <c r="E281" t="s">
        <v>46</v>
      </c>
      <c r="F281" t="s">
        <v>93</v>
      </c>
      <c r="G281" t="s">
        <v>48</v>
      </c>
      <c r="H281" t="s">
        <v>49</v>
      </c>
      <c r="I281" t="s">
        <v>50</v>
      </c>
      <c r="J281" t="s">
        <v>51</v>
      </c>
      <c r="K281" t="s">
        <v>51</v>
      </c>
      <c r="L281" t="s">
        <v>134</v>
      </c>
      <c r="M281">
        <v>372</v>
      </c>
      <c r="N281" s="11" t="str">
        <f t="shared" si="36"/>
        <v>OK</v>
      </c>
      <c r="O281" t="s">
        <v>54</v>
      </c>
      <c r="P281" t="s">
        <v>54</v>
      </c>
      <c r="Q281" t="s">
        <v>54</v>
      </c>
      <c r="R281" t="str">
        <f>VLOOKUP($D281,[1]Rascunho!$E$2:$S$296,15,FALSE)</f>
        <v>https://www.cdhu.sp.gov.br/documents/20143/37042/DOE+BALAN%C3%87O+ANUAL+2022+-+20+04+23.pdf/2f00f17e-f481-9e44-1f6f-c6812913309b</v>
      </c>
      <c r="S281" s="12">
        <v>2323202000</v>
      </c>
      <c r="T281" s="12">
        <v>101187994.36</v>
      </c>
      <c r="U281" s="13" t="str">
        <f t="shared" si="37"/>
        <v>OK</v>
      </c>
      <c r="V281" s="14">
        <v>2169925694.75</v>
      </c>
      <c r="W281" s="14">
        <v>1976981114.99</v>
      </c>
      <c r="X281" t="s">
        <v>51</v>
      </c>
      <c r="Y281" s="14">
        <v>380913.68</v>
      </c>
      <c r="Z281" s="14">
        <v>0</v>
      </c>
      <c r="AA281" s="14">
        <v>0</v>
      </c>
      <c r="AB281" s="14">
        <v>-569478891.13</v>
      </c>
      <c r="AC281" s="13" t="str">
        <f t="shared" si="38"/>
        <v>OK</v>
      </c>
      <c r="AD281" s="14">
        <v>11385214894.48</v>
      </c>
      <c r="AE281" s="14">
        <v>0</v>
      </c>
      <c r="AF281" s="14">
        <v>0</v>
      </c>
      <c r="AG281" s="14">
        <v>0</v>
      </c>
      <c r="AH281" s="14">
        <v>0</v>
      </c>
      <c r="AI281" s="13" t="str">
        <f t="shared" si="39"/>
        <v>OK</v>
      </c>
      <c r="AJ281" s="14">
        <v>0</v>
      </c>
      <c r="AK281" s="14">
        <v>0</v>
      </c>
      <c r="AL281" s="14">
        <v>875070147</v>
      </c>
      <c r="AM281" s="14">
        <v>540000000</v>
      </c>
      <c r="AN281" s="14">
        <v>24193943028</v>
      </c>
      <c r="AO281" s="14">
        <v>25428041905</v>
      </c>
      <c r="AP281" s="15">
        <f t="shared" si="40"/>
        <v>1234098877</v>
      </c>
      <c r="AQ281" s="14">
        <v>17155349420.889999</v>
      </c>
      <c r="AR281" s="14">
        <v>18030419575.490002</v>
      </c>
      <c r="AS281" s="14">
        <v>875070147</v>
      </c>
      <c r="AT281" s="14">
        <v>540000000</v>
      </c>
      <c r="AU281" s="16">
        <f t="shared" si="41"/>
        <v>1415070154.6000023</v>
      </c>
      <c r="AV281" s="13" t="str">
        <f t="shared" si="42"/>
        <v>SIM</v>
      </c>
      <c r="AW281" s="13" t="str">
        <f t="shared" si="43"/>
        <v>VER CAPITAL</v>
      </c>
      <c r="AX281" s="13" t="str">
        <f t="shared" si="44"/>
        <v>OK</v>
      </c>
    </row>
    <row r="282" spans="1:50" x14ac:dyDescent="0.3">
      <c r="A282" s="10" t="s">
        <v>1292</v>
      </c>
      <c r="B282" t="s">
        <v>1596</v>
      </c>
      <c r="C282" t="s">
        <v>1294</v>
      </c>
      <c r="D282" t="s">
        <v>1295</v>
      </c>
      <c r="E282" t="s">
        <v>46</v>
      </c>
      <c r="F282" t="s">
        <v>314</v>
      </c>
      <c r="G282" t="s">
        <v>48</v>
      </c>
      <c r="H282" t="s">
        <v>49</v>
      </c>
      <c r="I282" t="s">
        <v>50</v>
      </c>
      <c r="J282" t="s">
        <v>51</v>
      </c>
      <c r="K282" t="s">
        <v>51</v>
      </c>
      <c r="L282" t="s">
        <v>52</v>
      </c>
      <c r="M282">
        <v>82</v>
      </c>
      <c r="N282" s="11" t="str">
        <f t="shared" si="36"/>
        <v>OK</v>
      </c>
      <c r="O282" t="s">
        <v>54</v>
      </c>
      <c r="P282" t="s">
        <v>54</v>
      </c>
      <c r="Q282" t="s">
        <v>51</v>
      </c>
      <c r="R282" t="str">
        <f>VLOOKUP($D282,[1]Rascunho!$E$2:$S$296,15,FALSE)</f>
        <v>https://portoss.sp.gov.br/home/transparencia/governanca/</v>
      </c>
      <c r="S282" s="12">
        <v>46374519</v>
      </c>
      <c r="T282" s="12">
        <v>22093589.949999999</v>
      </c>
      <c r="U282" s="13" t="str">
        <f t="shared" si="37"/>
        <v>OK</v>
      </c>
      <c r="V282" s="14">
        <v>62644120.759999998</v>
      </c>
      <c r="W282" s="14">
        <v>6115681.0800000001</v>
      </c>
      <c r="X282" t="s">
        <v>51</v>
      </c>
      <c r="Y282" s="14">
        <v>520784.45</v>
      </c>
      <c r="Z282" s="14">
        <v>0</v>
      </c>
      <c r="AA282" s="14">
        <v>0</v>
      </c>
      <c r="AB282" s="14">
        <v>-9640282</v>
      </c>
      <c r="AC282" s="13" t="str">
        <f t="shared" si="38"/>
        <v>OK</v>
      </c>
      <c r="AD282" s="14">
        <v>194103759</v>
      </c>
      <c r="AE282" s="14">
        <v>0</v>
      </c>
      <c r="AF282" s="14">
        <v>0</v>
      </c>
      <c r="AG282" s="14">
        <v>10416149</v>
      </c>
      <c r="AH282" s="14">
        <v>8930729</v>
      </c>
      <c r="AI282" s="13" t="str">
        <f t="shared" si="39"/>
        <v>OK</v>
      </c>
      <c r="AJ282" s="14">
        <v>0</v>
      </c>
      <c r="AK282" s="14">
        <v>0</v>
      </c>
      <c r="AL282" s="14">
        <v>92487.94</v>
      </c>
      <c r="AM282" s="14">
        <v>5434212</v>
      </c>
      <c r="AN282" s="14">
        <v>990000</v>
      </c>
      <c r="AO282" s="14">
        <v>990000</v>
      </c>
      <c r="AP282" s="15">
        <f t="shared" si="40"/>
        <v>0</v>
      </c>
      <c r="AQ282" s="14">
        <v>17738161</v>
      </c>
      <c r="AR282" s="14">
        <v>17738161</v>
      </c>
      <c r="AS282" s="14">
        <v>286717918.88999999</v>
      </c>
      <c r="AT282" s="14">
        <v>292152130.88999999</v>
      </c>
      <c r="AU282" s="16">
        <f t="shared" si="41"/>
        <v>292152130.88999999</v>
      </c>
      <c r="AV282" s="13" t="str">
        <f t="shared" si="42"/>
        <v>SIM</v>
      </c>
      <c r="AW282" s="13" t="str">
        <f t="shared" si="43"/>
        <v>OK</v>
      </c>
      <c r="AX282" s="13" t="str">
        <f t="shared" si="44"/>
        <v>OK</v>
      </c>
    </row>
    <row r="283" spans="1:50" x14ac:dyDescent="0.3">
      <c r="A283" s="10" t="s">
        <v>1292</v>
      </c>
      <c r="B283" t="s">
        <v>1597</v>
      </c>
      <c r="C283" t="s">
        <v>1299</v>
      </c>
      <c r="D283" t="s">
        <v>1300</v>
      </c>
      <c r="E283" t="s">
        <v>46</v>
      </c>
      <c r="F283" t="s">
        <v>59</v>
      </c>
      <c r="G283" t="s">
        <v>48</v>
      </c>
      <c r="H283" t="s">
        <v>49</v>
      </c>
      <c r="I283" t="s">
        <v>50</v>
      </c>
      <c r="J283" t="s">
        <v>51</v>
      </c>
      <c r="K283" t="s">
        <v>51</v>
      </c>
      <c r="L283" t="s">
        <v>52</v>
      </c>
      <c r="M283">
        <v>1682</v>
      </c>
      <c r="N283" s="11" t="str">
        <f t="shared" si="36"/>
        <v>OK</v>
      </c>
      <c r="O283" t="s">
        <v>54</v>
      </c>
      <c r="P283" t="s">
        <v>54</v>
      </c>
      <c r="Q283" t="s">
        <v>54</v>
      </c>
      <c r="R283" t="str">
        <f>VLOOKUP($D283,[1]Rascunho!$E$2:$S$296,15,FALSE)</f>
        <v>https://cetesb.sp.gov.br/balancos-patrimoniais</v>
      </c>
      <c r="S283" s="12">
        <v>572532837.01999998</v>
      </c>
      <c r="T283" s="12">
        <v>493090761.44999999</v>
      </c>
      <c r="U283" s="13" t="str">
        <f t="shared" si="37"/>
        <v>OK</v>
      </c>
      <c r="V283" s="14">
        <v>591099416.94000006</v>
      </c>
      <c r="W283" s="14">
        <v>34254504</v>
      </c>
      <c r="X283" t="s">
        <v>54</v>
      </c>
      <c r="Y283" s="14">
        <v>470248.7</v>
      </c>
      <c r="Z283" s="14">
        <v>12295.82</v>
      </c>
      <c r="AA283" s="14">
        <v>16440.16</v>
      </c>
      <c r="AB283" s="14">
        <v>-22938360.73</v>
      </c>
      <c r="AC283" s="13" t="str">
        <f t="shared" si="38"/>
        <v>VERIFICAR</v>
      </c>
      <c r="AD283" s="14">
        <v>57356351.729999997</v>
      </c>
      <c r="AE283" s="14">
        <v>0</v>
      </c>
      <c r="AF283" s="14">
        <v>0</v>
      </c>
      <c r="AG283" s="14">
        <v>46815851.909999996</v>
      </c>
      <c r="AH283" s="14">
        <v>123893945</v>
      </c>
      <c r="AI283" s="13" t="str">
        <f t="shared" si="39"/>
        <v>OK</v>
      </c>
      <c r="AJ283" s="14">
        <v>0</v>
      </c>
      <c r="AK283" s="14">
        <v>0</v>
      </c>
      <c r="AL283" s="14">
        <v>0</v>
      </c>
      <c r="AM283" s="14">
        <v>800000</v>
      </c>
      <c r="AN283" s="14">
        <v>5652546352</v>
      </c>
      <c r="AO283" s="14">
        <v>5679213019</v>
      </c>
      <c r="AP283" s="15">
        <f t="shared" si="40"/>
        <v>26666667</v>
      </c>
      <c r="AQ283" s="14">
        <v>169576390.56</v>
      </c>
      <c r="AR283" s="14">
        <v>170376390.56</v>
      </c>
      <c r="AS283" s="14">
        <v>0</v>
      </c>
      <c r="AT283" s="14">
        <v>0</v>
      </c>
      <c r="AU283" s="16">
        <f t="shared" si="41"/>
        <v>800000</v>
      </c>
      <c r="AV283" s="13" t="str">
        <f t="shared" si="42"/>
        <v>SIM</v>
      </c>
      <c r="AW283" s="13" t="str">
        <f t="shared" si="43"/>
        <v>OK</v>
      </c>
      <c r="AX283" s="13" t="str">
        <f t="shared" si="44"/>
        <v>OK</v>
      </c>
    </row>
    <row r="284" spans="1:50" x14ac:dyDescent="0.3">
      <c r="A284" s="10" t="s">
        <v>1292</v>
      </c>
      <c r="B284" t="s">
        <v>1598</v>
      </c>
      <c r="C284" t="s">
        <v>1323</v>
      </c>
      <c r="D284" t="s">
        <v>1324</v>
      </c>
      <c r="E284" t="s">
        <v>46</v>
      </c>
      <c r="F284" t="s">
        <v>133</v>
      </c>
      <c r="G284" t="s">
        <v>48</v>
      </c>
      <c r="H284" t="s">
        <v>49</v>
      </c>
      <c r="I284" t="s">
        <v>50</v>
      </c>
      <c r="J284" t="s">
        <v>51</v>
      </c>
      <c r="K284" t="s">
        <v>51</v>
      </c>
      <c r="L284" t="s">
        <v>134</v>
      </c>
      <c r="M284">
        <v>21</v>
      </c>
      <c r="N284" s="11" t="str">
        <f t="shared" si="36"/>
        <v>OK</v>
      </c>
      <c r="O284" t="s">
        <v>54</v>
      </c>
      <c r="P284" t="s">
        <v>54</v>
      </c>
      <c r="Q284" t="s">
        <v>51</v>
      </c>
      <c r="R284" t="str">
        <f>VLOOKUP($D284,[1]Rascunho!$E$2:$S$296,15,FALSE)</f>
        <v>https://www.parceriaseminvestimentos.sp.gov.br/a-secretaria/companhia-paulista-de-parcerias/</v>
      </c>
      <c r="S284" s="12">
        <v>0</v>
      </c>
      <c r="T284" s="12">
        <v>4500377.93</v>
      </c>
      <c r="U284" s="13" t="str">
        <f t="shared" si="37"/>
        <v>OK</v>
      </c>
      <c r="V284" s="14">
        <v>16745562.050000001</v>
      </c>
      <c r="W284" s="14">
        <v>0</v>
      </c>
      <c r="X284" t="s">
        <v>54</v>
      </c>
      <c r="Y284" s="14">
        <v>377843.73</v>
      </c>
      <c r="Z284" s="14">
        <v>131635.85999999999</v>
      </c>
      <c r="AA284" s="14">
        <v>0</v>
      </c>
      <c r="AB284" s="14">
        <v>198913574.74000001</v>
      </c>
      <c r="AC284" s="13" t="str">
        <f t="shared" si="38"/>
        <v>OK</v>
      </c>
      <c r="AD284" s="14">
        <v>2003022686</v>
      </c>
      <c r="AE284" s="14">
        <v>0</v>
      </c>
      <c r="AF284" s="14">
        <v>169456870.59999999</v>
      </c>
      <c r="AG284" s="14">
        <v>0</v>
      </c>
      <c r="AH284" s="14">
        <v>0</v>
      </c>
      <c r="AI284" s="13" t="str">
        <f t="shared" si="39"/>
        <v>OK</v>
      </c>
      <c r="AJ284" s="14">
        <v>0</v>
      </c>
      <c r="AK284" s="14">
        <v>0</v>
      </c>
      <c r="AL284" s="14">
        <v>0</v>
      </c>
      <c r="AM284" s="14">
        <v>30000000</v>
      </c>
      <c r="AN284" s="14">
        <v>1509619815</v>
      </c>
      <c r="AO284" s="14">
        <v>1539619815</v>
      </c>
      <c r="AP284" s="15">
        <f t="shared" si="40"/>
        <v>30000000</v>
      </c>
      <c r="AQ284" s="14">
        <v>1509619815.1900001</v>
      </c>
      <c r="AR284" s="14">
        <v>1539619815.1900001</v>
      </c>
      <c r="AS284" s="14">
        <v>0</v>
      </c>
      <c r="AT284" s="14">
        <v>0</v>
      </c>
      <c r="AU284" s="16">
        <f t="shared" si="41"/>
        <v>30000000</v>
      </c>
      <c r="AV284" s="13" t="str">
        <f t="shared" si="42"/>
        <v>SIM</v>
      </c>
      <c r="AW284" s="13" t="str">
        <f t="shared" si="43"/>
        <v>VER CAPITAL</v>
      </c>
      <c r="AX284" s="13" t="str">
        <f t="shared" si="44"/>
        <v>OK</v>
      </c>
    </row>
    <row r="285" spans="1:50" x14ac:dyDescent="0.3">
      <c r="A285" s="10" t="s">
        <v>1292</v>
      </c>
      <c r="B285" t="s">
        <v>1599</v>
      </c>
      <c r="C285" t="s">
        <v>1326</v>
      </c>
      <c r="D285" t="s">
        <v>1327</v>
      </c>
      <c r="E285" t="s">
        <v>46</v>
      </c>
      <c r="F285" t="s">
        <v>133</v>
      </c>
      <c r="G285" t="s">
        <v>48</v>
      </c>
      <c r="H285" t="s">
        <v>49</v>
      </c>
      <c r="I285" t="s">
        <v>373</v>
      </c>
      <c r="J285" t="s">
        <v>51</v>
      </c>
      <c r="K285" t="s">
        <v>51</v>
      </c>
      <c r="L285" t="s">
        <v>134</v>
      </c>
      <c r="M285">
        <v>3</v>
      </c>
      <c r="N285" s="11" t="str">
        <f t="shared" si="36"/>
        <v>OK</v>
      </c>
      <c r="O285" t="s">
        <v>54</v>
      </c>
      <c r="P285" t="s">
        <v>54</v>
      </c>
      <c r="Q285" t="s">
        <v>51</v>
      </c>
      <c r="R285" t="str">
        <f>VLOOKUP($D285,[1]Rascunho!$E$2:$S$296,15,FALSE)</f>
        <v>https://portal.fazenda.sp.gov.br/Institucional/Paginas/CPSEC/CPSEC.aspx</v>
      </c>
      <c r="S285" s="12">
        <v>17907728.510000002</v>
      </c>
      <c r="T285" s="12">
        <v>620294.56000000006</v>
      </c>
      <c r="U285" s="13" t="str">
        <f t="shared" si="37"/>
        <v>OK</v>
      </c>
      <c r="V285" s="14">
        <v>16216291.439999999</v>
      </c>
      <c r="W285" s="14">
        <v>0</v>
      </c>
      <c r="X285" t="s">
        <v>54</v>
      </c>
      <c r="Y285" s="14">
        <v>259508.21</v>
      </c>
      <c r="Z285" s="14">
        <v>0</v>
      </c>
      <c r="AA285" s="14">
        <v>7230</v>
      </c>
      <c r="AB285" s="14">
        <v>12384394.640000001</v>
      </c>
      <c r="AC285" s="13" t="str">
        <f t="shared" si="38"/>
        <v>OK</v>
      </c>
      <c r="AD285" s="14">
        <v>297286811.63999999</v>
      </c>
      <c r="AE285" s="14">
        <v>0</v>
      </c>
      <c r="AF285" s="14">
        <v>17442845.989999998</v>
      </c>
      <c r="AG285" s="14">
        <v>0</v>
      </c>
      <c r="AH285" s="14">
        <v>0</v>
      </c>
      <c r="AI285" s="13" t="str">
        <f t="shared" si="39"/>
        <v>OK</v>
      </c>
      <c r="AJ285" s="14">
        <v>0</v>
      </c>
      <c r="AK285" s="14">
        <v>0</v>
      </c>
      <c r="AL285" s="14">
        <v>0</v>
      </c>
      <c r="AM285" s="14">
        <v>0</v>
      </c>
      <c r="AN285" s="14">
        <v>2830121</v>
      </c>
      <c r="AO285" s="14">
        <v>2830121</v>
      </c>
      <c r="AP285" s="15">
        <f t="shared" si="40"/>
        <v>0</v>
      </c>
      <c r="AQ285" s="14">
        <v>283012100</v>
      </c>
      <c r="AR285" s="14">
        <v>283012100</v>
      </c>
      <c r="AS285" s="14">
        <v>0</v>
      </c>
      <c r="AT285" s="14">
        <v>0</v>
      </c>
      <c r="AU285" s="16">
        <f t="shared" si="41"/>
        <v>0</v>
      </c>
      <c r="AV285" s="13" t="str">
        <f t="shared" si="42"/>
        <v>NÃO</v>
      </c>
      <c r="AW285" s="13" t="str">
        <f t="shared" si="43"/>
        <v>OK</v>
      </c>
      <c r="AX285" s="13" t="str">
        <f t="shared" si="44"/>
        <v>OK</v>
      </c>
    </row>
    <row r="286" spans="1:50" x14ac:dyDescent="0.3">
      <c r="A286" s="10" t="s">
        <v>1292</v>
      </c>
      <c r="B286" t="s">
        <v>1600</v>
      </c>
      <c r="C286" t="s">
        <v>1304</v>
      </c>
      <c r="D286" t="s">
        <v>1305</v>
      </c>
      <c r="E286" t="s">
        <v>46</v>
      </c>
      <c r="F286" t="s">
        <v>240</v>
      </c>
      <c r="G286" t="s">
        <v>48</v>
      </c>
      <c r="H286" t="s">
        <v>49</v>
      </c>
      <c r="I286" t="s">
        <v>50</v>
      </c>
      <c r="J286" t="s">
        <v>51</v>
      </c>
      <c r="K286" t="s">
        <v>51</v>
      </c>
      <c r="L286" t="s">
        <v>52</v>
      </c>
      <c r="M286">
        <v>5888</v>
      </c>
      <c r="N286" s="11" t="str">
        <f t="shared" si="36"/>
        <v>OK</v>
      </c>
      <c r="O286" t="s">
        <v>54</v>
      </c>
      <c r="P286" t="s">
        <v>54</v>
      </c>
      <c r="Q286" t="s">
        <v>54</v>
      </c>
      <c r="R286" t="str">
        <f>VLOOKUP($D286,[1]Rascunho!$E$2:$S$296,15,FALSE)</f>
        <v>https://www.cptm.sp.gov.br/esg-consciente/Governanca/BalancosDemonstrativos/Relat%C3%B3rio%20Integrado%20CPTM%202023.zip</v>
      </c>
      <c r="S286" s="12">
        <v>2250553070.9899998</v>
      </c>
      <c r="T286" s="12">
        <v>1093156566.6199999</v>
      </c>
      <c r="U286" s="13" t="str">
        <f t="shared" si="37"/>
        <v>OK</v>
      </c>
      <c r="V286" s="14">
        <v>2948667915.73</v>
      </c>
      <c r="W286" s="14">
        <v>528266615.93000001</v>
      </c>
      <c r="X286" t="s">
        <v>54</v>
      </c>
      <c r="Y286" s="14">
        <v>419908.37</v>
      </c>
      <c r="Z286" s="14">
        <v>17274.509999999998</v>
      </c>
      <c r="AA286" s="14">
        <v>18796.38</v>
      </c>
      <c r="AB286" s="14">
        <v>-851709191.69000006</v>
      </c>
      <c r="AC286" s="13" t="str">
        <f t="shared" si="38"/>
        <v>VERIFICAR</v>
      </c>
      <c r="AD286" s="14">
        <v>10158105053.549999</v>
      </c>
      <c r="AE286" s="14">
        <v>0</v>
      </c>
      <c r="AF286" s="14">
        <v>0</v>
      </c>
      <c r="AG286" s="14">
        <v>962140766.72000003</v>
      </c>
      <c r="AH286" s="14">
        <v>805279349.66999996</v>
      </c>
      <c r="AI286" s="13" t="str">
        <f t="shared" si="39"/>
        <v>OK</v>
      </c>
      <c r="AJ286" s="14">
        <v>0</v>
      </c>
      <c r="AK286" s="14">
        <v>0</v>
      </c>
      <c r="AL286" s="14">
        <v>914165283.85000002</v>
      </c>
      <c r="AM286" s="14">
        <v>851079110.13999999</v>
      </c>
      <c r="AN286" s="14">
        <v>608974962217</v>
      </c>
      <c r="AO286" s="14">
        <v>684688052065</v>
      </c>
      <c r="AP286" s="15">
        <f t="shared" si="40"/>
        <v>75713089848</v>
      </c>
      <c r="AQ286" s="14">
        <v>18269248866.509998</v>
      </c>
      <c r="AR286" s="14">
        <v>19395132517.889999</v>
      </c>
      <c r="AS286" s="14">
        <v>0</v>
      </c>
      <c r="AT286" s="14">
        <v>0</v>
      </c>
      <c r="AU286" s="16">
        <f t="shared" si="41"/>
        <v>1125883651.3800011</v>
      </c>
      <c r="AV286" s="13" t="str">
        <f t="shared" si="42"/>
        <v>SIM</v>
      </c>
      <c r="AW286" s="13" t="str">
        <f t="shared" si="43"/>
        <v>OK</v>
      </c>
      <c r="AX286" s="13" t="str">
        <f t="shared" si="44"/>
        <v>OK</v>
      </c>
    </row>
    <row r="287" spans="1:50" x14ac:dyDescent="0.3">
      <c r="A287" s="10" t="s">
        <v>1292</v>
      </c>
      <c r="B287" t="s">
        <v>1601</v>
      </c>
      <c r="C287" t="s">
        <v>1330</v>
      </c>
      <c r="D287" t="s">
        <v>1331</v>
      </c>
      <c r="E287" t="s">
        <v>46</v>
      </c>
      <c r="F287" t="s">
        <v>71</v>
      </c>
      <c r="G287" t="s">
        <v>48</v>
      </c>
      <c r="H287" t="s">
        <v>49</v>
      </c>
      <c r="I287" t="s">
        <v>50</v>
      </c>
      <c r="J287" t="s">
        <v>51</v>
      </c>
      <c r="K287" t="s">
        <v>51</v>
      </c>
      <c r="L287" t="s">
        <v>134</v>
      </c>
      <c r="M287">
        <v>146</v>
      </c>
      <c r="N287" s="11" t="str">
        <f t="shared" si="36"/>
        <v>OK</v>
      </c>
      <c r="O287" t="s">
        <v>54</v>
      </c>
      <c r="P287" t="s">
        <v>54</v>
      </c>
      <c r="Q287" t="s">
        <v>54</v>
      </c>
      <c r="R287" t="str">
        <f>VLOOKUP($D287,[1]Rascunho!$E$2:$S$296,15,FALSE)</f>
        <v>https://www.desenvolvesp.com.br/institucional/transparencia/prestacao-de-contas/carta-anual-de-politicas-publicas-e-governanca-corporativa/</v>
      </c>
      <c r="S287" s="12">
        <v>640714919.28999996</v>
      </c>
      <c r="T287" s="12">
        <v>54204189.740000002</v>
      </c>
      <c r="U287" s="13" t="str">
        <f t="shared" si="37"/>
        <v>OK</v>
      </c>
      <c r="V287" s="14">
        <v>561308686.35000002</v>
      </c>
      <c r="W287" s="14">
        <v>0</v>
      </c>
      <c r="X287" t="s">
        <v>54</v>
      </c>
      <c r="Y287" s="14">
        <v>485456.51</v>
      </c>
      <c r="Z287" s="14">
        <v>87715.5</v>
      </c>
      <c r="AA287" s="14">
        <v>35603.839999999997</v>
      </c>
      <c r="AB287" s="14">
        <v>212336414.81</v>
      </c>
      <c r="AC287" s="13" t="str">
        <f t="shared" si="38"/>
        <v>OK</v>
      </c>
      <c r="AD287" s="14">
        <v>3403558659.4499998</v>
      </c>
      <c r="AE287" s="14">
        <v>0</v>
      </c>
      <c r="AF287" s="14">
        <v>196277506.59999999</v>
      </c>
      <c r="AG287" s="14">
        <v>0</v>
      </c>
      <c r="AH287" s="14">
        <v>0</v>
      </c>
      <c r="AI287" s="13" t="str">
        <f t="shared" si="39"/>
        <v>OK</v>
      </c>
      <c r="AJ287" s="14">
        <v>0</v>
      </c>
      <c r="AK287" s="14">
        <v>0</v>
      </c>
      <c r="AL287" s="14">
        <v>1000000000</v>
      </c>
      <c r="AM287" s="14">
        <v>0</v>
      </c>
      <c r="AN287" s="14">
        <v>2728157414</v>
      </c>
      <c r="AO287" s="14">
        <v>2728157414</v>
      </c>
      <c r="AP287" s="15">
        <f t="shared" si="40"/>
        <v>0</v>
      </c>
      <c r="AQ287" s="14">
        <v>3156469427.02</v>
      </c>
      <c r="AR287" s="14">
        <v>3156469427.02</v>
      </c>
      <c r="AS287" s="14">
        <v>0</v>
      </c>
      <c r="AT287" s="14">
        <v>0</v>
      </c>
      <c r="AU287" s="16">
        <f t="shared" si="41"/>
        <v>0</v>
      </c>
      <c r="AV287" s="13" t="str">
        <f t="shared" si="42"/>
        <v>NÃO</v>
      </c>
      <c r="AW287" s="13" t="str">
        <f t="shared" si="43"/>
        <v>OK</v>
      </c>
      <c r="AX287" s="13" t="str">
        <f t="shared" si="44"/>
        <v>OK</v>
      </c>
    </row>
    <row r="288" spans="1:50" x14ac:dyDescent="0.3">
      <c r="A288" s="10" t="s">
        <v>1292</v>
      </c>
      <c r="B288" t="s">
        <v>1602</v>
      </c>
      <c r="C288" t="s">
        <v>1603</v>
      </c>
      <c r="D288" t="s">
        <v>1604</v>
      </c>
      <c r="E288" t="s">
        <v>46</v>
      </c>
      <c r="F288" t="s">
        <v>409</v>
      </c>
      <c r="G288" t="s">
        <v>60</v>
      </c>
      <c r="H288" t="s">
        <v>49</v>
      </c>
      <c r="I288" t="s">
        <v>373</v>
      </c>
      <c r="J288" t="s">
        <v>54</v>
      </c>
      <c r="K288" t="s">
        <v>51</v>
      </c>
      <c r="L288" t="s">
        <v>134</v>
      </c>
      <c r="M288">
        <v>376</v>
      </c>
      <c r="N288" s="11" t="str">
        <f t="shared" si="36"/>
        <v>OK</v>
      </c>
      <c r="O288" t="s">
        <v>54</v>
      </c>
      <c r="P288" t="s">
        <v>54</v>
      </c>
      <c r="Q288" t="s">
        <v>54</v>
      </c>
      <c r="R288" t="str">
        <f>VLOOKUP($D288,[1]Rascunho!$E$2:$S$296,15,FALSE)</f>
        <v>https://ri.emae.com.br/liste7f6.html?idCanal=xKj5n4ohMMNFNZbS9HP5BQ==</v>
      </c>
      <c r="S288" s="12">
        <v>603326910.80999994</v>
      </c>
      <c r="T288" s="12">
        <v>149282220.18000001</v>
      </c>
      <c r="U288" s="13" t="str">
        <f t="shared" si="37"/>
        <v>OK</v>
      </c>
      <c r="V288" s="14">
        <v>447558791.02999997</v>
      </c>
      <c r="W288" s="14">
        <v>106621047.04000001</v>
      </c>
      <c r="X288" t="s">
        <v>54</v>
      </c>
      <c r="Y288" s="14">
        <v>587898.52</v>
      </c>
      <c r="Z288" s="14">
        <v>20420.490000000002</v>
      </c>
      <c r="AA288" s="14">
        <v>15709.04</v>
      </c>
      <c r="AB288" s="14">
        <v>150479943.65000001</v>
      </c>
      <c r="AC288" s="13" t="str">
        <f t="shared" si="38"/>
        <v>OK</v>
      </c>
      <c r="AD288" s="14">
        <v>1088488783.9400001</v>
      </c>
      <c r="AE288" s="14">
        <v>2158448647</v>
      </c>
      <c r="AF288" s="14">
        <v>43062599.159999996</v>
      </c>
      <c r="AG288" s="14">
        <v>0</v>
      </c>
      <c r="AH288" s="14">
        <v>0</v>
      </c>
      <c r="AI288" s="13" t="str">
        <f t="shared" si="39"/>
        <v>OK</v>
      </c>
      <c r="AJ288" s="14">
        <v>0</v>
      </c>
      <c r="AK288" s="14">
        <v>0</v>
      </c>
      <c r="AL288" s="14">
        <v>0</v>
      </c>
      <c r="AM288" s="14">
        <v>0</v>
      </c>
      <c r="AN288" s="14">
        <v>14404423</v>
      </c>
      <c r="AO288" s="14">
        <v>14404423</v>
      </c>
      <c r="AP288" s="15">
        <f t="shared" si="40"/>
        <v>0</v>
      </c>
      <c r="AQ288" s="14">
        <v>104991280.67</v>
      </c>
      <c r="AR288" s="14">
        <v>104991280.67</v>
      </c>
      <c r="AS288" s="14">
        <v>0</v>
      </c>
      <c r="AT288" s="14">
        <v>0</v>
      </c>
      <c r="AU288" s="16">
        <f t="shared" si="41"/>
        <v>0</v>
      </c>
      <c r="AV288" s="13" t="str">
        <f t="shared" si="42"/>
        <v>NÃO</v>
      </c>
      <c r="AW288" s="13" t="str">
        <f t="shared" si="43"/>
        <v>OK</v>
      </c>
      <c r="AX288" s="13" t="str">
        <f t="shared" si="44"/>
        <v>OK</v>
      </c>
    </row>
    <row r="289" spans="1:50" x14ac:dyDescent="0.3">
      <c r="A289" s="10" t="s">
        <v>1292</v>
      </c>
      <c r="B289" t="s">
        <v>1605</v>
      </c>
      <c r="C289" t="s">
        <v>1334</v>
      </c>
      <c r="D289" t="s">
        <v>1335</v>
      </c>
      <c r="E289" t="s">
        <v>46</v>
      </c>
      <c r="F289" t="s">
        <v>240</v>
      </c>
      <c r="G289" t="s">
        <v>48</v>
      </c>
      <c r="H289" t="s">
        <v>49</v>
      </c>
      <c r="I289" t="s">
        <v>50</v>
      </c>
      <c r="J289" t="s">
        <v>51</v>
      </c>
      <c r="K289" t="s">
        <v>51</v>
      </c>
      <c r="L289" t="s">
        <v>134</v>
      </c>
      <c r="M289">
        <v>733</v>
      </c>
      <c r="N289" s="11" t="str">
        <f t="shared" si="36"/>
        <v>OK</v>
      </c>
      <c r="O289" t="s">
        <v>54</v>
      </c>
      <c r="P289" t="s">
        <v>54</v>
      </c>
      <c r="Q289" t="s">
        <v>54</v>
      </c>
      <c r="R289" t="str">
        <f>VLOOKUP($D289,[1]Rascunho!$E$2:$S$296,15,FALSE)</f>
        <v>https://www.emtu.sp.gov.br/emtu/pdf/relatorio-gestao-23.pdf</v>
      </c>
      <c r="S289" s="12">
        <v>149304599.61000001</v>
      </c>
      <c r="T289" s="12">
        <v>111589874.03</v>
      </c>
      <c r="U289" s="13" t="str">
        <f t="shared" si="37"/>
        <v>OK</v>
      </c>
      <c r="V289" s="14">
        <v>358116420.69999999</v>
      </c>
      <c r="W289" s="14">
        <v>180712035.78</v>
      </c>
      <c r="X289" t="s">
        <v>51</v>
      </c>
      <c r="Y289" s="14">
        <v>421925.64</v>
      </c>
      <c r="Z289" s="14">
        <v>0</v>
      </c>
      <c r="AA289" s="14">
        <v>14054.6</v>
      </c>
      <c r="AB289" s="14">
        <v>6626925.9199999999</v>
      </c>
      <c r="AC289" s="13" t="str">
        <f t="shared" si="38"/>
        <v>OK</v>
      </c>
      <c r="AD289" s="14">
        <v>2296046615.8699999</v>
      </c>
      <c r="AE289" s="14">
        <v>0</v>
      </c>
      <c r="AF289" s="14">
        <v>0</v>
      </c>
      <c r="AG289" s="14">
        <v>0</v>
      </c>
      <c r="AH289" s="14">
        <v>0</v>
      </c>
      <c r="AI289" s="13" t="str">
        <f t="shared" si="39"/>
        <v>OK</v>
      </c>
      <c r="AJ289" s="14">
        <v>0</v>
      </c>
      <c r="AK289" s="14">
        <v>0</v>
      </c>
      <c r="AL289" s="14">
        <v>135510000</v>
      </c>
      <c r="AM289" s="14">
        <v>56689366.289999999</v>
      </c>
      <c r="AN289" s="14">
        <v>240889266313</v>
      </c>
      <c r="AO289" s="14">
        <v>256655104581</v>
      </c>
      <c r="AP289" s="15">
        <f t="shared" si="40"/>
        <v>15765838268</v>
      </c>
      <c r="AQ289" s="14">
        <v>2408892663.1300001</v>
      </c>
      <c r="AR289" s="14">
        <v>2566551045.8099999</v>
      </c>
      <c r="AS289" s="14">
        <v>308268000</v>
      </c>
      <c r="AT289" s="14">
        <v>331322181.05000001</v>
      </c>
      <c r="AU289" s="16">
        <f t="shared" si="41"/>
        <v>488980563.72999984</v>
      </c>
      <c r="AV289" s="13" t="str">
        <f t="shared" si="42"/>
        <v>SIM</v>
      </c>
      <c r="AW289" s="13" t="str">
        <f t="shared" si="43"/>
        <v>VER CAPITAL</v>
      </c>
      <c r="AX289" s="13" t="str">
        <f t="shared" si="44"/>
        <v>OK</v>
      </c>
    </row>
    <row r="290" spans="1:50" ht="43.2" x14ac:dyDescent="0.3">
      <c r="A290" s="10" t="s">
        <v>1292</v>
      </c>
      <c r="B290" t="s">
        <v>1606</v>
      </c>
      <c r="C290" t="s">
        <v>1309</v>
      </c>
      <c r="D290" t="s">
        <v>1310</v>
      </c>
      <c r="E290" t="s">
        <v>46</v>
      </c>
      <c r="F290" s="6" t="s">
        <v>47</v>
      </c>
      <c r="G290" t="s">
        <v>48</v>
      </c>
      <c r="H290" t="s">
        <v>49</v>
      </c>
      <c r="I290" t="s">
        <v>50</v>
      </c>
      <c r="J290" t="s">
        <v>51</v>
      </c>
      <c r="K290" t="s">
        <v>51</v>
      </c>
      <c r="L290" t="s">
        <v>52</v>
      </c>
      <c r="M290">
        <v>612</v>
      </c>
      <c r="N290" s="11" t="str">
        <f t="shared" si="36"/>
        <v>OK</v>
      </c>
      <c r="O290" t="s">
        <v>54</v>
      </c>
      <c r="P290" t="s">
        <v>54</v>
      </c>
      <c r="Q290" t="s">
        <v>54</v>
      </c>
      <c r="R290" t="str">
        <f>VLOOKUP($D290,[1]Rascunho!$E$2:$S$296,15,FALSE)</f>
        <v>https://ipt.br/wp-content/uploads/2024/03/Carta-Anual-de-Governanca-Corporativa-IPT-2023.pdf</v>
      </c>
      <c r="S290" s="12">
        <v>176337302.84</v>
      </c>
      <c r="T290" s="12">
        <v>134478846.91999999</v>
      </c>
      <c r="U290" s="13" t="str">
        <f t="shared" si="37"/>
        <v>OK</v>
      </c>
      <c r="V290" s="14">
        <v>193041709.90000001</v>
      </c>
      <c r="W290" s="14">
        <v>13539378.48</v>
      </c>
      <c r="X290" t="s">
        <v>51</v>
      </c>
      <c r="Y290" s="14">
        <v>553042.41</v>
      </c>
      <c r="Z290" s="14">
        <v>0</v>
      </c>
      <c r="AA290" s="14">
        <v>0</v>
      </c>
      <c r="AB290" s="14">
        <v>-13531993.58</v>
      </c>
      <c r="AC290" s="13" t="str">
        <f t="shared" si="38"/>
        <v>OK</v>
      </c>
      <c r="AD290" s="14">
        <v>87655778.769999996</v>
      </c>
      <c r="AE290" s="14">
        <v>0</v>
      </c>
      <c r="AF290" s="14">
        <v>0</v>
      </c>
      <c r="AG290" s="14">
        <v>100508482.59999999</v>
      </c>
      <c r="AH290" s="14">
        <v>106095097.88</v>
      </c>
      <c r="AI290" s="13" t="str">
        <f t="shared" si="39"/>
        <v>OK</v>
      </c>
      <c r="AJ290" s="14">
        <v>0</v>
      </c>
      <c r="AK290" s="14">
        <v>0</v>
      </c>
      <c r="AL290" s="14">
        <v>1180837.5900000001</v>
      </c>
      <c r="AM290" s="14">
        <v>13539378.48</v>
      </c>
      <c r="AN290" s="14">
        <v>28835291800</v>
      </c>
      <c r="AO290" s="14">
        <v>29953375559</v>
      </c>
      <c r="AP290" s="15">
        <f t="shared" si="40"/>
        <v>1118083759</v>
      </c>
      <c r="AQ290" s="14">
        <v>288352918</v>
      </c>
      <c r="AR290" s="14">
        <v>289533755.58999997</v>
      </c>
      <c r="AS290" s="14">
        <v>0</v>
      </c>
      <c r="AT290" s="14">
        <v>0</v>
      </c>
      <c r="AU290" s="16">
        <f t="shared" si="41"/>
        <v>1180837.5899999738</v>
      </c>
      <c r="AV290" s="13" t="str">
        <f t="shared" si="42"/>
        <v>SIM</v>
      </c>
      <c r="AW290" s="13" t="str">
        <f t="shared" si="43"/>
        <v>OK</v>
      </c>
      <c r="AX290" s="13" t="str">
        <f t="shared" si="44"/>
        <v>OK</v>
      </c>
    </row>
    <row r="291" spans="1:50" x14ac:dyDescent="0.3">
      <c r="A291" s="10" t="s">
        <v>1292</v>
      </c>
      <c r="B291" t="s">
        <v>1607</v>
      </c>
      <c r="C291" t="s">
        <v>1314</v>
      </c>
      <c r="D291" t="s">
        <v>1315</v>
      </c>
      <c r="E291" t="s">
        <v>46</v>
      </c>
      <c r="F291" t="s">
        <v>240</v>
      </c>
      <c r="G291" t="s">
        <v>48</v>
      </c>
      <c r="H291" t="s">
        <v>49</v>
      </c>
      <c r="I291" t="s">
        <v>373</v>
      </c>
      <c r="J291" t="s">
        <v>51</v>
      </c>
      <c r="K291" t="s">
        <v>51</v>
      </c>
      <c r="L291" t="s">
        <v>134</v>
      </c>
      <c r="M291">
        <v>6999</v>
      </c>
      <c r="N291" s="11" t="str">
        <f t="shared" si="36"/>
        <v>OK</v>
      </c>
      <c r="O291" t="s">
        <v>54</v>
      </c>
      <c r="P291" t="s">
        <v>54</v>
      </c>
      <c r="Q291" t="s">
        <v>54</v>
      </c>
      <c r="R291" t="str">
        <f>VLOOKUP($D291,[1]Rascunho!$E$2:$S$296,15,FALSE)</f>
        <v>https://governancacorporativa.metrosp.com.br/Documentos%20Compartilhados/CartaPoliticasPublicas.pdf</v>
      </c>
      <c r="S291" s="12">
        <v>2319588425.0599999</v>
      </c>
      <c r="T291" s="12">
        <v>1917318543.5799999</v>
      </c>
      <c r="U291" s="13" t="str">
        <f t="shared" si="37"/>
        <v>OK</v>
      </c>
      <c r="V291" s="14">
        <v>6275817628.5799999</v>
      </c>
      <c r="W291" s="14">
        <v>2682447014.75</v>
      </c>
      <c r="X291" t="s">
        <v>51</v>
      </c>
      <c r="Y291" s="14">
        <v>787891.36</v>
      </c>
      <c r="Z291" s="14">
        <v>0</v>
      </c>
      <c r="AA291" s="14">
        <v>20345.759999999998</v>
      </c>
      <c r="AB291" s="14">
        <v>-900175857.04999995</v>
      </c>
      <c r="AC291" s="13" t="str">
        <f t="shared" si="38"/>
        <v>OK</v>
      </c>
      <c r="AD291" s="14">
        <v>37066934093.220001</v>
      </c>
      <c r="AE291" s="14">
        <v>0</v>
      </c>
      <c r="AF291" s="14">
        <v>0</v>
      </c>
      <c r="AG291" s="14">
        <v>0</v>
      </c>
      <c r="AH291" s="14">
        <v>317976248.06999999</v>
      </c>
      <c r="AI291" s="13" t="str">
        <f t="shared" si="39"/>
        <v>INDÍCIO DE DEPENDÊNCIA POR SUBVENÇÃO</v>
      </c>
      <c r="AJ291" s="14">
        <v>0</v>
      </c>
      <c r="AK291" s="14">
        <v>0</v>
      </c>
      <c r="AL291" s="14">
        <v>2382936931.9200001</v>
      </c>
      <c r="AM291" s="14">
        <v>2713990757.3499999</v>
      </c>
      <c r="AN291" s="14">
        <v>8260220</v>
      </c>
      <c r="AO291" s="14">
        <v>8906665</v>
      </c>
      <c r="AP291" s="15">
        <f t="shared" si="40"/>
        <v>646445</v>
      </c>
      <c r="AQ291" s="14">
        <v>44611122735.330002</v>
      </c>
      <c r="AR291" s="14">
        <v>47325113492.68</v>
      </c>
      <c r="AS291" s="14">
        <v>0</v>
      </c>
      <c r="AT291" s="14">
        <v>0</v>
      </c>
      <c r="AU291" s="16">
        <f t="shared" si="41"/>
        <v>2713990757.3499985</v>
      </c>
      <c r="AV291" s="13" t="str">
        <f t="shared" si="42"/>
        <v>SIM</v>
      </c>
      <c r="AW291" s="13" t="str">
        <f t="shared" si="43"/>
        <v>VER CAPITAL</v>
      </c>
      <c r="AX291" s="13" t="str">
        <f t="shared" si="44"/>
        <v>OK</v>
      </c>
    </row>
    <row r="292" spans="1:50" x14ac:dyDescent="0.3">
      <c r="A292" s="10" t="s">
        <v>1292</v>
      </c>
      <c r="B292" t="s">
        <v>1608</v>
      </c>
      <c r="C292" t="s">
        <v>1339</v>
      </c>
      <c r="D292" t="s">
        <v>1340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51</v>
      </c>
      <c r="K292" t="s">
        <v>51</v>
      </c>
      <c r="L292" t="s">
        <v>134</v>
      </c>
      <c r="M292">
        <v>1796</v>
      </c>
      <c r="N292" s="11" t="str">
        <f t="shared" si="36"/>
        <v>OK</v>
      </c>
      <c r="O292" t="s">
        <v>54</v>
      </c>
      <c r="P292" t="s">
        <v>54</v>
      </c>
      <c r="Q292" t="s">
        <v>54</v>
      </c>
      <c r="R292" t="str">
        <f>VLOOKUP($D292,[1]Rascunho!$E$2:$S$296,15,FALSE)</f>
        <v>https://www.prodesp.sp.gov.br/transparencia/carta-anual-de-governanca-corporativa/</v>
      </c>
      <c r="S292" s="12">
        <v>2207046848.0300002</v>
      </c>
      <c r="T292" s="12">
        <v>521950772.63</v>
      </c>
      <c r="U292" s="13" t="str">
        <f t="shared" si="37"/>
        <v>OK</v>
      </c>
      <c r="V292" s="14">
        <v>2125199465.01</v>
      </c>
      <c r="W292" s="14">
        <v>76318080.090000004</v>
      </c>
      <c r="X292" t="s">
        <v>54</v>
      </c>
      <c r="Y292" s="14">
        <v>917318.08</v>
      </c>
      <c r="Z292" s="14">
        <v>51219.82</v>
      </c>
      <c r="AA292" s="14">
        <v>0</v>
      </c>
      <c r="AB292" s="14">
        <v>81847383.019999996</v>
      </c>
      <c r="AC292" s="13" t="str">
        <f t="shared" si="38"/>
        <v>OK</v>
      </c>
      <c r="AD292" s="14">
        <v>791678287.73000002</v>
      </c>
      <c r="AE292" s="14">
        <v>0</v>
      </c>
      <c r="AF292" s="14">
        <v>28745847.91</v>
      </c>
      <c r="AG292" s="14">
        <v>0</v>
      </c>
      <c r="AH292" s="14">
        <v>0</v>
      </c>
      <c r="AI292" s="13" t="str">
        <f t="shared" si="39"/>
        <v>OK</v>
      </c>
      <c r="AJ292" s="14">
        <v>0</v>
      </c>
      <c r="AK292" s="14">
        <v>0</v>
      </c>
      <c r="AL292" s="14">
        <v>0</v>
      </c>
      <c r="AM292" s="14">
        <v>0</v>
      </c>
      <c r="AN292" s="14">
        <v>12410789215</v>
      </c>
      <c r="AO292" s="14">
        <v>12410805</v>
      </c>
      <c r="AP292" s="15">
        <f t="shared" si="40"/>
        <v>-12398378410</v>
      </c>
      <c r="AQ292" s="14">
        <v>666490179.50999999</v>
      </c>
      <c r="AR292" s="14">
        <v>666490179.50999999</v>
      </c>
      <c r="AS292" s="14">
        <v>0</v>
      </c>
      <c r="AT292" s="14">
        <v>0</v>
      </c>
      <c r="AU292" s="16">
        <f t="shared" si="41"/>
        <v>0</v>
      </c>
      <c r="AV292" s="13" t="str">
        <f t="shared" si="42"/>
        <v>NÃO</v>
      </c>
      <c r="AW292" s="13" t="str">
        <f t="shared" si="43"/>
        <v>OK</v>
      </c>
      <c r="AX292" s="13" t="str">
        <f t="shared" si="44"/>
        <v>OK</v>
      </c>
    </row>
    <row r="293" spans="1:50" x14ac:dyDescent="0.3">
      <c r="A293" s="10" t="s">
        <v>1292</v>
      </c>
      <c r="B293" t="s">
        <v>1609</v>
      </c>
      <c r="C293" t="s">
        <v>1610</v>
      </c>
      <c r="D293" t="s">
        <v>1611</v>
      </c>
      <c r="E293" t="s">
        <v>46</v>
      </c>
      <c r="F293" t="s">
        <v>107</v>
      </c>
      <c r="G293" t="s">
        <v>60</v>
      </c>
      <c r="H293" t="s">
        <v>49</v>
      </c>
      <c r="I293" t="s">
        <v>373</v>
      </c>
      <c r="J293" t="s">
        <v>54</v>
      </c>
      <c r="K293" t="s">
        <v>51</v>
      </c>
      <c r="L293" t="s">
        <v>134</v>
      </c>
      <c r="M293">
        <v>11228</v>
      </c>
      <c r="N293" s="11" t="str">
        <f t="shared" si="36"/>
        <v>OK</v>
      </c>
      <c r="O293" t="s">
        <v>54</v>
      </c>
      <c r="P293" t="s">
        <v>54</v>
      </c>
      <c r="Q293" t="s">
        <v>54</v>
      </c>
      <c r="R293" t="str">
        <f>VLOOKUP($D293,[1]Rascunho!$E$2:$S$296,15,FALSE)</f>
        <v>https://ri.sabesp.com.br/governanca-corporativa/carta-de-governanca/</v>
      </c>
      <c r="S293" s="12">
        <v>25572055789.900002</v>
      </c>
      <c r="T293" s="12">
        <v>3651093404.0300002</v>
      </c>
      <c r="U293" s="13" t="str">
        <f t="shared" si="37"/>
        <v>OK</v>
      </c>
      <c r="V293" s="14">
        <v>23042531837.349998</v>
      </c>
      <c r="W293" s="14">
        <v>6283773946.3699999</v>
      </c>
      <c r="X293" t="s">
        <v>54</v>
      </c>
      <c r="Y293" s="14">
        <v>700349.26</v>
      </c>
      <c r="Z293" s="14">
        <v>29811.73</v>
      </c>
      <c r="AA293" s="14">
        <v>0</v>
      </c>
      <c r="AB293" s="14">
        <v>3523531017.9200001</v>
      </c>
      <c r="AC293" s="13" t="str">
        <f t="shared" si="38"/>
        <v>OK</v>
      </c>
      <c r="AD293" s="14">
        <v>29857376274.009998</v>
      </c>
      <c r="AE293" s="14">
        <v>51516138826.529999</v>
      </c>
      <c r="AF293" s="14">
        <v>438314503.25999999</v>
      </c>
      <c r="AG293" s="14">
        <v>0</v>
      </c>
      <c r="AH293" s="14">
        <v>0</v>
      </c>
      <c r="AI293" s="13" t="str">
        <f t="shared" si="39"/>
        <v>OK</v>
      </c>
      <c r="AJ293" s="14">
        <v>0</v>
      </c>
      <c r="AK293" s="14">
        <v>0</v>
      </c>
      <c r="AL293" s="14">
        <v>0</v>
      </c>
      <c r="AM293" s="14">
        <v>0</v>
      </c>
      <c r="AN293" s="14">
        <v>343506664</v>
      </c>
      <c r="AO293" s="14">
        <v>343506664</v>
      </c>
      <c r="AP293" s="15">
        <f t="shared" si="40"/>
        <v>0</v>
      </c>
      <c r="AQ293" s="14">
        <v>7538442667.3100004</v>
      </c>
      <c r="AR293" s="14">
        <v>7538442667.3100004</v>
      </c>
      <c r="AS293" s="14">
        <v>0</v>
      </c>
      <c r="AT293" s="14">
        <v>0</v>
      </c>
      <c r="AU293" s="16">
        <f t="shared" si="41"/>
        <v>0</v>
      </c>
      <c r="AV293" s="13" t="str">
        <f t="shared" si="42"/>
        <v>NÃO</v>
      </c>
      <c r="AW293" s="13" t="str">
        <f t="shared" si="43"/>
        <v>OK</v>
      </c>
      <c r="AX293" s="13" t="str">
        <f t="shared" si="44"/>
        <v>OK</v>
      </c>
    </row>
    <row r="294" spans="1:50" x14ac:dyDescent="0.3">
      <c r="A294" s="10" t="s">
        <v>1343</v>
      </c>
      <c r="B294" t="s">
        <v>1612</v>
      </c>
      <c r="C294" t="s">
        <v>1613</v>
      </c>
      <c r="D294" t="s">
        <v>1345</v>
      </c>
      <c r="E294" t="s">
        <v>46</v>
      </c>
      <c r="F294" t="s">
        <v>71</v>
      </c>
      <c r="G294" t="s">
        <v>60</v>
      </c>
      <c r="H294" t="s">
        <v>49</v>
      </c>
      <c r="I294" t="s">
        <v>50</v>
      </c>
      <c r="J294" t="s">
        <v>51</v>
      </c>
      <c r="K294" t="s">
        <v>51</v>
      </c>
      <c r="L294" t="s">
        <v>134</v>
      </c>
      <c r="M294">
        <v>45</v>
      </c>
      <c r="N294" s="11" t="str">
        <f t="shared" si="36"/>
        <v>OK</v>
      </c>
      <c r="O294" t="s">
        <v>54</v>
      </c>
      <c r="P294" t="s">
        <v>54</v>
      </c>
      <c r="Q294" t="s">
        <v>54</v>
      </c>
      <c r="R294" t="str">
        <f>VLOOKUP($D294,[1]Rascunho!$E$2:$S$296,15,FALSE)</f>
        <v>https://www.fomento.to.gov.br/page/carta-anual</v>
      </c>
      <c r="S294" s="12">
        <v>9503598.4399999995</v>
      </c>
      <c r="T294" s="12">
        <v>3378756.5</v>
      </c>
      <c r="U294" s="13" t="str">
        <f t="shared" si="37"/>
        <v>OK</v>
      </c>
      <c r="V294" s="14">
        <v>9142038.8599999994</v>
      </c>
      <c r="W294" s="14">
        <v>29982.61</v>
      </c>
      <c r="X294" t="s">
        <v>51</v>
      </c>
      <c r="Y294" s="14">
        <v>217637.38</v>
      </c>
      <c r="Z294" s="14">
        <v>0</v>
      </c>
      <c r="AA294" s="14">
        <v>85806.26</v>
      </c>
      <c r="AB294" s="14">
        <v>361559.58</v>
      </c>
      <c r="AC294" s="13" t="str">
        <f t="shared" si="38"/>
        <v>OK</v>
      </c>
      <c r="AD294" s="14">
        <v>33135299.07</v>
      </c>
      <c r="AE294" s="14" t="e">
        <v>#VALUE!</v>
      </c>
      <c r="AF294" s="14">
        <v>0</v>
      </c>
      <c r="AG294" s="14">
        <v>0</v>
      </c>
      <c r="AH294" s="14">
        <v>0</v>
      </c>
      <c r="AI294" s="13" t="str">
        <f t="shared" si="39"/>
        <v>OK</v>
      </c>
      <c r="AJ294" s="14">
        <v>0</v>
      </c>
      <c r="AK294" s="14">
        <v>0</v>
      </c>
      <c r="AL294" s="14">
        <v>10060362.17</v>
      </c>
      <c r="AM294" s="14">
        <v>1509054.3</v>
      </c>
      <c r="AN294" s="14">
        <v>5964000</v>
      </c>
      <c r="AO294" s="14">
        <v>5964000</v>
      </c>
      <c r="AP294" s="15">
        <f t="shared" si="40"/>
        <v>0</v>
      </c>
      <c r="AQ294" s="14">
        <v>51300919.579999998</v>
      </c>
      <c r="AR294" s="14">
        <v>52823857.210000001</v>
      </c>
      <c r="AS294" s="14">
        <v>170095.39</v>
      </c>
      <c r="AT294" s="14">
        <v>156212.06</v>
      </c>
      <c r="AU294" s="16">
        <f t="shared" si="41"/>
        <v>1679149.6900000027</v>
      </c>
      <c r="AV294" s="13" t="str">
        <f t="shared" si="42"/>
        <v>SIM</v>
      </c>
      <c r="AW294" s="13" t="str">
        <f t="shared" si="43"/>
        <v>VER CAPITAL</v>
      </c>
      <c r="AX294" s="13" t="str">
        <f t="shared" si="44"/>
        <v>OK</v>
      </c>
    </row>
    <row r="295" spans="1:50" x14ac:dyDescent="0.3">
      <c r="A295" s="10" t="s">
        <v>1343</v>
      </c>
      <c r="B295" t="s">
        <v>1614</v>
      </c>
      <c r="C295" t="s">
        <v>1348</v>
      </c>
      <c r="D295" t="s">
        <v>1349</v>
      </c>
      <c r="E295" t="s">
        <v>70</v>
      </c>
      <c r="F295" t="s">
        <v>224</v>
      </c>
      <c r="G295" t="s">
        <v>60</v>
      </c>
      <c r="H295" t="s">
        <v>49</v>
      </c>
      <c r="I295" t="s">
        <v>50</v>
      </c>
      <c r="J295" t="s">
        <v>51</v>
      </c>
      <c r="K295" t="s">
        <v>51</v>
      </c>
      <c r="L295" t="s">
        <v>134</v>
      </c>
      <c r="M295">
        <v>14</v>
      </c>
      <c r="N295" s="11" t="str">
        <f t="shared" si="36"/>
        <v>OK</v>
      </c>
      <c r="O295" t="s">
        <v>54</v>
      </c>
      <c r="P295" t="s">
        <v>54</v>
      </c>
      <c r="Q295" t="s">
        <v>54</v>
      </c>
      <c r="R295" t="str">
        <f>VLOOKUP($D295,[1]Rascunho!$E$2:$S$296,15,FALSE)</f>
        <v>https://www.to.gov.br/mineratins/</v>
      </c>
      <c r="S295" s="12">
        <v>1137726.8400000001</v>
      </c>
      <c r="T295" s="12">
        <v>493323.26</v>
      </c>
      <c r="U295" s="13" t="str">
        <f t="shared" si="37"/>
        <v>OK</v>
      </c>
      <c r="V295" s="14">
        <v>886622.38</v>
      </c>
      <c r="W295" s="14">
        <v>0</v>
      </c>
      <c r="X295" t="s">
        <v>51</v>
      </c>
      <c r="Y295" s="14">
        <v>25200</v>
      </c>
      <c r="Z295" s="14">
        <v>0</v>
      </c>
      <c r="AA295" s="14">
        <v>0</v>
      </c>
      <c r="AB295" s="14">
        <v>-46444.02</v>
      </c>
      <c r="AC295" s="13" t="str">
        <f t="shared" si="38"/>
        <v>OK</v>
      </c>
      <c r="AD295" s="14">
        <v>1614284.64</v>
      </c>
      <c r="AE295" s="14" t="e">
        <v>#VALUE!</v>
      </c>
      <c r="AF295" s="14">
        <v>0</v>
      </c>
      <c r="AG295" s="14">
        <v>0</v>
      </c>
      <c r="AH295" s="14">
        <v>0</v>
      </c>
      <c r="AI295" s="13" t="str">
        <f t="shared" si="39"/>
        <v>OK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5">
        <f t="shared" si="40"/>
        <v>0</v>
      </c>
      <c r="AQ295" s="14">
        <v>8406415.0199999996</v>
      </c>
      <c r="AR295" s="14">
        <v>8406415.0199999996</v>
      </c>
      <c r="AS295" s="14">
        <v>31593584.98</v>
      </c>
      <c r="AT295" s="14">
        <v>31593584.98</v>
      </c>
      <c r="AU295" s="16">
        <f t="shared" si="41"/>
        <v>31593584.98</v>
      </c>
      <c r="AV295" s="13" t="str">
        <f t="shared" si="42"/>
        <v>SIM</v>
      </c>
      <c r="AW295" s="13" t="str">
        <f t="shared" si="43"/>
        <v>OK</v>
      </c>
      <c r="AX295" s="13" t="str">
        <f t="shared" si="44"/>
        <v>OK</v>
      </c>
    </row>
    <row r="296" spans="1:50" x14ac:dyDescent="0.3">
      <c r="A296" s="10" t="s">
        <v>1343</v>
      </c>
      <c r="B296" t="s">
        <v>1615</v>
      </c>
      <c r="C296" t="s">
        <v>1351</v>
      </c>
      <c r="D296" t="s">
        <v>1352</v>
      </c>
      <c r="E296" t="s">
        <v>46</v>
      </c>
      <c r="F296" t="s">
        <v>93</v>
      </c>
      <c r="G296" t="s">
        <v>60</v>
      </c>
      <c r="H296" t="s">
        <v>49</v>
      </c>
      <c r="I296" t="s">
        <v>50</v>
      </c>
      <c r="J296" t="s">
        <v>51</v>
      </c>
      <c r="K296" t="s">
        <v>51</v>
      </c>
      <c r="L296" t="s">
        <v>134</v>
      </c>
      <c r="M296">
        <v>86</v>
      </c>
      <c r="N296" s="11" t="str">
        <f t="shared" si="36"/>
        <v>OK</v>
      </c>
      <c r="O296" t="s">
        <v>54</v>
      </c>
      <c r="P296" t="s">
        <v>54</v>
      </c>
      <c r="Q296" t="s">
        <v>54</v>
      </c>
      <c r="R296" t="str">
        <f>VLOOKUP($D296,[1]Rascunho!$E$2:$S$296,15,FALSE)</f>
        <v>https://www.to.gov.br/tocantinsparcerias</v>
      </c>
      <c r="S296" s="12">
        <v>70209312.920000002</v>
      </c>
      <c r="T296" s="12">
        <v>10149687.810000001</v>
      </c>
      <c r="U296" s="13" t="str">
        <f t="shared" si="37"/>
        <v>OK</v>
      </c>
      <c r="V296" s="14">
        <v>14250952.470000001</v>
      </c>
      <c r="W296" s="14">
        <v>768748.33</v>
      </c>
      <c r="X296" t="s">
        <v>54</v>
      </c>
      <c r="Y296" s="14">
        <v>279802.33</v>
      </c>
      <c r="Z296" s="14">
        <v>3063169.01</v>
      </c>
      <c r="AA296" s="14">
        <v>0</v>
      </c>
      <c r="AB296" s="14">
        <v>5209471.58</v>
      </c>
      <c r="AC296" s="13" t="str">
        <f t="shared" si="38"/>
        <v>OK</v>
      </c>
      <c r="AD296" s="14">
        <v>60481397.32</v>
      </c>
      <c r="AE296" s="14" t="e">
        <v>#VALUE!</v>
      </c>
      <c r="AF296" s="14">
        <v>0</v>
      </c>
      <c r="AG296" s="14">
        <v>0</v>
      </c>
      <c r="AH296" s="14">
        <v>0</v>
      </c>
      <c r="AI296" s="13" t="str">
        <f t="shared" si="39"/>
        <v>OK</v>
      </c>
      <c r="AJ296" s="14">
        <v>0</v>
      </c>
      <c r="AK296" s="14">
        <v>0</v>
      </c>
      <c r="AL296" s="14">
        <v>3908800</v>
      </c>
      <c r="AM296" s="14">
        <v>0</v>
      </c>
      <c r="AN296" s="14">
        <v>33774167.920000002</v>
      </c>
      <c r="AO296" s="14">
        <v>3792629.46</v>
      </c>
      <c r="AP296" s="15">
        <f t="shared" si="40"/>
        <v>-29981538.460000001</v>
      </c>
      <c r="AQ296" s="14">
        <v>33888437.149999999</v>
      </c>
      <c r="AR296" s="14">
        <v>33888437.149999999</v>
      </c>
      <c r="AS296" s="14">
        <v>35000000</v>
      </c>
      <c r="AT296" s="14">
        <v>35000000</v>
      </c>
      <c r="AU296" s="16">
        <f t="shared" si="41"/>
        <v>35000000</v>
      </c>
      <c r="AV296" s="13" t="str">
        <f t="shared" si="42"/>
        <v>SIM</v>
      </c>
      <c r="AW296" s="13" t="str">
        <f t="shared" si="43"/>
        <v>OK</v>
      </c>
      <c r="AX296" s="13" t="str">
        <f t="shared" si="44"/>
        <v>OK</v>
      </c>
    </row>
  </sheetData>
  <protectedRanges>
    <protectedRange sqref="R2:R296" name="Range2"/>
  </protectedRanges>
  <autoFilter ref="A1:AX296" xr:uid="{3FF0E059-A6D9-4B7A-BE93-16AC422FEEDC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996A-4DDE-4959-877B-82CC5AC73B7A}">
  <dimension ref="A1:Y303"/>
  <sheetViews>
    <sheetView workbookViewId="0"/>
  </sheetViews>
  <sheetFormatPr defaultRowHeight="14.4" x14ac:dyDescent="0.3"/>
  <cols>
    <col min="4" max="4" width="35.109375" customWidth="1"/>
    <col min="8" max="8" width="12.44140625" bestFit="1" customWidth="1"/>
    <col min="9" max="9" width="12.5546875" bestFit="1" customWidth="1"/>
  </cols>
  <sheetData>
    <row r="1" spans="1:25" x14ac:dyDescent="0.3">
      <c r="A1" t="s">
        <v>1674</v>
      </c>
    </row>
    <row r="3" spans="1:25" x14ac:dyDescent="0.3">
      <c r="C3">
        <v>2024</v>
      </c>
      <c r="K3">
        <v>2023</v>
      </c>
      <c r="W3">
        <v>2023</v>
      </c>
    </row>
    <row r="5" spans="1:25" x14ac:dyDescent="0.3">
      <c r="B5">
        <f>COUNTIF($N$6:$N$303,F5)</f>
        <v>0</v>
      </c>
      <c r="C5" s="17" t="s">
        <v>0</v>
      </c>
      <c r="D5" s="17" t="s">
        <v>1</v>
      </c>
      <c r="E5" s="17" t="s">
        <v>2</v>
      </c>
      <c r="F5" s="17" t="s">
        <v>3</v>
      </c>
      <c r="J5">
        <f>COUNTIF($F$6:$F$303,N5)</f>
        <v>0</v>
      </c>
      <c r="K5" s="18" t="s">
        <v>0</v>
      </c>
      <c r="L5" s="18" t="s">
        <v>1</v>
      </c>
      <c r="M5" s="18" t="s">
        <v>2</v>
      </c>
      <c r="N5" s="18" t="s">
        <v>3</v>
      </c>
      <c r="W5" s="18" t="s">
        <v>0</v>
      </c>
      <c r="X5" s="18" t="s">
        <v>1</v>
      </c>
      <c r="Y5" s="18" t="s">
        <v>2</v>
      </c>
    </row>
    <row r="6" spans="1:25" x14ac:dyDescent="0.3">
      <c r="B6" s="11">
        <v>0</v>
      </c>
      <c r="C6" t="s">
        <v>330</v>
      </c>
      <c r="D6" t="s">
        <v>386</v>
      </c>
      <c r="E6" t="s">
        <v>387</v>
      </c>
      <c r="F6" t="s">
        <v>388</v>
      </c>
      <c r="G6">
        <f t="shared" ref="G6:G69" si="0">IF(F6=N6,1,0)</f>
        <v>0</v>
      </c>
      <c r="H6" t="s">
        <v>1616</v>
      </c>
      <c r="I6" t="s">
        <v>1617</v>
      </c>
      <c r="J6" s="11">
        <v>0</v>
      </c>
      <c r="K6" s="19" t="s">
        <v>1292</v>
      </c>
      <c r="L6" t="s">
        <v>1609</v>
      </c>
      <c r="M6" t="s">
        <v>1610</v>
      </c>
      <c r="N6" t="s">
        <v>1611</v>
      </c>
      <c r="W6" s="19" t="s">
        <v>1292</v>
      </c>
      <c r="X6" t="s">
        <v>1609</v>
      </c>
      <c r="Y6" t="s">
        <v>1610</v>
      </c>
    </row>
    <row r="7" spans="1:25" x14ac:dyDescent="0.3">
      <c r="B7" s="11">
        <v>0</v>
      </c>
      <c r="C7" t="s">
        <v>439</v>
      </c>
      <c r="D7" t="s">
        <v>468</v>
      </c>
      <c r="E7" t="s">
        <v>469</v>
      </c>
      <c r="F7" t="s">
        <v>470</v>
      </c>
      <c r="G7">
        <f t="shared" si="0"/>
        <v>0</v>
      </c>
      <c r="H7" t="s">
        <v>1616</v>
      </c>
      <c r="I7" t="s">
        <v>1617</v>
      </c>
      <c r="J7" s="11">
        <v>0</v>
      </c>
      <c r="K7" s="19" t="s">
        <v>1292</v>
      </c>
      <c r="L7" t="s">
        <v>1602</v>
      </c>
      <c r="M7" t="s">
        <v>1603</v>
      </c>
      <c r="N7" t="s">
        <v>1604</v>
      </c>
      <c r="W7" s="19" t="s">
        <v>1292</v>
      </c>
      <c r="X7" t="s">
        <v>1602</v>
      </c>
      <c r="Y7" t="s">
        <v>1603</v>
      </c>
    </row>
    <row r="8" spans="1:25" x14ac:dyDescent="0.3">
      <c r="B8" s="11">
        <v>0</v>
      </c>
      <c r="C8" t="s">
        <v>473</v>
      </c>
      <c r="D8" t="s">
        <v>505</v>
      </c>
      <c r="E8" t="s">
        <v>506</v>
      </c>
      <c r="F8" t="s">
        <v>507</v>
      </c>
      <c r="G8">
        <f t="shared" si="0"/>
        <v>0</v>
      </c>
      <c r="H8" t="s">
        <v>1616</v>
      </c>
    </row>
    <row r="9" spans="1:25" x14ac:dyDescent="0.3">
      <c r="B9" s="11">
        <v>0</v>
      </c>
      <c r="C9" t="s">
        <v>887</v>
      </c>
      <c r="D9" t="s">
        <v>917</v>
      </c>
      <c r="E9" t="s">
        <v>918</v>
      </c>
      <c r="F9" t="s">
        <v>919</v>
      </c>
      <c r="G9">
        <f t="shared" si="0"/>
        <v>0</v>
      </c>
      <c r="H9" t="s">
        <v>1616</v>
      </c>
    </row>
    <row r="10" spans="1:25" x14ac:dyDescent="0.3">
      <c r="B10" s="11">
        <v>0</v>
      </c>
      <c r="C10" t="s">
        <v>887</v>
      </c>
      <c r="D10" t="s">
        <v>921</v>
      </c>
      <c r="E10" t="s">
        <v>922</v>
      </c>
      <c r="F10" t="s">
        <v>923</v>
      </c>
      <c r="G10">
        <f t="shared" si="0"/>
        <v>0</v>
      </c>
      <c r="H10" t="s">
        <v>1616</v>
      </c>
    </row>
    <row r="11" spans="1:25" x14ac:dyDescent="0.3">
      <c r="B11">
        <f t="shared" ref="B11:B74" si="1">COUNTIF($N$6:$N$303,F11)</f>
        <v>1</v>
      </c>
      <c r="C11" t="s">
        <v>330</v>
      </c>
      <c r="D11" t="s">
        <v>370</v>
      </c>
      <c r="E11" t="s">
        <v>371</v>
      </c>
      <c r="F11" t="s">
        <v>372</v>
      </c>
      <c r="G11">
        <f t="shared" si="0"/>
        <v>1</v>
      </c>
      <c r="J11">
        <f t="shared" ref="J11:J74" si="2">COUNTIF($F$6:$F$303,N11)</f>
        <v>1</v>
      </c>
      <c r="K11" s="19" t="s">
        <v>330</v>
      </c>
      <c r="L11" t="s">
        <v>370</v>
      </c>
      <c r="M11" t="s">
        <v>371</v>
      </c>
      <c r="N11" t="s">
        <v>372</v>
      </c>
      <c r="W11" s="19" t="s">
        <v>330</v>
      </c>
      <c r="X11" t="s">
        <v>370</v>
      </c>
      <c r="Y11" t="s">
        <v>371</v>
      </c>
    </row>
    <row r="12" spans="1:25" x14ac:dyDescent="0.3">
      <c r="B12">
        <f t="shared" si="1"/>
        <v>1</v>
      </c>
      <c r="C12" t="s">
        <v>330</v>
      </c>
      <c r="D12" t="s">
        <v>360</v>
      </c>
      <c r="E12" t="s">
        <v>361</v>
      </c>
      <c r="F12" t="s">
        <v>362</v>
      </c>
      <c r="G12">
        <f t="shared" si="0"/>
        <v>1</v>
      </c>
      <c r="J12">
        <f t="shared" si="2"/>
        <v>1</v>
      </c>
      <c r="K12" s="19" t="s">
        <v>330</v>
      </c>
      <c r="L12" t="s">
        <v>360</v>
      </c>
      <c r="M12" t="s">
        <v>361</v>
      </c>
      <c r="N12" t="s">
        <v>362</v>
      </c>
      <c r="W12" s="19" t="s">
        <v>330</v>
      </c>
      <c r="X12" t="s">
        <v>360</v>
      </c>
      <c r="Y12" t="s">
        <v>361</v>
      </c>
    </row>
    <row r="13" spans="1:25" x14ac:dyDescent="0.3">
      <c r="B13">
        <f t="shared" si="1"/>
        <v>1</v>
      </c>
      <c r="C13" t="s">
        <v>330</v>
      </c>
      <c r="D13" t="s">
        <v>356</v>
      </c>
      <c r="E13" t="s">
        <v>357</v>
      </c>
      <c r="F13" t="s">
        <v>358</v>
      </c>
      <c r="G13">
        <f t="shared" si="0"/>
        <v>1</v>
      </c>
      <c r="J13">
        <f t="shared" si="2"/>
        <v>1</v>
      </c>
      <c r="K13" s="19" t="s">
        <v>330</v>
      </c>
      <c r="L13" t="s">
        <v>356</v>
      </c>
      <c r="M13" t="s">
        <v>357</v>
      </c>
      <c r="N13" t="s">
        <v>358</v>
      </c>
      <c r="W13" s="19" t="s">
        <v>330</v>
      </c>
      <c r="X13" t="s">
        <v>356</v>
      </c>
      <c r="Y13" t="s">
        <v>357</v>
      </c>
    </row>
    <row r="14" spans="1:25" x14ac:dyDescent="0.3">
      <c r="B14">
        <f t="shared" si="1"/>
        <v>1</v>
      </c>
      <c r="C14" t="s">
        <v>330</v>
      </c>
      <c r="D14" t="s">
        <v>352</v>
      </c>
      <c r="E14" t="s">
        <v>353</v>
      </c>
      <c r="F14" t="s">
        <v>354</v>
      </c>
      <c r="G14">
        <f t="shared" si="0"/>
        <v>1</v>
      </c>
      <c r="J14">
        <f t="shared" si="2"/>
        <v>1</v>
      </c>
      <c r="K14" s="19" t="s">
        <v>330</v>
      </c>
      <c r="L14" t="s">
        <v>352</v>
      </c>
      <c r="M14" t="s">
        <v>353</v>
      </c>
      <c r="N14" t="s">
        <v>354</v>
      </c>
      <c r="W14" s="19" t="s">
        <v>330</v>
      </c>
      <c r="X14" t="s">
        <v>352</v>
      </c>
      <c r="Y14" t="s">
        <v>353</v>
      </c>
    </row>
    <row r="15" spans="1:25" x14ac:dyDescent="0.3">
      <c r="B15">
        <f t="shared" si="1"/>
        <v>1</v>
      </c>
      <c r="C15" t="s">
        <v>330</v>
      </c>
      <c r="D15" t="s">
        <v>331</v>
      </c>
      <c r="E15" t="s">
        <v>332</v>
      </c>
      <c r="F15" t="s">
        <v>333</v>
      </c>
      <c r="G15">
        <f t="shared" si="0"/>
        <v>1</v>
      </c>
      <c r="J15">
        <f t="shared" si="2"/>
        <v>1</v>
      </c>
      <c r="K15" s="19" t="s">
        <v>330</v>
      </c>
      <c r="L15" t="s">
        <v>331</v>
      </c>
      <c r="M15" t="s">
        <v>332</v>
      </c>
      <c r="N15" t="s">
        <v>333</v>
      </c>
      <c r="W15" s="19" t="s">
        <v>330</v>
      </c>
      <c r="X15" t="s">
        <v>331</v>
      </c>
      <c r="Y15" t="s">
        <v>332</v>
      </c>
    </row>
    <row r="16" spans="1:25" x14ac:dyDescent="0.3">
      <c r="B16">
        <f t="shared" si="1"/>
        <v>1</v>
      </c>
      <c r="C16" t="s">
        <v>330</v>
      </c>
      <c r="D16" t="s">
        <v>406</v>
      </c>
      <c r="E16" t="s">
        <v>407</v>
      </c>
      <c r="F16" t="s">
        <v>408</v>
      </c>
      <c r="G16">
        <f t="shared" si="0"/>
        <v>1</v>
      </c>
      <c r="J16">
        <f t="shared" si="2"/>
        <v>1</v>
      </c>
      <c r="K16" s="19" t="s">
        <v>330</v>
      </c>
      <c r="L16" t="s">
        <v>406</v>
      </c>
      <c r="M16" t="s">
        <v>407</v>
      </c>
      <c r="N16" t="s">
        <v>408</v>
      </c>
      <c r="W16" s="19" t="s">
        <v>330</v>
      </c>
      <c r="X16" t="s">
        <v>406</v>
      </c>
      <c r="Y16" t="s">
        <v>407</v>
      </c>
    </row>
    <row r="17" spans="2:25" x14ac:dyDescent="0.3">
      <c r="B17">
        <f t="shared" si="1"/>
        <v>1</v>
      </c>
      <c r="C17" t="s">
        <v>330</v>
      </c>
      <c r="D17" t="s">
        <v>397</v>
      </c>
      <c r="E17" t="s">
        <v>398</v>
      </c>
      <c r="F17" t="s">
        <v>399</v>
      </c>
      <c r="G17">
        <f t="shared" si="0"/>
        <v>1</v>
      </c>
      <c r="J17">
        <f t="shared" si="2"/>
        <v>1</v>
      </c>
      <c r="K17" s="19" t="s">
        <v>330</v>
      </c>
      <c r="L17" t="s">
        <v>397</v>
      </c>
      <c r="M17" t="s">
        <v>398</v>
      </c>
      <c r="N17" t="s">
        <v>399</v>
      </c>
      <c r="W17" s="19" t="s">
        <v>330</v>
      </c>
      <c r="X17" t="s">
        <v>397</v>
      </c>
      <c r="Y17" t="s">
        <v>398</v>
      </c>
    </row>
    <row r="18" spans="2:25" x14ac:dyDescent="0.3">
      <c r="B18">
        <f t="shared" si="1"/>
        <v>1</v>
      </c>
      <c r="C18" t="s">
        <v>1180</v>
      </c>
      <c r="D18" t="s">
        <v>1226</v>
      </c>
      <c r="E18" t="s">
        <v>1227</v>
      </c>
      <c r="F18" t="s">
        <v>1228</v>
      </c>
      <c r="G18">
        <f t="shared" si="0"/>
        <v>1</v>
      </c>
      <c r="J18">
        <f t="shared" si="2"/>
        <v>1</v>
      </c>
      <c r="K18" s="19" t="s">
        <v>1180</v>
      </c>
      <c r="L18" t="s">
        <v>1585</v>
      </c>
      <c r="M18" t="s">
        <v>1227</v>
      </c>
      <c r="N18" t="s">
        <v>1228</v>
      </c>
      <c r="W18" s="19" t="s">
        <v>1180</v>
      </c>
      <c r="X18" t="s">
        <v>1585</v>
      </c>
      <c r="Y18" t="s">
        <v>1227</v>
      </c>
    </row>
    <row r="19" spans="2:25" x14ac:dyDescent="0.3">
      <c r="B19">
        <f t="shared" si="1"/>
        <v>1</v>
      </c>
      <c r="C19" t="s">
        <v>330</v>
      </c>
      <c r="D19" t="s">
        <v>402</v>
      </c>
      <c r="E19" t="s">
        <v>403</v>
      </c>
      <c r="F19" t="s">
        <v>404</v>
      </c>
      <c r="G19">
        <f t="shared" si="0"/>
        <v>1</v>
      </c>
      <c r="J19">
        <f t="shared" si="2"/>
        <v>1</v>
      </c>
      <c r="K19" s="19" t="s">
        <v>330</v>
      </c>
      <c r="L19" t="s">
        <v>402</v>
      </c>
      <c r="M19" t="s">
        <v>403</v>
      </c>
      <c r="N19" t="s">
        <v>404</v>
      </c>
      <c r="W19" s="19" t="s">
        <v>330</v>
      </c>
      <c r="X19" t="s">
        <v>402</v>
      </c>
      <c r="Y19" t="s">
        <v>403</v>
      </c>
    </row>
    <row r="20" spans="2:25" x14ac:dyDescent="0.3">
      <c r="B20">
        <f t="shared" si="1"/>
        <v>1</v>
      </c>
      <c r="C20" t="s">
        <v>330</v>
      </c>
      <c r="D20" t="s">
        <v>431</v>
      </c>
      <c r="E20" t="s">
        <v>431</v>
      </c>
      <c r="F20" t="s">
        <v>432</v>
      </c>
      <c r="G20">
        <f t="shared" si="0"/>
        <v>1</v>
      </c>
      <c r="J20">
        <f t="shared" si="2"/>
        <v>1</v>
      </c>
      <c r="K20" s="19" t="s">
        <v>330</v>
      </c>
      <c r="L20" t="s">
        <v>431</v>
      </c>
      <c r="M20" t="s">
        <v>431</v>
      </c>
      <c r="N20" t="s">
        <v>432</v>
      </c>
      <c r="W20" s="19" t="s">
        <v>330</v>
      </c>
      <c r="X20" t="s">
        <v>431</v>
      </c>
      <c r="Y20" t="s">
        <v>431</v>
      </c>
    </row>
    <row r="21" spans="2:25" x14ac:dyDescent="0.3">
      <c r="B21">
        <f t="shared" si="1"/>
        <v>1</v>
      </c>
      <c r="C21" t="s">
        <v>330</v>
      </c>
      <c r="D21" t="s">
        <v>434</v>
      </c>
      <c r="E21" t="s">
        <v>435</v>
      </c>
      <c r="F21" t="s">
        <v>436</v>
      </c>
      <c r="G21">
        <f t="shared" si="0"/>
        <v>1</v>
      </c>
      <c r="J21">
        <f t="shared" si="2"/>
        <v>1</v>
      </c>
      <c r="K21" s="19" t="s">
        <v>330</v>
      </c>
      <c r="L21" t="s">
        <v>434</v>
      </c>
      <c r="M21" t="s">
        <v>435</v>
      </c>
      <c r="N21" t="s">
        <v>436</v>
      </c>
      <c r="W21" s="19" t="s">
        <v>330</v>
      </c>
      <c r="X21" t="s">
        <v>434</v>
      </c>
      <c r="Y21" t="s">
        <v>435</v>
      </c>
    </row>
    <row r="22" spans="2:25" x14ac:dyDescent="0.3">
      <c r="B22">
        <f t="shared" si="1"/>
        <v>1</v>
      </c>
      <c r="C22" t="s">
        <v>756</v>
      </c>
      <c r="D22" t="s">
        <v>809</v>
      </c>
      <c r="E22" t="s">
        <v>810</v>
      </c>
      <c r="F22" t="s">
        <v>811</v>
      </c>
      <c r="G22">
        <f t="shared" si="0"/>
        <v>1</v>
      </c>
      <c r="J22">
        <f t="shared" si="2"/>
        <v>1</v>
      </c>
      <c r="K22" s="19" t="s">
        <v>756</v>
      </c>
      <c r="L22" t="s">
        <v>809</v>
      </c>
      <c r="M22" t="s">
        <v>810</v>
      </c>
      <c r="N22" t="s">
        <v>811</v>
      </c>
      <c r="W22" s="19" t="s">
        <v>756</v>
      </c>
      <c r="X22" t="s">
        <v>809</v>
      </c>
      <c r="Y22" t="s">
        <v>810</v>
      </c>
    </row>
    <row r="23" spans="2:25" x14ac:dyDescent="0.3">
      <c r="B23">
        <f t="shared" si="1"/>
        <v>1</v>
      </c>
      <c r="C23" t="s">
        <v>966</v>
      </c>
      <c r="D23" t="s">
        <v>999</v>
      </c>
      <c r="E23" t="s">
        <v>1000</v>
      </c>
      <c r="F23" t="s">
        <v>1001</v>
      </c>
      <c r="G23">
        <f t="shared" si="0"/>
        <v>1</v>
      </c>
      <c r="J23">
        <f t="shared" si="2"/>
        <v>1</v>
      </c>
      <c r="K23" s="19" t="s">
        <v>966</v>
      </c>
      <c r="L23" t="s">
        <v>1536</v>
      </c>
      <c r="M23" t="s">
        <v>1000</v>
      </c>
      <c r="N23" t="s">
        <v>1001</v>
      </c>
      <c r="W23" s="19" t="s">
        <v>966</v>
      </c>
      <c r="X23" t="s">
        <v>1536</v>
      </c>
      <c r="Y23" t="s">
        <v>1000</v>
      </c>
    </row>
    <row r="24" spans="2:25" x14ac:dyDescent="0.3">
      <c r="B24">
        <f t="shared" si="1"/>
        <v>1</v>
      </c>
      <c r="C24" t="s">
        <v>330</v>
      </c>
      <c r="D24" t="s">
        <v>338</v>
      </c>
      <c r="E24" t="s">
        <v>339</v>
      </c>
      <c r="F24" t="s">
        <v>340</v>
      </c>
      <c r="G24">
        <f t="shared" si="0"/>
        <v>1</v>
      </c>
      <c r="J24">
        <f t="shared" si="2"/>
        <v>1</v>
      </c>
      <c r="K24" s="19" t="s">
        <v>330</v>
      </c>
      <c r="L24" t="s">
        <v>338</v>
      </c>
      <c r="M24" t="s">
        <v>339</v>
      </c>
      <c r="N24" t="s">
        <v>340</v>
      </c>
      <c r="W24" s="19" t="s">
        <v>330</v>
      </c>
      <c r="X24" t="s">
        <v>338</v>
      </c>
      <c r="Y24" t="s">
        <v>339</v>
      </c>
    </row>
    <row r="25" spans="2:25" x14ac:dyDescent="0.3">
      <c r="B25">
        <f t="shared" si="1"/>
        <v>1</v>
      </c>
      <c r="C25" t="s">
        <v>153</v>
      </c>
      <c r="D25" t="s">
        <v>165</v>
      </c>
      <c r="E25" t="s">
        <v>166</v>
      </c>
      <c r="F25" t="s">
        <v>167</v>
      </c>
      <c r="G25">
        <f t="shared" si="0"/>
        <v>1</v>
      </c>
      <c r="J25">
        <f t="shared" si="2"/>
        <v>1</v>
      </c>
      <c r="K25" s="19" t="s">
        <v>153</v>
      </c>
      <c r="L25" t="s">
        <v>1401</v>
      </c>
      <c r="M25" t="s">
        <v>166</v>
      </c>
      <c r="N25" t="s">
        <v>167</v>
      </c>
      <c r="W25" s="19" t="s">
        <v>153</v>
      </c>
      <c r="X25" t="s">
        <v>1401</v>
      </c>
      <c r="Y25" t="s">
        <v>166</v>
      </c>
    </row>
    <row r="26" spans="2:25" x14ac:dyDescent="0.3">
      <c r="B26">
        <f t="shared" si="1"/>
        <v>1</v>
      </c>
      <c r="C26" t="s">
        <v>153</v>
      </c>
      <c r="D26" t="s">
        <v>185</v>
      </c>
      <c r="E26" t="s">
        <v>186</v>
      </c>
      <c r="F26" t="s">
        <v>187</v>
      </c>
      <c r="G26">
        <f t="shared" si="0"/>
        <v>1</v>
      </c>
      <c r="J26">
        <f t="shared" si="2"/>
        <v>1</v>
      </c>
      <c r="K26" s="19" t="s">
        <v>153</v>
      </c>
      <c r="L26" t="s">
        <v>1402</v>
      </c>
      <c r="M26" t="s">
        <v>1403</v>
      </c>
      <c r="N26" t="s">
        <v>187</v>
      </c>
      <c r="W26" s="19" t="s">
        <v>153</v>
      </c>
      <c r="X26" t="s">
        <v>1402</v>
      </c>
      <c r="Y26" t="s">
        <v>1403</v>
      </c>
    </row>
    <row r="27" spans="2:25" x14ac:dyDescent="0.3">
      <c r="B27">
        <f t="shared" si="1"/>
        <v>1</v>
      </c>
      <c r="C27" t="s">
        <v>1180</v>
      </c>
      <c r="D27" t="s">
        <v>1229</v>
      </c>
      <c r="E27" t="s">
        <v>1230</v>
      </c>
      <c r="F27" t="s">
        <v>1231</v>
      </c>
      <c r="G27">
        <f t="shared" si="0"/>
        <v>1</v>
      </c>
      <c r="J27">
        <f t="shared" si="2"/>
        <v>1</v>
      </c>
      <c r="K27" s="19" t="s">
        <v>1180</v>
      </c>
      <c r="L27" t="s">
        <v>1229</v>
      </c>
      <c r="M27" t="s">
        <v>1230</v>
      </c>
      <c r="N27" t="s">
        <v>1231</v>
      </c>
      <c r="W27" s="19" t="s">
        <v>1180</v>
      </c>
      <c r="X27" t="s">
        <v>1229</v>
      </c>
      <c r="Y27" t="s">
        <v>1230</v>
      </c>
    </row>
    <row r="28" spans="2:25" x14ac:dyDescent="0.3">
      <c r="B28">
        <f t="shared" si="1"/>
        <v>1</v>
      </c>
      <c r="C28" t="s">
        <v>1134</v>
      </c>
      <c r="D28" t="s">
        <v>1149</v>
      </c>
      <c r="E28" t="s">
        <v>1150</v>
      </c>
      <c r="F28" t="s">
        <v>1151</v>
      </c>
      <c r="G28">
        <f t="shared" si="0"/>
        <v>1</v>
      </c>
      <c r="J28">
        <f t="shared" si="2"/>
        <v>1</v>
      </c>
      <c r="K28" s="19" t="s">
        <v>1134</v>
      </c>
      <c r="L28" t="s">
        <v>1569</v>
      </c>
      <c r="M28" t="s">
        <v>1150</v>
      </c>
      <c r="N28" t="s">
        <v>1151</v>
      </c>
      <c r="W28" s="19" t="s">
        <v>1134</v>
      </c>
      <c r="X28" t="s">
        <v>1569</v>
      </c>
      <c r="Y28" t="s">
        <v>1150</v>
      </c>
    </row>
    <row r="29" spans="2:25" x14ac:dyDescent="0.3">
      <c r="B29">
        <f t="shared" si="1"/>
        <v>1</v>
      </c>
      <c r="C29" t="s">
        <v>473</v>
      </c>
      <c r="D29" t="s">
        <v>496</v>
      </c>
      <c r="E29" t="s">
        <v>497</v>
      </c>
      <c r="F29" t="s">
        <v>498</v>
      </c>
      <c r="G29">
        <f t="shared" si="0"/>
        <v>1</v>
      </c>
      <c r="J29">
        <f t="shared" si="2"/>
        <v>1</v>
      </c>
      <c r="K29" s="19" t="s">
        <v>473</v>
      </c>
      <c r="L29" t="s">
        <v>496</v>
      </c>
      <c r="M29" t="s">
        <v>497</v>
      </c>
      <c r="N29" t="s">
        <v>498</v>
      </c>
      <c r="W29" s="19" t="s">
        <v>473</v>
      </c>
      <c r="X29" t="s">
        <v>496</v>
      </c>
      <c r="Y29" t="s">
        <v>497</v>
      </c>
    </row>
    <row r="30" spans="2:25" x14ac:dyDescent="0.3">
      <c r="B30">
        <f t="shared" si="1"/>
        <v>1</v>
      </c>
      <c r="C30" t="s">
        <v>275</v>
      </c>
      <c r="D30" t="s">
        <v>311</v>
      </c>
      <c r="E30" t="s">
        <v>312</v>
      </c>
      <c r="F30" t="s">
        <v>313</v>
      </c>
      <c r="G30">
        <f t="shared" si="0"/>
        <v>1</v>
      </c>
      <c r="J30">
        <f t="shared" si="2"/>
        <v>1</v>
      </c>
      <c r="K30" s="19" t="s">
        <v>275</v>
      </c>
      <c r="L30" t="s">
        <v>1425</v>
      </c>
      <c r="M30" t="s">
        <v>312</v>
      </c>
      <c r="N30" t="s">
        <v>313</v>
      </c>
      <c r="W30" s="19" t="s">
        <v>275</v>
      </c>
      <c r="X30" t="s">
        <v>1425</v>
      </c>
      <c r="Y30" t="s">
        <v>312</v>
      </c>
    </row>
    <row r="31" spans="2:25" x14ac:dyDescent="0.3">
      <c r="B31">
        <f t="shared" si="1"/>
        <v>1</v>
      </c>
      <c r="C31" t="s">
        <v>473</v>
      </c>
      <c r="D31" t="s">
        <v>474</v>
      </c>
      <c r="E31" t="s">
        <v>475</v>
      </c>
      <c r="F31" t="s">
        <v>476</v>
      </c>
      <c r="G31">
        <f t="shared" si="0"/>
        <v>1</v>
      </c>
      <c r="J31">
        <f t="shared" si="2"/>
        <v>1</v>
      </c>
      <c r="K31" s="19" t="s">
        <v>473</v>
      </c>
      <c r="L31" t="s">
        <v>474</v>
      </c>
      <c r="M31" t="s">
        <v>475</v>
      </c>
      <c r="N31" t="s">
        <v>476</v>
      </c>
      <c r="W31" s="19" t="s">
        <v>473</v>
      </c>
      <c r="X31" t="s">
        <v>474</v>
      </c>
      <c r="Y31" t="s">
        <v>475</v>
      </c>
    </row>
    <row r="32" spans="2:25" x14ac:dyDescent="0.3">
      <c r="B32">
        <f t="shared" si="1"/>
        <v>1</v>
      </c>
      <c r="C32" t="s">
        <v>473</v>
      </c>
      <c r="D32" t="s">
        <v>510</v>
      </c>
      <c r="E32" t="s">
        <v>511</v>
      </c>
      <c r="F32" t="s">
        <v>512</v>
      </c>
      <c r="G32">
        <f t="shared" si="0"/>
        <v>1</v>
      </c>
      <c r="J32">
        <f t="shared" si="2"/>
        <v>1</v>
      </c>
      <c r="K32" s="19" t="s">
        <v>473</v>
      </c>
      <c r="L32" t="s">
        <v>510</v>
      </c>
      <c r="M32" t="s">
        <v>511</v>
      </c>
      <c r="N32" t="s">
        <v>512</v>
      </c>
      <c r="W32" s="19" t="s">
        <v>473</v>
      </c>
      <c r="X32" t="s">
        <v>510</v>
      </c>
      <c r="Y32" t="s">
        <v>511</v>
      </c>
    </row>
    <row r="33" spans="2:25" x14ac:dyDescent="0.3">
      <c r="B33">
        <f t="shared" si="1"/>
        <v>1</v>
      </c>
      <c r="C33" t="s">
        <v>647</v>
      </c>
      <c r="D33" t="s">
        <v>658</v>
      </c>
      <c r="E33" t="s">
        <v>659</v>
      </c>
      <c r="F33" t="s">
        <v>660</v>
      </c>
      <c r="G33">
        <f t="shared" si="0"/>
        <v>1</v>
      </c>
      <c r="J33">
        <f t="shared" si="2"/>
        <v>1</v>
      </c>
      <c r="K33" s="19" t="s">
        <v>647</v>
      </c>
      <c r="L33" t="s">
        <v>1459</v>
      </c>
      <c r="M33" t="s">
        <v>659</v>
      </c>
      <c r="N33" t="s">
        <v>660</v>
      </c>
      <c r="W33" s="19" t="s">
        <v>647</v>
      </c>
      <c r="X33" t="s">
        <v>1459</v>
      </c>
      <c r="Y33" t="s">
        <v>659</v>
      </c>
    </row>
    <row r="34" spans="2:25" x14ac:dyDescent="0.3">
      <c r="B34">
        <f t="shared" si="1"/>
        <v>1</v>
      </c>
      <c r="C34" t="s">
        <v>473</v>
      </c>
      <c r="D34" t="s">
        <v>484</v>
      </c>
      <c r="E34" t="s">
        <v>485</v>
      </c>
      <c r="F34" t="s">
        <v>486</v>
      </c>
      <c r="G34">
        <f t="shared" si="0"/>
        <v>1</v>
      </c>
      <c r="J34">
        <f t="shared" si="2"/>
        <v>1</v>
      </c>
      <c r="K34" s="19" t="s">
        <v>473</v>
      </c>
      <c r="L34" t="s">
        <v>484</v>
      </c>
      <c r="M34" t="s">
        <v>485</v>
      </c>
      <c r="N34" t="s">
        <v>486</v>
      </c>
      <c r="W34" s="19" t="s">
        <v>473</v>
      </c>
      <c r="X34" t="s">
        <v>484</v>
      </c>
      <c r="Y34" t="s">
        <v>485</v>
      </c>
    </row>
    <row r="35" spans="2:25" x14ac:dyDescent="0.3">
      <c r="B35">
        <f t="shared" si="1"/>
        <v>1</v>
      </c>
      <c r="C35" t="s">
        <v>473</v>
      </c>
      <c r="D35" t="s">
        <v>493</v>
      </c>
      <c r="E35" t="s">
        <v>494</v>
      </c>
      <c r="F35" t="s">
        <v>495</v>
      </c>
      <c r="G35">
        <f t="shared" si="0"/>
        <v>1</v>
      </c>
      <c r="J35">
        <f t="shared" si="2"/>
        <v>1</v>
      </c>
      <c r="K35" s="19" t="s">
        <v>473</v>
      </c>
      <c r="L35" t="s">
        <v>493</v>
      </c>
      <c r="M35" t="s">
        <v>494</v>
      </c>
      <c r="N35" t="s">
        <v>495</v>
      </c>
      <c r="W35" s="19" t="s">
        <v>473</v>
      </c>
      <c r="X35" t="s">
        <v>493</v>
      </c>
      <c r="Y35" t="s">
        <v>494</v>
      </c>
    </row>
    <row r="36" spans="2:25" x14ac:dyDescent="0.3">
      <c r="B36">
        <f t="shared" si="1"/>
        <v>1</v>
      </c>
      <c r="C36" t="s">
        <v>473</v>
      </c>
      <c r="D36" t="s">
        <v>542</v>
      </c>
      <c r="E36" t="s">
        <v>543</v>
      </c>
      <c r="F36" t="s">
        <v>544</v>
      </c>
      <c r="G36">
        <f t="shared" si="0"/>
        <v>1</v>
      </c>
      <c r="J36">
        <f t="shared" si="2"/>
        <v>1</v>
      </c>
      <c r="K36" s="19" t="s">
        <v>473</v>
      </c>
      <c r="L36" t="s">
        <v>542</v>
      </c>
      <c r="M36" t="s">
        <v>543</v>
      </c>
      <c r="N36" t="s">
        <v>544</v>
      </c>
      <c r="W36" s="19" t="s">
        <v>473</v>
      </c>
      <c r="X36" t="s">
        <v>542</v>
      </c>
      <c r="Y36" t="s">
        <v>543</v>
      </c>
    </row>
    <row r="37" spans="2:25" x14ac:dyDescent="0.3">
      <c r="B37">
        <f t="shared" si="1"/>
        <v>1</v>
      </c>
      <c r="C37" t="s">
        <v>330</v>
      </c>
      <c r="D37" t="s">
        <v>392</v>
      </c>
      <c r="E37" t="s">
        <v>393</v>
      </c>
      <c r="F37" t="s">
        <v>394</v>
      </c>
      <c r="G37">
        <f t="shared" si="0"/>
        <v>1</v>
      </c>
      <c r="J37">
        <f t="shared" si="2"/>
        <v>1</v>
      </c>
      <c r="K37" s="19" t="s">
        <v>330</v>
      </c>
      <c r="L37" t="s">
        <v>392</v>
      </c>
      <c r="M37" t="s">
        <v>393</v>
      </c>
      <c r="N37" t="s">
        <v>394</v>
      </c>
      <c r="W37" s="19" t="s">
        <v>330</v>
      </c>
      <c r="X37" t="s">
        <v>392</v>
      </c>
      <c r="Y37" t="s">
        <v>393</v>
      </c>
    </row>
    <row r="38" spans="2:25" x14ac:dyDescent="0.3">
      <c r="B38">
        <f t="shared" si="1"/>
        <v>1</v>
      </c>
      <c r="C38" t="s">
        <v>275</v>
      </c>
      <c r="D38" t="s">
        <v>321</v>
      </c>
      <c r="E38" t="s">
        <v>322</v>
      </c>
      <c r="F38" t="s">
        <v>323</v>
      </c>
      <c r="G38">
        <f t="shared" si="0"/>
        <v>1</v>
      </c>
      <c r="J38">
        <f t="shared" si="2"/>
        <v>1</v>
      </c>
      <c r="K38" s="19" t="s">
        <v>275</v>
      </c>
      <c r="L38" t="s">
        <v>321</v>
      </c>
      <c r="M38" t="s">
        <v>322</v>
      </c>
      <c r="N38" t="s">
        <v>323</v>
      </c>
      <c r="W38" s="19" t="s">
        <v>275</v>
      </c>
      <c r="X38" t="s">
        <v>321</v>
      </c>
      <c r="Y38" t="s">
        <v>322</v>
      </c>
    </row>
    <row r="39" spans="2:25" x14ac:dyDescent="0.3">
      <c r="B39">
        <f t="shared" si="1"/>
        <v>1</v>
      </c>
      <c r="C39" t="s">
        <v>1086</v>
      </c>
      <c r="D39" t="s">
        <v>1108</v>
      </c>
      <c r="E39" t="s">
        <v>1109</v>
      </c>
      <c r="F39" t="s">
        <v>1110</v>
      </c>
      <c r="G39">
        <f t="shared" si="0"/>
        <v>1</v>
      </c>
      <c r="J39">
        <f t="shared" si="2"/>
        <v>1</v>
      </c>
      <c r="K39" s="19" t="s">
        <v>1086</v>
      </c>
      <c r="L39" t="s">
        <v>1559</v>
      </c>
      <c r="M39" t="s">
        <v>1109</v>
      </c>
      <c r="N39" t="s">
        <v>1110</v>
      </c>
      <c r="W39" s="19" t="s">
        <v>1086</v>
      </c>
      <c r="X39" t="s">
        <v>1559</v>
      </c>
      <c r="Y39" t="s">
        <v>1109</v>
      </c>
    </row>
    <row r="40" spans="2:25" x14ac:dyDescent="0.3">
      <c r="B40">
        <f t="shared" si="1"/>
        <v>1</v>
      </c>
      <c r="C40" t="s">
        <v>756</v>
      </c>
      <c r="D40" t="s">
        <v>801</v>
      </c>
      <c r="E40" t="s">
        <v>802</v>
      </c>
      <c r="F40" t="s">
        <v>803</v>
      </c>
      <c r="G40">
        <f t="shared" si="0"/>
        <v>1</v>
      </c>
      <c r="J40">
        <f t="shared" si="2"/>
        <v>1</v>
      </c>
      <c r="K40" s="19" t="s">
        <v>756</v>
      </c>
      <c r="L40" t="s">
        <v>801</v>
      </c>
      <c r="M40" t="s">
        <v>802</v>
      </c>
      <c r="N40" t="s">
        <v>803</v>
      </c>
      <c r="W40" s="19" t="s">
        <v>756</v>
      </c>
      <c r="X40" t="s">
        <v>801</v>
      </c>
      <c r="Y40" t="s">
        <v>802</v>
      </c>
    </row>
    <row r="41" spans="2:25" x14ac:dyDescent="0.3">
      <c r="B41">
        <f t="shared" si="1"/>
        <v>1</v>
      </c>
      <c r="C41" t="s">
        <v>473</v>
      </c>
      <c r="D41" t="s">
        <v>488</v>
      </c>
      <c r="E41" t="s">
        <v>489</v>
      </c>
      <c r="F41" t="s">
        <v>490</v>
      </c>
      <c r="G41">
        <f t="shared" si="0"/>
        <v>1</v>
      </c>
      <c r="J41">
        <f t="shared" si="2"/>
        <v>1</v>
      </c>
      <c r="K41" s="19" t="s">
        <v>473</v>
      </c>
      <c r="L41" t="s">
        <v>488</v>
      </c>
      <c r="M41" t="s">
        <v>489</v>
      </c>
      <c r="N41" t="s">
        <v>490</v>
      </c>
      <c r="W41" s="19" t="s">
        <v>473</v>
      </c>
      <c r="X41" t="s">
        <v>488</v>
      </c>
      <c r="Y41" t="s">
        <v>489</v>
      </c>
    </row>
    <row r="42" spans="2:25" x14ac:dyDescent="0.3">
      <c r="B42">
        <f t="shared" si="1"/>
        <v>1</v>
      </c>
      <c r="C42" t="s">
        <v>814</v>
      </c>
      <c r="D42" t="s">
        <v>843</v>
      </c>
      <c r="E42" t="s">
        <v>844</v>
      </c>
      <c r="F42" t="s">
        <v>845</v>
      </c>
      <c r="G42">
        <f t="shared" si="0"/>
        <v>1</v>
      </c>
      <c r="J42">
        <f t="shared" si="2"/>
        <v>1</v>
      </c>
      <c r="K42" s="19" t="s">
        <v>814</v>
      </c>
      <c r="L42" t="s">
        <v>1506</v>
      </c>
      <c r="M42" t="s">
        <v>844</v>
      </c>
      <c r="N42" t="s">
        <v>845</v>
      </c>
      <c r="W42" s="19" t="s">
        <v>814</v>
      </c>
      <c r="X42" t="s">
        <v>1506</v>
      </c>
      <c r="Y42" t="s">
        <v>844</v>
      </c>
    </row>
    <row r="43" spans="2:25" x14ac:dyDescent="0.3">
      <c r="B43">
        <f t="shared" si="1"/>
        <v>1</v>
      </c>
      <c r="C43" t="s">
        <v>647</v>
      </c>
      <c r="D43" t="s">
        <v>661</v>
      </c>
      <c r="E43" t="s">
        <v>662</v>
      </c>
      <c r="F43" t="s">
        <v>663</v>
      </c>
      <c r="G43">
        <f t="shared" si="0"/>
        <v>1</v>
      </c>
      <c r="J43">
        <f t="shared" si="2"/>
        <v>1</v>
      </c>
      <c r="K43" s="19" t="s">
        <v>647</v>
      </c>
      <c r="L43" t="s">
        <v>1460</v>
      </c>
      <c r="M43" t="s">
        <v>662</v>
      </c>
      <c r="N43" t="s">
        <v>663</v>
      </c>
      <c r="W43" s="19" t="s">
        <v>647</v>
      </c>
      <c r="X43" t="s">
        <v>1460</v>
      </c>
      <c r="Y43" t="s">
        <v>662</v>
      </c>
    </row>
    <row r="44" spans="2:25" x14ac:dyDescent="0.3">
      <c r="B44">
        <f t="shared" si="1"/>
        <v>1</v>
      </c>
      <c r="C44" t="s">
        <v>1086</v>
      </c>
      <c r="D44" t="s">
        <v>1105</v>
      </c>
      <c r="E44" t="s">
        <v>1106</v>
      </c>
      <c r="F44" t="s">
        <v>1107</v>
      </c>
      <c r="G44">
        <f t="shared" si="0"/>
        <v>1</v>
      </c>
      <c r="J44">
        <f t="shared" si="2"/>
        <v>1</v>
      </c>
      <c r="K44" s="19" t="s">
        <v>1086</v>
      </c>
      <c r="L44" t="s">
        <v>1558</v>
      </c>
      <c r="M44" t="s">
        <v>1106</v>
      </c>
      <c r="N44" t="s">
        <v>1107</v>
      </c>
      <c r="W44" s="19" t="s">
        <v>1086</v>
      </c>
      <c r="X44" t="s">
        <v>1558</v>
      </c>
      <c r="Y44" t="s">
        <v>1106</v>
      </c>
    </row>
    <row r="45" spans="2:25" x14ac:dyDescent="0.3">
      <c r="B45">
        <f t="shared" si="1"/>
        <v>1</v>
      </c>
      <c r="C45" t="s">
        <v>1134</v>
      </c>
      <c r="D45" t="s">
        <v>1135</v>
      </c>
      <c r="E45" t="s">
        <v>1136</v>
      </c>
      <c r="F45" t="s">
        <v>1137</v>
      </c>
      <c r="G45">
        <f t="shared" si="0"/>
        <v>1</v>
      </c>
      <c r="J45">
        <f t="shared" si="2"/>
        <v>1</v>
      </c>
      <c r="K45" s="19" t="s">
        <v>1134</v>
      </c>
      <c r="L45" t="s">
        <v>1565</v>
      </c>
      <c r="M45" t="s">
        <v>1136</v>
      </c>
      <c r="N45" t="s">
        <v>1137</v>
      </c>
      <c r="W45" s="19" t="s">
        <v>1134</v>
      </c>
      <c r="X45" t="s">
        <v>1565</v>
      </c>
      <c r="Y45" t="s">
        <v>1136</v>
      </c>
    </row>
    <row r="46" spans="2:25" x14ac:dyDescent="0.3">
      <c r="B46">
        <f t="shared" si="1"/>
        <v>1</v>
      </c>
      <c r="C46" t="s">
        <v>756</v>
      </c>
      <c r="D46" t="s">
        <v>781</v>
      </c>
      <c r="E46" t="s">
        <v>782</v>
      </c>
      <c r="F46" t="s">
        <v>783</v>
      </c>
      <c r="G46">
        <f t="shared" si="0"/>
        <v>1</v>
      </c>
      <c r="J46">
        <f t="shared" si="2"/>
        <v>1</v>
      </c>
      <c r="K46" s="19" t="s">
        <v>756</v>
      </c>
      <c r="L46" t="s">
        <v>781</v>
      </c>
      <c r="M46" t="s">
        <v>782</v>
      </c>
      <c r="N46" t="s">
        <v>783</v>
      </c>
      <c r="W46" s="19" t="s">
        <v>756</v>
      </c>
      <c r="X46" t="s">
        <v>781</v>
      </c>
      <c r="Y46" t="s">
        <v>782</v>
      </c>
    </row>
    <row r="47" spans="2:25" x14ac:dyDescent="0.3">
      <c r="B47">
        <f t="shared" si="1"/>
        <v>1</v>
      </c>
      <c r="C47" t="s">
        <v>195</v>
      </c>
      <c r="D47" t="s">
        <v>201</v>
      </c>
      <c r="E47" t="s">
        <v>202</v>
      </c>
      <c r="F47" t="s">
        <v>203</v>
      </c>
      <c r="G47">
        <f t="shared" si="0"/>
        <v>1</v>
      </c>
      <c r="J47">
        <f t="shared" si="2"/>
        <v>1</v>
      </c>
      <c r="K47" s="19" t="s">
        <v>195</v>
      </c>
      <c r="L47" t="s">
        <v>1406</v>
      </c>
      <c r="M47" t="s">
        <v>202</v>
      </c>
      <c r="N47" t="s">
        <v>203</v>
      </c>
      <c r="W47" s="19" t="s">
        <v>195</v>
      </c>
      <c r="X47" t="s">
        <v>1406</v>
      </c>
      <c r="Y47" t="s">
        <v>202</v>
      </c>
    </row>
    <row r="48" spans="2:25" x14ac:dyDescent="0.3">
      <c r="B48">
        <f t="shared" si="1"/>
        <v>1</v>
      </c>
      <c r="C48" t="s">
        <v>670</v>
      </c>
      <c r="D48" t="s">
        <v>676</v>
      </c>
      <c r="E48" t="s">
        <v>677</v>
      </c>
      <c r="F48" t="s">
        <v>678</v>
      </c>
      <c r="G48">
        <f t="shared" si="0"/>
        <v>1</v>
      </c>
      <c r="J48">
        <f t="shared" si="2"/>
        <v>1</v>
      </c>
      <c r="K48" s="19" t="s">
        <v>670</v>
      </c>
      <c r="L48" t="s">
        <v>1466</v>
      </c>
      <c r="M48" t="s">
        <v>677</v>
      </c>
      <c r="N48" t="s">
        <v>678</v>
      </c>
      <c r="W48" s="19" t="s">
        <v>670</v>
      </c>
      <c r="X48" t="s">
        <v>1466</v>
      </c>
      <c r="Y48" t="s">
        <v>677</v>
      </c>
    </row>
    <row r="49" spans="2:25" x14ac:dyDescent="0.3">
      <c r="B49">
        <f t="shared" si="1"/>
        <v>1</v>
      </c>
      <c r="C49" t="s">
        <v>1112</v>
      </c>
      <c r="D49" t="s">
        <v>1122</v>
      </c>
      <c r="E49" t="s">
        <v>1123</v>
      </c>
      <c r="F49" t="s">
        <v>1124</v>
      </c>
      <c r="G49">
        <f t="shared" si="0"/>
        <v>1</v>
      </c>
      <c r="J49">
        <f t="shared" si="2"/>
        <v>1</v>
      </c>
      <c r="K49" s="19" t="s">
        <v>1112</v>
      </c>
      <c r="L49" t="s">
        <v>1563</v>
      </c>
      <c r="M49" t="s">
        <v>1123</v>
      </c>
      <c r="N49" t="s">
        <v>1124</v>
      </c>
      <c r="W49" s="19" t="s">
        <v>1112</v>
      </c>
      <c r="X49" t="s">
        <v>1563</v>
      </c>
      <c r="Y49" t="s">
        <v>1123</v>
      </c>
    </row>
    <row r="50" spans="2:25" x14ac:dyDescent="0.3">
      <c r="B50">
        <f t="shared" si="1"/>
        <v>1</v>
      </c>
      <c r="C50" t="s">
        <v>153</v>
      </c>
      <c r="D50" t="s">
        <v>175</v>
      </c>
      <c r="E50" t="s">
        <v>176</v>
      </c>
      <c r="F50" t="s">
        <v>177</v>
      </c>
      <c r="G50">
        <f t="shared" si="0"/>
        <v>1</v>
      </c>
      <c r="J50">
        <f t="shared" si="2"/>
        <v>1</v>
      </c>
      <c r="K50" s="19" t="s">
        <v>153</v>
      </c>
      <c r="L50" t="s">
        <v>1397</v>
      </c>
      <c r="M50" t="s">
        <v>1398</v>
      </c>
      <c r="N50" t="s">
        <v>177</v>
      </c>
      <c r="W50" s="19" t="s">
        <v>153</v>
      </c>
      <c r="X50" t="s">
        <v>1397</v>
      </c>
      <c r="Y50" t="s">
        <v>1398</v>
      </c>
    </row>
    <row r="51" spans="2:25" x14ac:dyDescent="0.3">
      <c r="B51">
        <f t="shared" si="1"/>
        <v>1</v>
      </c>
      <c r="C51" t="s">
        <v>814</v>
      </c>
      <c r="D51" t="s">
        <v>815</v>
      </c>
      <c r="E51" t="s">
        <v>816</v>
      </c>
      <c r="F51" t="s">
        <v>817</v>
      </c>
      <c r="G51">
        <f t="shared" si="0"/>
        <v>1</v>
      </c>
      <c r="J51">
        <f t="shared" si="2"/>
        <v>1</v>
      </c>
      <c r="K51" s="19" t="s">
        <v>814</v>
      </c>
      <c r="L51" t="s">
        <v>1494</v>
      </c>
      <c r="M51" t="s">
        <v>1495</v>
      </c>
      <c r="N51" t="s">
        <v>817</v>
      </c>
      <c r="W51" s="19" t="s">
        <v>814</v>
      </c>
      <c r="X51" t="s">
        <v>1494</v>
      </c>
      <c r="Y51" t="s">
        <v>1495</v>
      </c>
    </row>
    <row r="52" spans="2:25" x14ac:dyDescent="0.3">
      <c r="B52">
        <f t="shared" si="1"/>
        <v>1</v>
      </c>
      <c r="C52" t="s">
        <v>210</v>
      </c>
      <c r="D52" t="s">
        <v>237</v>
      </c>
      <c r="E52" t="s">
        <v>238</v>
      </c>
      <c r="F52" t="s">
        <v>239</v>
      </c>
      <c r="G52">
        <f t="shared" si="0"/>
        <v>1</v>
      </c>
      <c r="J52">
        <f t="shared" si="2"/>
        <v>1</v>
      </c>
      <c r="K52" s="19" t="s">
        <v>210</v>
      </c>
      <c r="L52" t="s">
        <v>1418</v>
      </c>
      <c r="M52" t="s">
        <v>238</v>
      </c>
      <c r="N52" t="s">
        <v>239</v>
      </c>
      <c r="W52" s="19" t="s">
        <v>210</v>
      </c>
      <c r="X52" t="s">
        <v>1418</v>
      </c>
      <c r="Y52" t="s">
        <v>238</v>
      </c>
    </row>
    <row r="53" spans="2:25" x14ac:dyDescent="0.3">
      <c r="B53">
        <f t="shared" si="1"/>
        <v>1</v>
      </c>
      <c r="C53" t="s">
        <v>670</v>
      </c>
      <c r="D53" t="s">
        <v>700</v>
      </c>
      <c r="E53" t="s">
        <v>701</v>
      </c>
      <c r="F53" t="s">
        <v>702</v>
      </c>
      <c r="G53">
        <f t="shared" si="0"/>
        <v>1</v>
      </c>
      <c r="J53">
        <f t="shared" si="2"/>
        <v>1</v>
      </c>
      <c r="K53" s="19" t="s">
        <v>670</v>
      </c>
      <c r="L53" t="s">
        <v>1474</v>
      </c>
      <c r="M53" t="s">
        <v>701</v>
      </c>
      <c r="N53" t="s">
        <v>702</v>
      </c>
      <c r="W53" s="19" t="s">
        <v>670</v>
      </c>
      <c r="X53" t="s">
        <v>1474</v>
      </c>
      <c r="Y53" t="s">
        <v>701</v>
      </c>
    </row>
    <row r="54" spans="2:25" x14ac:dyDescent="0.3">
      <c r="B54">
        <f t="shared" si="1"/>
        <v>1</v>
      </c>
      <c r="C54" t="s">
        <v>932</v>
      </c>
      <c r="D54" t="s">
        <v>940</v>
      </c>
      <c r="E54" t="s">
        <v>941</v>
      </c>
      <c r="F54" t="s">
        <v>942</v>
      </c>
      <c r="G54">
        <f t="shared" si="0"/>
        <v>1</v>
      </c>
      <c r="J54">
        <f t="shared" si="2"/>
        <v>1</v>
      </c>
      <c r="K54" s="19" t="s">
        <v>932</v>
      </c>
      <c r="L54" t="s">
        <v>940</v>
      </c>
      <c r="M54" t="s">
        <v>1518</v>
      </c>
      <c r="N54" t="s">
        <v>942</v>
      </c>
      <c r="W54" s="19" t="s">
        <v>932</v>
      </c>
      <c r="X54" t="s">
        <v>940</v>
      </c>
      <c r="Y54" t="s">
        <v>1518</v>
      </c>
    </row>
    <row r="55" spans="2:25" x14ac:dyDescent="0.3">
      <c r="B55">
        <f t="shared" si="1"/>
        <v>1</v>
      </c>
      <c r="C55" t="s">
        <v>547</v>
      </c>
      <c r="D55" t="s">
        <v>553</v>
      </c>
      <c r="E55" t="s">
        <v>554</v>
      </c>
      <c r="F55" t="s">
        <v>555</v>
      </c>
      <c r="G55">
        <f t="shared" si="0"/>
        <v>1</v>
      </c>
      <c r="J55">
        <f t="shared" si="2"/>
        <v>1</v>
      </c>
      <c r="K55" s="19" t="s">
        <v>547</v>
      </c>
      <c r="L55" t="s">
        <v>553</v>
      </c>
      <c r="M55" t="s">
        <v>554</v>
      </c>
      <c r="N55" t="s">
        <v>555</v>
      </c>
      <c r="W55" s="19" t="s">
        <v>547</v>
      </c>
      <c r="X55" t="s">
        <v>553</v>
      </c>
      <c r="Y55" t="s">
        <v>554</v>
      </c>
    </row>
    <row r="56" spans="2:25" x14ac:dyDescent="0.3">
      <c r="B56">
        <f t="shared" si="1"/>
        <v>1</v>
      </c>
      <c r="C56" t="s">
        <v>330</v>
      </c>
      <c r="D56" t="s">
        <v>416</v>
      </c>
      <c r="E56" t="s">
        <v>417</v>
      </c>
      <c r="F56" t="s">
        <v>418</v>
      </c>
      <c r="G56">
        <f t="shared" si="0"/>
        <v>1</v>
      </c>
      <c r="J56">
        <f t="shared" si="2"/>
        <v>1</v>
      </c>
      <c r="K56" s="19" t="s">
        <v>330</v>
      </c>
      <c r="L56" t="s">
        <v>416</v>
      </c>
      <c r="M56" t="s">
        <v>417</v>
      </c>
      <c r="N56" t="s">
        <v>418</v>
      </c>
      <c r="W56" s="19" t="s">
        <v>330</v>
      </c>
      <c r="X56" t="s">
        <v>416</v>
      </c>
      <c r="Y56" t="s">
        <v>417</v>
      </c>
    </row>
    <row r="57" spans="2:25" x14ac:dyDescent="0.3">
      <c r="B57">
        <f t="shared" si="1"/>
        <v>1</v>
      </c>
      <c r="C57" t="s">
        <v>330</v>
      </c>
      <c r="D57" t="s">
        <v>427</v>
      </c>
      <c r="E57" t="s">
        <v>428</v>
      </c>
      <c r="F57" t="s">
        <v>429</v>
      </c>
      <c r="G57">
        <f t="shared" si="0"/>
        <v>1</v>
      </c>
      <c r="J57">
        <f t="shared" si="2"/>
        <v>1</v>
      </c>
      <c r="K57" s="19" t="s">
        <v>330</v>
      </c>
      <c r="L57" t="s">
        <v>427</v>
      </c>
      <c r="M57" t="s">
        <v>428</v>
      </c>
      <c r="N57" t="s">
        <v>429</v>
      </c>
      <c r="W57" s="19" t="s">
        <v>330</v>
      </c>
      <c r="X57" t="s">
        <v>427</v>
      </c>
      <c r="Y57" t="s">
        <v>428</v>
      </c>
    </row>
    <row r="58" spans="2:25" x14ac:dyDescent="0.3">
      <c r="B58">
        <f t="shared" si="1"/>
        <v>1</v>
      </c>
      <c r="C58" t="s">
        <v>275</v>
      </c>
      <c r="D58" t="s">
        <v>283</v>
      </c>
      <c r="E58" t="s">
        <v>284</v>
      </c>
      <c r="F58" t="s">
        <v>285</v>
      </c>
      <c r="G58">
        <f t="shared" si="0"/>
        <v>1</v>
      </c>
      <c r="J58">
        <f t="shared" si="2"/>
        <v>1</v>
      </c>
      <c r="K58" s="19" t="s">
        <v>275</v>
      </c>
      <c r="L58" t="s">
        <v>283</v>
      </c>
      <c r="M58" t="s">
        <v>284</v>
      </c>
      <c r="N58" t="s">
        <v>285</v>
      </c>
      <c r="W58" s="19" t="s">
        <v>275</v>
      </c>
      <c r="X58" t="s">
        <v>283</v>
      </c>
      <c r="Y58" t="s">
        <v>284</v>
      </c>
    </row>
    <row r="59" spans="2:25" x14ac:dyDescent="0.3">
      <c r="B59">
        <f t="shared" si="1"/>
        <v>1</v>
      </c>
      <c r="C59" t="s">
        <v>1046</v>
      </c>
      <c r="D59" t="s">
        <v>1068</v>
      </c>
      <c r="E59" t="s">
        <v>1069</v>
      </c>
      <c r="F59" t="s">
        <v>1070</v>
      </c>
      <c r="G59">
        <f t="shared" si="0"/>
        <v>1</v>
      </c>
      <c r="J59">
        <f t="shared" si="2"/>
        <v>1</v>
      </c>
      <c r="K59" s="19" t="s">
        <v>1046</v>
      </c>
      <c r="L59" t="s">
        <v>1543</v>
      </c>
      <c r="M59" t="s">
        <v>1069</v>
      </c>
      <c r="N59" t="s">
        <v>1070</v>
      </c>
      <c r="W59" s="19" t="s">
        <v>1046</v>
      </c>
      <c r="X59" t="s">
        <v>1543</v>
      </c>
      <c r="Y59" t="s">
        <v>1069</v>
      </c>
    </row>
    <row r="60" spans="2:25" x14ac:dyDescent="0.3">
      <c r="B60">
        <f t="shared" si="1"/>
        <v>1</v>
      </c>
      <c r="C60" t="s">
        <v>473</v>
      </c>
      <c r="D60" t="s">
        <v>519</v>
      </c>
      <c r="E60" t="s">
        <v>520</v>
      </c>
      <c r="F60" t="s">
        <v>521</v>
      </c>
      <c r="G60">
        <f t="shared" si="0"/>
        <v>1</v>
      </c>
      <c r="J60">
        <f t="shared" si="2"/>
        <v>1</v>
      </c>
      <c r="K60" s="19" t="s">
        <v>473</v>
      </c>
      <c r="L60" t="s">
        <v>519</v>
      </c>
      <c r="M60" t="s">
        <v>520</v>
      </c>
      <c r="N60" t="s">
        <v>521</v>
      </c>
      <c r="W60" s="19" t="s">
        <v>473</v>
      </c>
      <c r="X60" t="s">
        <v>519</v>
      </c>
      <c r="Y60" t="s">
        <v>520</v>
      </c>
    </row>
    <row r="61" spans="2:25" x14ac:dyDescent="0.3">
      <c r="B61">
        <f t="shared" si="1"/>
        <v>1</v>
      </c>
      <c r="C61" t="s">
        <v>573</v>
      </c>
      <c r="D61" t="s">
        <v>628</v>
      </c>
      <c r="E61" t="s">
        <v>629</v>
      </c>
      <c r="F61" t="s">
        <v>630</v>
      </c>
      <c r="G61">
        <f t="shared" si="0"/>
        <v>1</v>
      </c>
      <c r="J61">
        <f t="shared" si="2"/>
        <v>1</v>
      </c>
      <c r="K61" s="19" t="s">
        <v>573</v>
      </c>
      <c r="L61" t="s">
        <v>1452</v>
      </c>
      <c r="M61" t="s">
        <v>629</v>
      </c>
      <c r="N61" t="s">
        <v>630</v>
      </c>
      <c r="W61" s="19" t="s">
        <v>573</v>
      </c>
      <c r="X61" t="s">
        <v>1452</v>
      </c>
      <c r="Y61" t="s">
        <v>629</v>
      </c>
    </row>
    <row r="62" spans="2:25" x14ac:dyDescent="0.3">
      <c r="B62">
        <f t="shared" si="1"/>
        <v>1</v>
      </c>
      <c r="C62" t="s">
        <v>647</v>
      </c>
      <c r="D62" t="s">
        <v>648</v>
      </c>
      <c r="E62" t="s">
        <v>649</v>
      </c>
      <c r="F62" t="s">
        <v>650</v>
      </c>
      <c r="G62">
        <f t="shared" si="0"/>
        <v>1</v>
      </c>
      <c r="J62">
        <f t="shared" si="2"/>
        <v>1</v>
      </c>
      <c r="K62" s="19" t="s">
        <v>647</v>
      </c>
      <c r="L62" t="s">
        <v>1456</v>
      </c>
      <c r="M62" t="s">
        <v>649</v>
      </c>
      <c r="N62" t="s">
        <v>650</v>
      </c>
      <c r="W62" s="19" t="s">
        <v>647</v>
      </c>
      <c r="X62" t="s">
        <v>1456</v>
      </c>
      <c r="Y62" t="s">
        <v>649</v>
      </c>
    </row>
    <row r="63" spans="2:25" x14ac:dyDescent="0.3">
      <c r="B63">
        <f t="shared" si="1"/>
        <v>1</v>
      </c>
      <c r="C63" t="s">
        <v>647</v>
      </c>
      <c r="D63" t="s">
        <v>665</v>
      </c>
      <c r="E63" t="s">
        <v>666</v>
      </c>
      <c r="F63" t="s">
        <v>667</v>
      </c>
      <c r="G63">
        <f t="shared" si="0"/>
        <v>1</v>
      </c>
      <c r="J63">
        <f t="shared" si="2"/>
        <v>1</v>
      </c>
      <c r="K63" s="19" t="s">
        <v>647</v>
      </c>
      <c r="L63" t="s">
        <v>1462</v>
      </c>
      <c r="M63" t="s">
        <v>666</v>
      </c>
      <c r="N63" t="s">
        <v>667</v>
      </c>
      <c r="W63" s="19" t="s">
        <v>647</v>
      </c>
      <c r="X63" t="s">
        <v>1462</v>
      </c>
      <c r="Y63" t="s">
        <v>666</v>
      </c>
    </row>
    <row r="64" spans="2:25" x14ac:dyDescent="0.3">
      <c r="B64">
        <f t="shared" si="1"/>
        <v>1</v>
      </c>
      <c r="C64" t="s">
        <v>647</v>
      </c>
      <c r="D64" t="s">
        <v>651</v>
      </c>
      <c r="E64" t="s">
        <v>652</v>
      </c>
      <c r="F64" t="s">
        <v>653</v>
      </c>
      <c r="G64">
        <f t="shared" si="0"/>
        <v>1</v>
      </c>
      <c r="J64">
        <f t="shared" si="2"/>
        <v>1</v>
      </c>
      <c r="K64" s="19" t="s">
        <v>647</v>
      </c>
      <c r="L64" t="s">
        <v>1461</v>
      </c>
      <c r="M64" t="s">
        <v>652</v>
      </c>
      <c r="N64" t="s">
        <v>653</v>
      </c>
      <c r="W64" s="19" t="s">
        <v>647</v>
      </c>
      <c r="X64" t="s">
        <v>1461</v>
      </c>
      <c r="Y64" t="s">
        <v>652</v>
      </c>
    </row>
    <row r="65" spans="2:25" x14ac:dyDescent="0.3">
      <c r="B65">
        <f t="shared" si="1"/>
        <v>1</v>
      </c>
      <c r="C65" t="s">
        <v>42</v>
      </c>
      <c r="D65" t="s">
        <v>104</v>
      </c>
      <c r="E65" t="s">
        <v>105</v>
      </c>
      <c r="F65" t="s">
        <v>106</v>
      </c>
      <c r="G65">
        <f t="shared" si="0"/>
        <v>1</v>
      </c>
      <c r="J65">
        <f t="shared" si="2"/>
        <v>1</v>
      </c>
      <c r="K65" s="19" t="s">
        <v>42</v>
      </c>
      <c r="L65" t="s">
        <v>1390</v>
      </c>
      <c r="M65" t="s">
        <v>105</v>
      </c>
      <c r="N65" t="s">
        <v>106</v>
      </c>
      <c r="W65" s="19" t="s">
        <v>42</v>
      </c>
      <c r="X65" t="s">
        <v>1390</v>
      </c>
      <c r="Y65" t="s">
        <v>105</v>
      </c>
    </row>
    <row r="66" spans="2:25" x14ac:dyDescent="0.3">
      <c r="B66">
        <f t="shared" si="1"/>
        <v>1</v>
      </c>
      <c r="C66" t="s">
        <v>42</v>
      </c>
      <c r="D66" t="s">
        <v>86</v>
      </c>
      <c r="E66" t="s">
        <v>87</v>
      </c>
      <c r="F66" t="s">
        <v>88</v>
      </c>
      <c r="G66">
        <f t="shared" si="0"/>
        <v>1</v>
      </c>
      <c r="J66">
        <f t="shared" si="2"/>
        <v>1</v>
      </c>
      <c r="K66" s="19" t="s">
        <v>42</v>
      </c>
      <c r="L66" t="s">
        <v>1384</v>
      </c>
      <c r="M66" t="s">
        <v>87</v>
      </c>
      <c r="N66" t="s">
        <v>88</v>
      </c>
      <c r="W66" s="19" t="s">
        <v>42</v>
      </c>
      <c r="X66" t="s">
        <v>1384</v>
      </c>
      <c r="Y66" t="s">
        <v>87</v>
      </c>
    </row>
    <row r="67" spans="2:25" x14ac:dyDescent="0.3">
      <c r="B67">
        <f t="shared" si="1"/>
        <v>1</v>
      </c>
      <c r="C67" t="s">
        <v>42</v>
      </c>
      <c r="D67" t="s">
        <v>95</v>
      </c>
      <c r="E67" t="s">
        <v>96</v>
      </c>
      <c r="F67" t="s">
        <v>97</v>
      </c>
      <c r="G67">
        <f t="shared" si="0"/>
        <v>1</v>
      </c>
      <c r="J67">
        <f t="shared" si="2"/>
        <v>1</v>
      </c>
      <c r="K67" s="19" t="s">
        <v>42</v>
      </c>
      <c r="L67" t="s">
        <v>1387</v>
      </c>
      <c r="M67" t="s">
        <v>96</v>
      </c>
      <c r="N67" t="s">
        <v>97</v>
      </c>
      <c r="W67" s="19" t="s">
        <v>42</v>
      </c>
      <c r="X67" t="s">
        <v>1387</v>
      </c>
      <c r="Y67" t="s">
        <v>96</v>
      </c>
    </row>
    <row r="68" spans="2:25" x14ac:dyDescent="0.3">
      <c r="B68">
        <f t="shared" si="1"/>
        <v>1</v>
      </c>
      <c r="C68" t="s">
        <v>42</v>
      </c>
      <c r="D68" t="s">
        <v>72</v>
      </c>
      <c r="E68" t="s">
        <v>73</v>
      </c>
      <c r="F68" t="s">
        <v>74</v>
      </c>
      <c r="G68">
        <f t="shared" si="0"/>
        <v>1</v>
      </c>
      <c r="J68">
        <f t="shared" si="2"/>
        <v>1</v>
      </c>
      <c r="K68" s="19" t="s">
        <v>42</v>
      </c>
      <c r="L68" t="s">
        <v>1381</v>
      </c>
      <c r="M68" t="s">
        <v>73</v>
      </c>
      <c r="N68" t="s">
        <v>74</v>
      </c>
      <c r="W68" s="19" t="s">
        <v>42</v>
      </c>
      <c r="X68" t="s">
        <v>1381</v>
      </c>
      <c r="Y68" t="s">
        <v>73</v>
      </c>
    </row>
    <row r="69" spans="2:25" x14ac:dyDescent="0.3">
      <c r="B69">
        <f t="shared" si="1"/>
        <v>1</v>
      </c>
      <c r="C69" t="s">
        <v>42</v>
      </c>
      <c r="D69" t="s">
        <v>99</v>
      </c>
      <c r="E69" t="s">
        <v>100</v>
      </c>
      <c r="F69" t="s">
        <v>101</v>
      </c>
      <c r="G69">
        <f t="shared" si="0"/>
        <v>1</v>
      </c>
      <c r="J69">
        <f t="shared" si="2"/>
        <v>1</v>
      </c>
      <c r="K69" s="19" t="s">
        <v>42</v>
      </c>
      <c r="L69" t="s">
        <v>1388</v>
      </c>
      <c r="M69" t="s">
        <v>1389</v>
      </c>
      <c r="N69" t="s">
        <v>101</v>
      </c>
      <c r="W69" s="19" t="s">
        <v>42</v>
      </c>
      <c r="X69" t="s">
        <v>1388</v>
      </c>
      <c r="Y69" t="s">
        <v>1389</v>
      </c>
    </row>
    <row r="70" spans="2:25" x14ac:dyDescent="0.3">
      <c r="B70">
        <f t="shared" si="1"/>
        <v>1</v>
      </c>
      <c r="C70" t="s">
        <v>42</v>
      </c>
      <c r="D70" t="s">
        <v>82</v>
      </c>
      <c r="E70" t="s">
        <v>83</v>
      </c>
      <c r="F70" t="s">
        <v>84</v>
      </c>
      <c r="G70">
        <f t="shared" ref="G70:G133" si="3">IF(F70=N70,1,0)</f>
        <v>1</v>
      </c>
      <c r="J70">
        <f t="shared" si="2"/>
        <v>1</v>
      </c>
      <c r="K70" s="19" t="s">
        <v>42</v>
      </c>
      <c r="L70" t="s">
        <v>1383</v>
      </c>
      <c r="M70" t="s">
        <v>83</v>
      </c>
      <c r="N70" t="s">
        <v>84</v>
      </c>
      <c r="W70" s="19" t="s">
        <v>42</v>
      </c>
      <c r="X70" t="s">
        <v>1383</v>
      </c>
      <c r="Y70" t="s">
        <v>83</v>
      </c>
    </row>
    <row r="71" spans="2:25" x14ac:dyDescent="0.3">
      <c r="B71">
        <f t="shared" si="1"/>
        <v>1</v>
      </c>
      <c r="C71" t="s">
        <v>42</v>
      </c>
      <c r="D71" t="s">
        <v>67</v>
      </c>
      <c r="E71" t="s">
        <v>68</v>
      </c>
      <c r="F71" t="s">
        <v>69</v>
      </c>
      <c r="G71">
        <f t="shared" si="3"/>
        <v>1</v>
      </c>
      <c r="J71">
        <f t="shared" si="2"/>
        <v>1</v>
      </c>
      <c r="K71" s="19" t="s">
        <v>42</v>
      </c>
      <c r="L71" t="s">
        <v>1380</v>
      </c>
      <c r="M71" t="s">
        <v>68</v>
      </c>
      <c r="N71" t="s">
        <v>69</v>
      </c>
      <c r="W71" s="19" t="s">
        <v>42</v>
      </c>
      <c r="X71" t="s">
        <v>1380</v>
      </c>
      <c r="Y71" t="s">
        <v>68</v>
      </c>
    </row>
    <row r="72" spans="2:25" x14ac:dyDescent="0.3">
      <c r="B72">
        <f t="shared" si="1"/>
        <v>1</v>
      </c>
      <c r="C72" t="s">
        <v>42</v>
      </c>
      <c r="D72" t="s">
        <v>90</v>
      </c>
      <c r="E72" t="s">
        <v>91</v>
      </c>
      <c r="F72" t="s">
        <v>92</v>
      </c>
      <c r="G72">
        <f t="shared" si="3"/>
        <v>1</v>
      </c>
      <c r="J72">
        <f t="shared" si="2"/>
        <v>1</v>
      </c>
      <c r="K72" s="19" t="s">
        <v>42</v>
      </c>
      <c r="L72" t="s">
        <v>1385</v>
      </c>
      <c r="M72" t="s">
        <v>1386</v>
      </c>
      <c r="N72" t="s">
        <v>92</v>
      </c>
      <c r="W72" s="19" t="s">
        <v>42</v>
      </c>
      <c r="X72" t="s">
        <v>1385</v>
      </c>
      <c r="Y72" t="s">
        <v>1386</v>
      </c>
    </row>
    <row r="73" spans="2:25" x14ac:dyDescent="0.3">
      <c r="B73">
        <f t="shared" si="1"/>
        <v>1</v>
      </c>
      <c r="C73" t="s">
        <v>42</v>
      </c>
      <c r="D73" t="s">
        <v>43</v>
      </c>
      <c r="E73" t="s">
        <v>44</v>
      </c>
      <c r="F73" t="s">
        <v>45</v>
      </c>
      <c r="G73">
        <f t="shared" si="3"/>
        <v>1</v>
      </c>
      <c r="J73">
        <f t="shared" si="2"/>
        <v>1</v>
      </c>
      <c r="K73" s="19" t="s">
        <v>42</v>
      </c>
      <c r="L73" t="s">
        <v>1378</v>
      </c>
      <c r="M73" t="s">
        <v>44</v>
      </c>
      <c r="N73" t="s">
        <v>45</v>
      </c>
      <c r="W73" s="19" t="s">
        <v>42</v>
      </c>
      <c r="X73" t="s">
        <v>1378</v>
      </c>
      <c r="Y73" t="s">
        <v>44</v>
      </c>
    </row>
    <row r="74" spans="2:25" x14ac:dyDescent="0.3">
      <c r="B74">
        <f t="shared" si="1"/>
        <v>1</v>
      </c>
      <c r="C74" t="s">
        <v>330</v>
      </c>
      <c r="D74" t="s">
        <v>420</v>
      </c>
      <c r="E74" t="s">
        <v>421</v>
      </c>
      <c r="F74" t="s">
        <v>422</v>
      </c>
      <c r="G74">
        <f t="shared" si="3"/>
        <v>1</v>
      </c>
      <c r="J74">
        <f t="shared" si="2"/>
        <v>1</v>
      </c>
      <c r="K74" s="19" t="s">
        <v>330</v>
      </c>
      <c r="L74" t="s">
        <v>420</v>
      </c>
      <c r="M74" t="s">
        <v>420</v>
      </c>
      <c r="N74" t="s">
        <v>422</v>
      </c>
      <c r="W74" s="19" t="s">
        <v>330</v>
      </c>
      <c r="X74" t="s">
        <v>420</v>
      </c>
      <c r="Y74" t="s">
        <v>420</v>
      </c>
    </row>
    <row r="75" spans="2:25" x14ac:dyDescent="0.3">
      <c r="B75">
        <f t="shared" ref="B75:B138" si="4">COUNTIF($N$6:$N$303,F75)</f>
        <v>1</v>
      </c>
      <c r="C75" t="s">
        <v>109</v>
      </c>
      <c r="D75" t="s">
        <v>147</v>
      </c>
      <c r="E75" t="s">
        <v>148</v>
      </c>
      <c r="F75" t="s">
        <v>149</v>
      </c>
      <c r="G75">
        <f t="shared" si="3"/>
        <v>1</v>
      </c>
      <c r="J75">
        <f t="shared" ref="J75:J138" si="5">COUNTIF($F$6:$F$303,N75)</f>
        <v>1</v>
      </c>
      <c r="K75" s="19" t="s">
        <v>109</v>
      </c>
      <c r="L75" t="s">
        <v>147</v>
      </c>
      <c r="M75" t="s">
        <v>148</v>
      </c>
      <c r="N75" t="s">
        <v>149</v>
      </c>
      <c r="W75" s="19" t="s">
        <v>109</v>
      </c>
      <c r="X75" t="s">
        <v>147</v>
      </c>
      <c r="Y75" t="s">
        <v>148</v>
      </c>
    </row>
    <row r="76" spans="2:25" x14ac:dyDescent="0.3">
      <c r="B76">
        <f t="shared" si="4"/>
        <v>1</v>
      </c>
      <c r="C76" t="s">
        <v>330</v>
      </c>
      <c r="D76" t="s">
        <v>424</v>
      </c>
      <c r="E76" t="s">
        <v>425</v>
      </c>
      <c r="F76" t="s">
        <v>426</v>
      </c>
      <c r="G76">
        <f t="shared" si="3"/>
        <v>1</v>
      </c>
      <c r="J76">
        <f t="shared" si="5"/>
        <v>1</v>
      </c>
      <c r="K76" s="19" t="s">
        <v>330</v>
      </c>
      <c r="L76" t="s">
        <v>424</v>
      </c>
      <c r="M76" t="s">
        <v>425</v>
      </c>
      <c r="N76" t="s">
        <v>426</v>
      </c>
      <c r="W76" s="19" t="s">
        <v>330</v>
      </c>
      <c r="X76" t="s">
        <v>424</v>
      </c>
      <c r="Y76" t="s">
        <v>425</v>
      </c>
    </row>
    <row r="77" spans="2:25" x14ac:dyDescent="0.3">
      <c r="B77">
        <f t="shared" si="4"/>
        <v>1</v>
      </c>
      <c r="C77" t="s">
        <v>153</v>
      </c>
      <c r="D77" t="s">
        <v>170</v>
      </c>
      <c r="E77" t="s">
        <v>171</v>
      </c>
      <c r="F77" t="s">
        <v>172</v>
      </c>
      <c r="G77">
        <f t="shared" si="3"/>
        <v>1</v>
      </c>
      <c r="J77">
        <f t="shared" si="5"/>
        <v>1</v>
      </c>
      <c r="K77" s="19" t="s">
        <v>153</v>
      </c>
      <c r="L77" t="s">
        <v>1404</v>
      </c>
      <c r="M77" t="s">
        <v>171</v>
      </c>
      <c r="N77" t="s">
        <v>172</v>
      </c>
      <c r="W77" s="19" t="s">
        <v>153</v>
      </c>
      <c r="X77" t="s">
        <v>1404</v>
      </c>
      <c r="Y77" t="s">
        <v>171</v>
      </c>
    </row>
    <row r="78" spans="2:25" x14ac:dyDescent="0.3">
      <c r="B78">
        <f t="shared" si="4"/>
        <v>1</v>
      </c>
      <c r="C78" t="s">
        <v>153</v>
      </c>
      <c r="D78" t="s">
        <v>190</v>
      </c>
      <c r="E78" t="s">
        <v>191</v>
      </c>
      <c r="F78" t="s">
        <v>192</v>
      </c>
      <c r="G78">
        <f t="shared" si="3"/>
        <v>1</v>
      </c>
      <c r="J78">
        <f t="shared" si="5"/>
        <v>1</v>
      </c>
      <c r="K78" s="19" t="s">
        <v>153</v>
      </c>
      <c r="L78" t="s">
        <v>1405</v>
      </c>
      <c r="M78" t="s">
        <v>191</v>
      </c>
      <c r="N78" t="s">
        <v>192</v>
      </c>
      <c r="W78" s="19" t="s">
        <v>153</v>
      </c>
      <c r="X78" t="s">
        <v>1405</v>
      </c>
      <c r="Y78" t="s">
        <v>191</v>
      </c>
    </row>
    <row r="79" spans="2:25" x14ac:dyDescent="0.3">
      <c r="B79">
        <f t="shared" si="4"/>
        <v>1</v>
      </c>
      <c r="C79" t="s">
        <v>814</v>
      </c>
      <c r="D79" t="s">
        <v>877</v>
      </c>
      <c r="E79" t="s">
        <v>878</v>
      </c>
      <c r="F79" t="s">
        <v>879</v>
      </c>
      <c r="G79">
        <f t="shared" si="3"/>
        <v>1</v>
      </c>
      <c r="J79">
        <f t="shared" si="5"/>
        <v>1</v>
      </c>
      <c r="K79" s="19" t="s">
        <v>814</v>
      </c>
      <c r="L79" t="s">
        <v>1507</v>
      </c>
      <c r="M79" t="s">
        <v>878</v>
      </c>
      <c r="N79" t="s">
        <v>879</v>
      </c>
      <c r="W79" s="19" t="s">
        <v>814</v>
      </c>
      <c r="X79" t="s">
        <v>1507</v>
      </c>
      <c r="Y79" t="s">
        <v>878</v>
      </c>
    </row>
    <row r="80" spans="2:25" x14ac:dyDescent="0.3">
      <c r="B80">
        <f t="shared" si="4"/>
        <v>1</v>
      </c>
      <c r="C80" t="s">
        <v>1086</v>
      </c>
      <c r="D80" t="s">
        <v>1101</v>
      </c>
      <c r="E80" t="s">
        <v>1102</v>
      </c>
      <c r="F80" t="s">
        <v>1103</v>
      </c>
      <c r="G80">
        <f t="shared" si="3"/>
        <v>1</v>
      </c>
      <c r="J80">
        <f t="shared" si="5"/>
        <v>1</v>
      </c>
      <c r="K80" s="19" t="s">
        <v>1086</v>
      </c>
      <c r="L80" t="s">
        <v>1557</v>
      </c>
      <c r="M80" t="s">
        <v>1102</v>
      </c>
      <c r="N80" t="s">
        <v>1103</v>
      </c>
      <c r="W80" s="19" t="s">
        <v>1086</v>
      </c>
      <c r="X80" t="s">
        <v>1557</v>
      </c>
      <c r="Y80" t="s">
        <v>1102</v>
      </c>
    </row>
    <row r="81" spans="2:25" x14ac:dyDescent="0.3">
      <c r="B81">
        <f t="shared" si="4"/>
        <v>1</v>
      </c>
      <c r="C81" t="s">
        <v>473</v>
      </c>
      <c r="D81" t="s">
        <v>524</v>
      </c>
      <c r="E81" t="s">
        <v>525</v>
      </c>
      <c r="F81" t="s">
        <v>526</v>
      </c>
      <c r="G81">
        <f t="shared" si="3"/>
        <v>1</v>
      </c>
      <c r="J81">
        <f t="shared" si="5"/>
        <v>1</v>
      </c>
      <c r="K81" s="19" t="s">
        <v>473</v>
      </c>
      <c r="L81" t="s">
        <v>524</v>
      </c>
      <c r="M81" t="s">
        <v>525</v>
      </c>
      <c r="N81" t="s">
        <v>526</v>
      </c>
      <c r="W81" s="19" t="s">
        <v>473</v>
      </c>
      <c r="X81" t="s">
        <v>524</v>
      </c>
      <c r="Y81" t="s">
        <v>525</v>
      </c>
    </row>
    <row r="82" spans="2:25" x14ac:dyDescent="0.3">
      <c r="B82">
        <f t="shared" si="4"/>
        <v>1</v>
      </c>
      <c r="C82" t="s">
        <v>966</v>
      </c>
      <c r="D82" t="s">
        <v>977</v>
      </c>
      <c r="E82" t="s">
        <v>978</v>
      </c>
      <c r="F82" t="s">
        <v>979</v>
      </c>
      <c r="G82">
        <f t="shared" si="3"/>
        <v>1</v>
      </c>
      <c r="J82">
        <f t="shared" si="5"/>
        <v>1</v>
      </c>
      <c r="K82" s="19" t="s">
        <v>966</v>
      </c>
      <c r="L82" t="s">
        <v>1529</v>
      </c>
      <c r="M82" t="s">
        <v>978</v>
      </c>
      <c r="N82" t="s">
        <v>979</v>
      </c>
      <c r="W82" s="19" t="s">
        <v>966</v>
      </c>
      <c r="X82" t="s">
        <v>1529</v>
      </c>
      <c r="Y82" t="s">
        <v>978</v>
      </c>
    </row>
    <row r="83" spans="2:25" x14ac:dyDescent="0.3">
      <c r="B83">
        <f t="shared" si="4"/>
        <v>1</v>
      </c>
      <c r="C83" t="s">
        <v>966</v>
      </c>
      <c r="D83" t="s">
        <v>1013</v>
      </c>
      <c r="E83" t="s">
        <v>1014</v>
      </c>
      <c r="F83" t="s">
        <v>1015</v>
      </c>
      <c r="G83">
        <f t="shared" si="3"/>
        <v>1</v>
      </c>
      <c r="J83">
        <f t="shared" si="5"/>
        <v>1</v>
      </c>
      <c r="K83" s="19" t="s">
        <v>966</v>
      </c>
      <c r="L83" t="s">
        <v>1541</v>
      </c>
      <c r="M83" t="s">
        <v>1014</v>
      </c>
      <c r="N83" t="s">
        <v>1015</v>
      </c>
      <c r="W83" s="19" t="s">
        <v>966</v>
      </c>
      <c r="X83" t="s">
        <v>1541</v>
      </c>
      <c r="Y83" t="s">
        <v>1014</v>
      </c>
    </row>
    <row r="84" spans="2:25" x14ac:dyDescent="0.3">
      <c r="B84">
        <f t="shared" si="4"/>
        <v>1</v>
      </c>
      <c r="C84" t="s">
        <v>1086</v>
      </c>
      <c r="D84" t="s">
        <v>1087</v>
      </c>
      <c r="E84" t="s">
        <v>1088</v>
      </c>
      <c r="F84" t="s">
        <v>1089</v>
      </c>
      <c r="G84">
        <f t="shared" si="3"/>
        <v>1</v>
      </c>
      <c r="J84">
        <f t="shared" si="5"/>
        <v>1</v>
      </c>
      <c r="K84" s="19" t="s">
        <v>1086</v>
      </c>
      <c r="L84" t="s">
        <v>1553</v>
      </c>
      <c r="M84" t="s">
        <v>1088</v>
      </c>
      <c r="N84" t="s">
        <v>1089</v>
      </c>
      <c r="W84" s="19" t="s">
        <v>1086</v>
      </c>
      <c r="X84" t="s">
        <v>1553</v>
      </c>
      <c r="Y84" t="s">
        <v>1088</v>
      </c>
    </row>
    <row r="85" spans="2:25" x14ac:dyDescent="0.3">
      <c r="B85">
        <f t="shared" si="4"/>
        <v>1</v>
      </c>
      <c r="C85" t="s">
        <v>715</v>
      </c>
      <c r="D85" t="s">
        <v>716</v>
      </c>
      <c r="E85" t="s">
        <v>303</v>
      </c>
      <c r="F85" t="s">
        <v>717</v>
      </c>
      <c r="G85">
        <f t="shared" si="3"/>
        <v>1</v>
      </c>
      <c r="J85">
        <f t="shared" si="5"/>
        <v>1</v>
      </c>
      <c r="K85" s="19" t="s">
        <v>715</v>
      </c>
      <c r="L85" t="s">
        <v>1478</v>
      </c>
      <c r="M85" t="s">
        <v>1479</v>
      </c>
      <c r="N85" t="s">
        <v>717</v>
      </c>
      <c r="W85" s="19" t="s">
        <v>715</v>
      </c>
      <c r="X85" t="s">
        <v>1478</v>
      </c>
      <c r="Y85" t="s">
        <v>1479</v>
      </c>
    </row>
    <row r="86" spans="2:25" x14ac:dyDescent="0.3">
      <c r="B86">
        <f t="shared" si="4"/>
        <v>1</v>
      </c>
      <c r="C86" t="s">
        <v>715</v>
      </c>
      <c r="D86" t="s">
        <v>724</v>
      </c>
      <c r="E86" t="s">
        <v>91</v>
      </c>
      <c r="F86" t="s">
        <v>725</v>
      </c>
      <c r="G86">
        <f t="shared" si="3"/>
        <v>1</v>
      </c>
      <c r="J86">
        <f t="shared" si="5"/>
        <v>1</v>
      </c>
      <c r="K86" s="19" t="s">
        <v>715</v>
      </c>
      <c r="L86" t="s">
        <v>1481</v>
      </c>
      <c r="M86" t="s">
        <v>1482</v>
      </c>
      <c r="N86" t="s">
        <v>725</v>
      </c>
      <c r="W86" s="19" t="s">
        <v>715</v>
      </c>
      <c r="X86" t="s">
        <v>1481</v>
      </c>
      <c r="Y86" t="s">
        <v>1482</v>
      </c>
    </row>
    <row r="87" spans="2:25" x14ac:dyDescent="0.3">
      <c r="B87">
        <f t="shared" si="4"/>
        <v>1</v>
      </c>
      <c r="C87" t="s">
        <v>1086</v>
      </c>
      <c r="D87" t="s">
        <v>1095</v>
      </c>
      <c r="E87" t="s">
        <v>1096</v>
      </c>
      <c r="F87" t="s">
        <v>1097</v>
      </c>
      <c r="G87">
        <f t="shared" si="3"/>
        <v>1</v>
      </c>
      <c r="J87">
        <f t="shared" si="5"/>
        <v>1</v>
      </c>
      <c r="K87" s="19" t="s">
        <v>1086</v>
      </c>
      <c r="L87" t="s">
        <v>1555</v>
      </c>
      <c r="M87" t="s">
        <v>1096</v>
      </c>
      <c r="N87" t="s">
        <v>1097</v>
      </c>
      <c r="W87" s="19" t="s">
        <v>1086</v>
      </c>
      <c r="X87" t="s">
        <v>1555</v>
      </c>
      <c r="Y87" t="s">
        <v>1096</v>
      </c>
    </row>
    <row r="88" spans="2:25" x14ac:dyDescent="0.3">
      <c r="B88">
        <f t="shared" si="4"/>
        <v>1</v>
      </c>
      <c r="C88" t="s">
        <v>715</v>
      </c>
      <c r="D88" t="s">
        <v>738</v>
      </c>
      <c r="E88" t="s">
        <v>739</v>
      </c>
      <c r="F88" t="s">
        <v>740</v>
      </c>
      <c r="G88">
        <f t="shared" si="3"/>
        <v>1</v>
      </c>
      <c r="J88">
        <f t="shared" si="5"/>
        <v>1</v>
      </c>
      <c r="K88" s="19" t="s">
        <v>715</v>
      </c>
      <c r="L88" t="s">
        <v>1476</v>
      </c>
      <c r="M88" t="s">
        <v>739</v>
      </c>
      <c r="N88" t="s">
        <v>740</v>
      </c>
      <c r="W88" s="19" t="s">
        <v>715</v>
      </c>
      <c r="X88" t="s">
        <v>1476</v>
      </c>
      <c r="Y88" t="s">
        <v>739</v>
      </c>
    </row>
    <row r="89" spans="2:25" x14ac:dyDescent="0.3">
      <c r="B89">
        <f t="shared" si="4"/>
        <v>1</v>
      </c>
      <c r="C89" t="s">
        <v>887</v>
      </c>
      <c r="D89" t="s">
        <v>897</v>
      </c>
      <c r="E89" t="s">
        <v>898</v>
      </c>
      <c r="F89" t="s">
        <v>899</v>
      </c>
      <c r="G89">
        <f t="shared" si="3"/>
        <v>1</v>
      </c>
      <c r="J89">
        <f t="shared" si="5"/>
        <v>1</v>
      </c>
      <c r="K89" s="19" t="s">
        <v>887</v>
      </c>
      <c r="L89" t="s">
        <v>1513</v>
      </c>
      <c r="M89" t="s">
        <v>898</v>
      </c>
      <c r="N89" t="s">
        <v>899</v>
      </c>
      <c r="W89" s="19" t="s">
        <v>887</v>
      </c>
      <c r="X89" t="s">
        <v>1513</v>
      </c>
      <c r="Y89" t="s">
        <v>898</v>
      </c>
    </row>
    <row r="90" spans="2:25" x14ac:dyDescent="0.3">
      <c r="B90">
        <f t="shared" si="4"/>
        <v>1</v>
      </c>
      <c r="C90" t="s">
        <v>715</v>
      </c>
      <c r="D90" t="s">
        <v>746</v>
      </c>
      <c r="E90" t="s">
        <v>747</v>
      </c>
      <c r="F90" t="s">
        <v>748</v>
      </c>
      <c r="G90">
        <f t="shared" si="3"/>
        <v>1</v>
      </c>
      <c r="J90">
        <f t="shared" si="5"/>
        <v>1</v>
      </c>
      <c r="K90" s="19" t="s">
        <v>715</v>
      </c>
      <c r="L90" t="s">
        <v>1483</v>
      </c>
      <c r="M90" t="s">
        <v>747</v>
      </c>
      <c r="N90" t="s">
        <v>748</v>
      </c>
      <c r="W90" s="19" t="s">
        <v>715</v>
      </c>
      <c r="X90" t="s">
        <v>1483</v>
      </c>
      <c r="Y90" t="s">
        <v>747</v>
      </c>
    </row>
    <row r="91" spans="2:25" x14ac:dyDescent="0.3">
      <c r="B91">
        <f t="shared" si="4"/>
        <v>1</v>
      </c>
      <c r="C91" t="s">
        <v>715</v>
      </c>
      <c r="D91" t="s">
        <v>735</v>
      </c>
      <c r="E91" t="s">
        <v>736</v>
      </c>
      <c r="F91" t="s">
        <v>737</v>
      </c>
      <c r="G91">
        <f t="shared" si="3"/>
        <v>1</v>
      </c>
      <c r="J91">
        <f t="shared" si="5"/>
        <v>1</v>
      </c>
      <c r="K91" s="19" t="s">
        <v>715</v>
      </c>
      <c r="L91" t="s">
        <v>1488</v>
      </c>
      <c r="M91" t="s">
        <v>736</v>
      </c>
      <c r="N91" t="s">
        <v>737</v>
      </c>
      <c r="W91" s="19" t="s">
        <v>715</v>
      </c>
      <c r="X91" t="s">
        <v>1488</v>
      </c>
      <c r="Y91" t="s">
        <v>736</v>
      </c>
    </row>
    <row r="92" spans="2:25" x14ac:dyDescent="0.3">
      <c r="B92">
        <f t="shared" si="4"/>
        <v>1</v>
      </c>
      <c r="C92" t="s">
        <v>547</v>
      </c>
      <c r="D92" t="s">
        <v>563</v>
      </c>
      <c r="E92" t="s">
        <v>564</v>
      </c>
      <c r="F92" t="s">
        <v>565</v>
      </c>
      <c r="G92">
        <f t="shared" si="3"/>
        <v>1</v>
      </c>
      <c r="J92">
        <f t="shared" si="5"/>
        <v>1</v>
      </c>
      <c r="K92" s="19" t="s">
        <v>547</v>
      </c>
      <c r="L92" t="s">
        <v>563</v>
      </c>
      <c r="M92" t="s">
        <v>564</v>
      </c>
      <c r="N92" t="s">
        <v>565</v>
      </c>
      <c r="W92" s="19" t="s">
        <v>547</v>
      </c>
      <c r="X92" t="s">
        <v>563</v>
      </c>
      <c r="Y92" t="s">
        <v>564</v>
      </c>
    </row>
    <row r="93" spans="2:25" x14ac:dyDescent="0.3">
      <c r="B93">
        <f t="shared" si="4"/>
        <v>1</v>
      </c>
      <c r="C93" t="s">
        <v>275</v>
      </c>
      <c r="D93" t="s">
        <v>279</v>
      </c>
      <c r="E93" t="s">
        <v>280</v>
      </c>
      <c r="F93" t="s">
        <v>281</v>
      </c>
      <c r="G93">
        <f t="shared" si="3"/>
        <v>1</v>
      </c>
      <c r="J93">
        <f t="shared" si="5"/>
        <v>1</v>
      </c>
      <c r="K93" s="19" t="s">
        <v>275</v>
      </c>
      <c r="L93" t="s">
        <v>279</v>
      </c>
      <c r="M93" t="s">
        <v>280</v>
      </c>
      <c r="N93" t="s">
        <v>281</v>
      </c>
      <c r="W93" s="19" t="s">
        <v>275</v>
      </c>
      <c r="X93" t="s">
        <v>279</v>
      </c>
      <c r="Y93" t="s">
        <v>280</v>
      </c>
    </row>
    <row r="94" spans="2:25" x14ac:dyDescent="0.3">
      <c r="B94">
        <f t="shared" si="4"/>
        <v>1</v>
      </c>
      <c r="C94" t="s">
        <v>715</v>
      </c>
      <c r="D94" t="s">
        <v>731</v>
      </c>
      <c r="E94" t="s">
        <v>100</v>
      </c>
      <c r="F94" t="s">
        <v>732</v>
      </c>
      <c r="G94">
        <f t="shared" si="3"/>
        <v>1</v>
      </c>
      <c r="J94">
        <f t="shared" si="5"/>
        <v>1</v>
      </c>
      <c r="K94" s="19" t="s">
        <v>715</v>
      </c>
      <c r="L94" t="s">
        <v>1485</v>
      </c>
      <c r="M94" t="s">
        <v>1486</v>
      </c>
      <c r="N94" t="s">
        <v>732</v>
      </c>
      <c r="W94" s="19" t="s">
        <v>715</v>
      </c>
      <c r="X94" t="s">
        <v>1485</v>
      </c>
      <c r="Y94" t="s">
        <v>1486</v>
      </c>
    </row>
    <row r="95" spans="2:25" x14ac:dyDescent="0.3">
      <c r="B95">
        <f t="shared" si="4"/>
        <v>1</v>
      </c>
      <c r="C95" t="s">
        <v>715</v>
      </c>
      <c r="D95" t="s">
        <v>719</v>
      </c>
      <c r="E95" t="s">
        <v>720</v>
      </c>
      <c r="F95" t="s">
        <v>721</v>
      </c>
      <c r="G95">
        <f t="shared" si="3"/>
        <v>1</v>
      </c>
      <c r="J95">
        <f t="shared" si="5"/>
        <v>1</v>
      </c>
      <c r="K95" s="19" t="s">
        <v>715</v>
      </c>
      <c r="L95" t="s">
        <v>1480</v>
      </c>
      <c r="M95" t="s">
        <v>720</v>
      </c>
      <c r="N95" t="s">
        <v>721</v>
      </c>
      <c r="W95" s="19" t="s">
        <v>715</v>
      </c>
      <c r="X95" t="s">
        <v>1480</v>
      </c>
      <c r="Y95" t="s">
        <v>720</v>
      </c>
    </row>
    <row r="96" spans="2:25" x14ac:dyDescent="0.3">
      <c r="B96">
        <f t="shared" si="4"/>
        <v>1</v>
      </c>
      <c r="C96" t="s">
        <v>715</v>
      </c>
      <c r="D96" t="s">
        <v>728</v>
      </c>
      <c r="E96" t="s">
        <v>729</v>
      </c>
      <c r="F96" t="s">
        <v>730</v>
      </c>
      <c r="G96">
        <f t="shared" si="3"/>
        <v>1</v>
      </c>
      <c r="J96">
        <f t="shared" si="5"/>
        <v>1</v>
      </c>
      <c r="K96" s="19" t="s">
        <v>715</v>
      </c>
      <c r="L96" t="s">
        <v>1484</v>
      </c>
      <c r="M96" t="s">
        <v>729</v>
      </c>
      <c r="N96" t="s">
        <v>730</v>
      </c>
      <c r="W96" s="19" t="s">
        <v>715</v>
      </c>
      <c r="X96" t="s">
        <v>1484</v>
      </c>
      <c r="Y96" t="s">
        <v>729</v>
      </c>
    </row>
    <row r="97" spans="2:25" x14ac:dyDescent="0.3">
      <c r="B97">
        <f t="shared" si="4"/>
        <v>1</v>
      </c>
      <c r="C97" t="s">
        <v>1343</v>
      </c>
      <c r="D97" t="s">
        <v>1344</v>
      </c>
      <c r="E97" t="s">
        <v>941</v>
      </c>
      <c r="F97" t="s">
        <v>1345</v>
      </c>
      <c r="G97">
        <f t="shared" si="3"/>
        <v>1</v>
      </c>
      <c r="J97">
        <f t="shared" si="5"/>
        <v>1</v>
      </c>
      <c r="K97" s="19" t="s">
        <v>1343</v>
      </c>
      <c r="L97" t="s">
        <v>1612</v>
      </c>
      <c r="M97" t="s">
        <v>1613</v>
      </c>
      <c r="N97" t="s">
        <v>1345</v>
      </c>
      <c r="W97" s="19" t="s">
        <v>1343</v>
      </c>
      <c r="X97" t="s">
        <v>1612</v>
      </c>
      <c r="Y97" t="s">
        <v>1613</v>
      </c>
    </row>
    <row r="98" spans="2:25" x14ac:dyDescent="0.3">
      <c r="B98">
        <f t="shared" si="4"/>
        <v>1</v>
      </c>
      <c r="C98" t="s">
        <v>1180</v>
      </c>
      <c r="D98" t="s">
        <v>1232</v>
      </c>
      <c r="E98" t="s">
        <v>1233</v>
      </c>
      <c r="F98" t="s">
        <v>1234</v>
      </c>
      <c r="G98">
        <f t="shared" si="3"/>
        <v>1</v>
      </c>
      <c r="J98">
        <f t="shared" si="5"/>
        <v>1</v>
      </c>
      <c r="K98" s="19" t="s">
        <v>1180</v>
      </c>
      <c r="L98" t="s">
        <v>1587</v>
      </c>
      <c r="M98" t="s">
        <v>1233</v>
      </c>
      <c r="N98" t="s">
        <v>1234</v>
      </c>
      <c r="W98" s="19" t="s">
        <v>1180</v>
      </c>
      <c r="X98" t="s">
        <v>1587</v>
      </c>
      <c r="Y98" t="s">
        <v>1233</v>
      </c>
    </row>
    <row r="99" spans="2:25" x14ac:dyDescent="0.3">
      <c r="B99">
        <f t="shared" si="4"/>
        <v>1</v>
      </c>
      <c r="C99" t="s">
        <v>153</v>
      </c>
      <c r="D99" t="s">
        <v>159</v>
      </c>
      <c r="E99" t="s">
        <v>160</v>
      </c>
      <c r="F99" t="s">
        <v>161</v>
      </c>
      <c r="G99">
        <f t="shared" si="3"/>
        <v>1</v>
      </c>
      <c r="J99">
        <f t="shared" si="5"/>
        <v>1</v>
      </c>
      <c r="K99" s="19" t="s">
        <v>153</v>
      </c>
      <c r="L99" t="s">
        <v>159</v>
      </c>
      <c r="M99" t="s">
        <v>1399</v>
      </c>
      <c r="N99" t="s">
        <v>161</v>
      </c>
      <c r="W99" s="19" t="s">
        <v>153</v>
      </c>
      <c r="X99" t="s">
        <v>159</v>
      </c>
      <c r="Y99" t="s">
        <v>1399</v>
      </c>
    </row>
    <row r="100" spans="2:25" x14ac:dyDescent="0.3">
      <c r="B100">
        <f t="shared" si="4"/>
        <v>1</v>
      </c>
      <c r="C100" t="s">
        <v>153</v>
      </c>
      <c r="D100" t="s">
        <v>154</v>
      </c>
      <c r="E100" t="s">
        <v>155</v>
      </c>
      <c r="F100" t="s">
        <v>156</v>
      </c>
      <c r="G100">
        <f t="shared" si="3"/>
        <v>1</v>
      </c>
      <c r="J100">
        <f t="shared" si="5"/>
        <v>1</v>
      </c>
      <c r="K100" s="19" t="s">
        <v>153</v>
      </c>
      <c r="L100" t="s">
        <v>154</v>
      </c>
      <c r="M100" t="s">
        <v>155</v>
      </c>
      <c r="N100" t="s">
        <v>156</v>
      </c>
      <c r="W100" s="19" t="s">
        <v>153</v>
      </c>
      <c r="X100" t="s">
        <v>154</v>
      </c>
      <c r="Y100" t="s">
        <v>155</v>
      </c>
    </row>
    <row r="101" spans="2:25" x14ac:dyDescent="0.3">
      <c r="B101">
        <f t="shared" si="4"/>
        <v>1</v>
      </c>
      <c r="C101" t="s">
        <v>42</v>
      </c>
      <c r="D101" t="s">
        <v>56</v>
      </c>
      <c r="E101" t="s">
        <v>57</v>
      </c>
      <c r="F101" t="s">
        <v>58</v>
      </c>
      <c r="G101">
        <f t="shared" si="3"/>
        <v>1</v>
      </c>
      <c r="J101">
        <f t="shared" si="5"/>
        <v>1</v>
      </c>
      <c r="K101" s="19" t="s">
        <v>42</v>
      </c>
      <c r="L101" t="s">
        <v>1618</v>
      </c>
      <c r="M101" t="s">
        <v>57</v>
      </c>
      <c r="N101" t="s">
        <v>58</v>
      </c>
      <c r="W101" s="19" t="s">
        <v>42</v>
      </c>
      <c r="X101" t="s">
        <v>1618</v>
      </c>
      <c r="Y101" t="s">
        <v>57</v>
      </c>
    </row>
    <row r="102" spans="2:25" x14ac:dyDescent="0.3">
      <c r="B102">
        <f t="shared" si="4"/>
        <v>1</v>
      </c>
      <c r="C102" t="s">
        <v>1086</v>
      </c>
      <c r="D102" t="s">
        <v>1090</v>
      </c>
      <c r="E102" t="s">
        <v>1091</v>
      </c>
      <c r="F102" t="s">
        <v>1092</v>
      </c>
      <c r="G102">
        <f t="shared" si="3"/>
        <v>1</v>
      </c>
      <c r="J102">
        <f t="shared" si="5"/>
        <v>1</v>
      </c>
      <c r="K102" s="19" t="s">
        <v>1086</v>
      </c>
      <c r="L102" t="s">
        <v>1554</v>
      </c>
      <c r="M102" t="s">
        <v>1091</v>
      </c>
      <c r="N102" t="s">
        <v>1092</v>
      </c>
      <c r="W102" s="19" t="s">
        <v>1086</v>
      </c>
      <c r="X102" t="s">
        <v>1554</v>
      </c>
      <c r="Y102" t="s">
        <v>1091</v>
      </c>
    </row>
    <row r="103" spans="2:25" x14ac:dyDescent="0.3">
      <c r="B103">
        <f t="shared" si="4"/>
        <v>1</v>
      </c>
      <c r="C103" t="s">
        <v>1112</v>
      </c>
      <c r="D103" t="s">
        <v>1113</v>
      </c>
      <c r="E103" t="s">
        <v>1114</v>
      </c>
      <c r="F103" t="s">
        <v>1115</v>
      </c>
      <c r="G103">
        <f t="shared" si="3"/>
        <v>1</v>
      </c>
      <c r="J103">
        <f t="shared" si="5"/>
        <v>1</v>
      </c>
      <c r="K103" s="19" t="s">
        <v>1112</v>
      </c>
      <c r="L103" t="s">
        <v>1561</v>
      </c>
      <c r="M103" t="s">
        <v>1114</v>
      </c>
      <c r="N103" t="s">
        <v>1115</v>
      </c>
      <c r="W103" s="19" t="s">
        <v>1112</v>
      </c>
      <c r="X103" t="s">
        <v>1561</v>
      </c>
      <c r="Y103" t="s">
        <v>1114</v>
      </c>
    </row>
    <row r="104" spans="2:25" x14ac:dyDescent="0.3">
      <c r="B104">
        <f t="shared" si="4"/>
        <v>1</v>
      </c>
      <c r="C104" t="s">
        <v>1112</v>
      </c>
      <c r="D104" t="s">
        <v>1129</v>
      </c>
      <c r="E104" t="s">
        <v>1130</v>
      </c>
      <c r="F104" t="s">
        <v>1131</v>
      </c>
      <c r="G104">
        <f t="shared" si="3"/>
        <v>1</v>
      </c>
      <c r="J104">
        <f t="shared" si="5"/>
        <v>1</v>
      </c>
      <c r="K104" s="19" t="s">
        <v>1112</v>
      </c>
      <c r="L104" t="s">
        <v>1560</v>
      </c>
      <c r="M104" t="s">
        <v>1130</v>
      </c>
      <c r="N104" t="s">
        <v>1131</v>
      </c>
      <c r="W104" s="19" t="s">
        <v>1112</v>
      </c>
      <c r="X104" t="s">
        <v>1560</v>
      </c>
      <c r="Y104" t="s">
        <v>1130</v>
      </c>
    </row>
    <row r="105" spans="2:25" x14ac:dyDescent="0.3">
      <c r="B105">
        <f t="shared" si="4"/>
        <v>1</v>
      </c>
      <c r="C105" t="s">
        <v>966</v>
      </c>
      <c r="D105" t="s">
        <v>1021</v>
      </c>
      <c r="E105" t="s">
        <v>1022</v>
      </c>
      <c r="F105" t="s">
        <v>1023</v>
      </c>
      <c r="G105">
        <f t="shared" si="3"/>
        <v>1</v>
      </c>
      <c r="J105">
        <f t="shared" si="5"/>
        <v>1</v>
      </c>
      <c r="K105" s="19" t="s">
        <v>966</v>
      </c>
      <c r="L105" t="s">
        <v>1520</v>
      </c>
      <c r="M105" t="s">
        <v>1022</v>
      </c>
      <c r="N105" t="s">
        <v>1023</v>
      </c>
      <c r="W105" s="19" t="s">
        <v>966</v>
      </c>
      <c r="X105" t="s">
        <v>1520</v>
      </c>
      <c r="Y105" t="s">
        <v>1022</v>
      </c>
    </row>
    <row r="106" spans="2:25" x14ac:dyDescent="0.3">
      <c r="B106">
        <f t="shared" si="4"/>
        <v>1</v>
      </c>
      <c r="C106" t="s">
        <v>195</v>
      </c>
      <c r="D106" t="s">
        <v>205</v>
      </c>
      <c r="E106" t="s">
        <v>206</v>
      </c>
      <c r="F106" t="s">
        <v>207</v>
      </c>
      <c r="G106">
        <f t="shared" si="3"/>
        <v>1</v>
      </c>
      <c r="J106">
        <f t="shared" si="5"/>
        <v>1</v>
      </c>
      <c r="K106" s="19" t="s">
        <v>195</v>
      </c>
      <c r="L106" t="s">
        <v>1408</v>
      </c>
      <c r="M106" t="s">
        <v>206</v>
      </c>
      <c r="N106" t="s">
        <v>207</v>
      </c>
      <c r="W106" s="19" t="s">
        <v>195</v>
      </c>
      <c r="X106" t="s">
        <v>1408</v>
      </c>
      <c r="Y106" t="s">
        <v>206</v>
      </c>
    </row>
    <row r="107" spans="2:25" x14ac:dyDescent="0.3">
      <c r="B107">
        <f t="shared" si="4"/>
        <v>1</v>
      </c>
      <c r="C107" t="s">
        <v>1112</v>
      </c>
      <c r="D107" t="s">
        <v>1117</v>
      </c>
      <c r="E107" t="s">
        <v>1118</v>
      </c>
      <c r="F107" t="s">
        <v>1119</v>
      </c>
      <c r="G107">
        <f t="shared" si="3"/>
        <v>1</v>
      </c>
      <c r="J107">
        <f t="shared" si="5"/>
        <v>1</v>
      </c>
      <c r="K107" s="19" t="s">
        <v>1112</v>
      </c>
      <c r="L107" t="s">
        <v>1562</v>
      </c>
      <c r="M107" t="s">
        <v>1118</v>
      </c>
      <c r="N107" t="s">
        <v>1119</v>
      </c>
      <c r="W107" s="19" t="s">
        <v>1112</v>
      </c>
      <c r="X107" t="s">
        <v>1562</v>
      </c>
      <c r="Y107" t="s">
        <v>1118</v>
      </c>
    </row>
    <row r="108" spans="2:25" x14ac:dyDescent="0.3">
      <c r="B108">
        <f t="shared" si="4"/>
        <v>1</v>
      </c>
      <c r="C108" t="s">
        <v>195</v>
      </c>
      <c r="D108" t="s">
        <v>196</v>
      </c>
      <c r="E108" t="s">
        <v>197</v>
      </c>
      <c r="F108" t="s">
        <v>198</v>
      </c>
      <c r="G108">
        <f t="shared" si="3"/>
        <v>1</v>
      </c>
      <c r="J108">
        <f t="shared" si="5"/>
        <v>1</v>
      </c>
      <c r="K108" s="19" t="s">
        <v>195</v>
      </c>
      <c r="L108" t="s">
        <v>1407</v>
      </c>
      <c r="M108" t="s">
        <v>197</v>
      </c>
      <c r="N108" t="s">
        <v>198</v>
      </c>
      <c r="W108" s="19" t="s">
        <v>195</v>
      </c>
      <c r="X108" t="s">
        <v>1407</v>
      </c>
      <c r="Y108" t="s">
        <v>197</v>
      </c>
    </row>
    <row r="109" spans="2:25" x14ac:dyDescent="0.3">
      <c r="B109">
        <f t="shared" si="4"/>
        <v>1</v>
      </c>
      <c r="C109" t="s">
        <v>670</v>
      </c>
      <c r="D109" t="s">
        <v>680</v>
      </c>
      <c r="E109" t="s">
        <v>681</v>
      </c>
      <c r="F109" t="s">
        <v>682</v>
      </c>
      <c r="G109">
        <f t="shared" si="3"/>
        <v>1</v>
      </c>
      <c r="J109">
        <f t="shared" si="5"/>
        <v>1</v>
      </c>
      <c r="K109" s="19" t="s">
        <v>670</v>
      </c>
      <c r="L109" t="s">
        <v>1467</v>
      </c>
      <c r="M109" t="s">
        <v>681</v>
      </c>
      <c r="N109" t="s">
        <v>682</v>
      </c>
      <c r="W109" s="19" t="s">
        <v>670</v>
      </c>
      <c r="X109" t="s">
        <v>1467</v>
      </c>
      <c r="Y109" t="s">
        <v>681</v>
      </c>
    </row>
    <row r="110" spans="2:25" x14ac:dyDescent="0.3">
      <c r="B110">
        <f t="shared" si="4"/>
        <v>1</v>
      </c>
      <c r="C110" t="s">
        <v>547</v>
      </c>
      <c r="D110" t="s">
        <v>548</v>
      </c>
      <c r="E110" t="s">
        <v>549</v>
      </c>
      <c r="F110" t="s">
        <v>550</v>
      </c>
      <c r="G110">
        <f t="shared" si="3"/>
        <v>1</v>
      </c>
      <c r="J110">
        <f t="shared" si="5"/>
        <v>1</v>
      </c>
      <c r="K110" s="19" t="s">
        <v>547</v>
      </c>
      <c r="L110" t="s">
        <v>548</v>
      </c>
      <c r="M110" t="s">
        <v>549</v>
      </c>
      <c r="N110" t="s">
        <v>550</v>
      </c>
      <c r="W110" s="19" t="s">
        <v>547</v>
      </c>
      <c r="X110" t="s">
        <v>548</v>
      </c>
      <c r="Y110" t="s">
        <v>549</v>
      </c>
    </row>
    <row r="111" spans="2:25" x14ac:dyDescent="0.3">
      <c r="B111">
        <f t="shared" si="4"/>
        <v>1</v>
      </c>
      <c r="C111" t="s">
        <v>547</v>
      </c>
      <c r="D111" t="s">
        <v>568</v>
      </c>
      <c r="E111" t="s">
        <v>569</v>
      </c>
      <c r="F111" t="s">
        <v>570</v>
      </c>
      <c r="G111">
        <f t="shared" si="3"/>
        <v>1</v>
      </c>
      <c r="J111">
        <f t="shared" si="5"/>
        <v>1</v>
      </c>
      <c r="K111" s="19" t="s">
        <v>547</v>
      </c>
      <c r="L111" t="s">
        <v>568</v>
      </c>
      <c r="M111" t="s">
        <v>569</v>
      </c>
      <c r="N111" t="s">
        <v>570</v>
      </c>
      <c r="W111" s="19" t="s">
        <v>547</v>
      </c>
      <c r="X111" t="s">
        <v>568</v>
      </c>
      <c r="Y111" t="s">
        <v>569</v>
      </c>
    </row>
    <row r="112" spans="2:25" x14ac:dyDescent="0.3">
      <c r="B112">
        <f t="shared" si="4"/>
        <v>1</v>
      </c>
      <c r="C112" t="s">
        <v>670</v>
      </c>
      <c r="D112" t="s">
        <v>707</v>
      </c>
      <c r="E112" t="s">
        <v>708</v>
      </c>
      <c r="F112" t="s">
        <v>709</v>
      </c>
      <c r="G112">
        <f t="shared" si="3"/>
        <v>1</v>
      </c>
      <c r="J112">
        <f t="shared" si="5"/>
        <v>1</v>
      </c>
      <c r="K112" s="19" t="s">
        <v>670</v>
      </c>
      <c r="L112" t="s">
        <v>1463</v>
      </c>
      <c r="M112" t="s">
        <v>708</v>
      </c>
      <c r="N112" t="s">
        <v>709</v>
      </c>
      <c r="W112" s="19" t="s">
        <v>670</v>
      </c>
      <c r="X112" t="s">
        <v>1463</v>
      </c>
      <c r="Y112" t="s">
        <v>708</v>
      </c>
    </row>
    <row r="113" spans="2:25" x14ac:dyDescent="0.3">
      <c r="B113">
        <f t="shared" si="4"/>
        <v>1</v>
      </c>
      <c r="C113" t="s">
        <v>887</v>
      </c>
      <c r="D113" t="s">
        <v>892</v>
      </c>
      <c r="E113" t="s">
        <v>893</v>
      </c>
      <c r="F113" t="s">
        <v>894</v>
      </c>
      <c r="G113">
        <f t="shared" si="3"/>
        <v>1</v>
      </c>
      <c r="J113">
        <f t="shared" si="5"/>
        <v>1</v>
      </c>
      <c r="K113" s="19" t="s">
        <v>887</v>
      </c>
      <c r="L113" t="s">
        <v>1511</v>
      </c>
      <c r="M113" t="s">
        <v>893</v>
      </c>
      <c r="N113" t="s">
        <v>894</v>
      </c>
      <c r="W113" s="19" t="s">
        <v>887</v>
      </c>
      <c r="X113" t="s">
        <v>1511</v>
      </c>
      <c r="Y113" t="s">
        <v>893</v>
      </c>
    </row>
    <row r="114" spans="2:25" x14ac:dyDescent="0.3">
      <c r="B114">
        <f t="shared" si="4"/>
        <v>1</v>
      </c>
      <c r="C114" t="s">
        <v>887</v>
      </c>
      <c r="D114" t="s">
        <v>901</v>
      </c>
      <c r="E114" t="s">
        <v>902</v>
      </c>
      <c r="F114" t="s">
        <v>903</v>
      </c>
      <c r="G114">
        <f t="shared" si="3"/>
        <v>1</v>
      </c>
      <c r="J114">
        <f t="shared" si="5"/>
        <v>1</v>
      </c>
      <c r="K114" s="19" t="s">
        <v>887</v>
      </c>
      <c r="L114" t="s">
        <v>1509</v>
      </c>
      <c r="M114" t="s">
        <v>902</v>
      </c>
      <c r="N114" t="s">
        <v>903</v>
      </c>
      <c r="W114" s="19" t="s">
        <v>887</v>
      </c>
      <c r="X114" t="s">
        <v>1509</v>
      </c>
      <c r="Y114" t="s">
        <v>902</v>
      </c>
    </row>
    <row r="115" spans="2:25" x14ac:dyDescent="0.3">
      <c r="B115">
        <f t="shared" si="4"/>
        <v>1</v>
      </c>
      <c r="C115" t="s">
        <v>1292</v>
      </c>
      <c r="D115" t="s">
        <v>1322</v>
      </c>
      <c r="E115" t="s">
        <v>1323</v>
      </c>
      <c r="F115" t="s">
        <v>1324</v>
      </c>
      <c r="G115">
        <f t="shared" si="3"/>
        <v>1</v>
      </c>
      <c r="J115">
        <f t="shared" si="5"/>
        <v>1</v>
      </c>
      <c r="K115" s="19" t="s">
        <v>1292</v>
      </c>
      <c r="L115" t="s">
        <v>1598</v>
      </c>
      <c r="M115" t="s">
        <v>1323</v>
      </c>
      <c r="N115" t="s">
        <v>1324</v>
      </c>
      <c r="W115" s="19" t="s">
        <v>1292</v>
      </c>
      <c r="X115" t="s">
        <v>1598</v>
      </c>
      <c r="Y115" t="s">
        <v>1323</v>
      </c>
    </row>
    <row r="116" spans="2:25" x14ac:dyDescent="0.3">
      <c r="B116">
        <f t="shared" si="4"/>
        <v>1</v>
      </c>
      <c r="C116" t="s">
        <v>275</v>
      </c>
      <c r="D116" t="s">
        <v>302</v>
      </c>
      <c r="E116" t="s">
        <v>303</v>
      </c>
      <c r="F116" t="s">
        <v>304</v>
      </c>
      <c r="G116">
        <f t="shared" si="3"/>
        <v>1</v>
      </c>
      <c r="J116">
        <f t="shared" si="5"/>
        <v>1</v>
      </c>
      <c r="K116" s="19" t="s">
        <v>275</v>
      </c>
      <c r="L116" t="s">
        <v>302</v>
      </c>
      <c r="M116" t="s">
        <v>1424</v>
      </c>
      <c r="N116" t="s">
        <v>304</v>
      </c>
      <c r="W116" s="19" t="s">
        <v>275</v>
      </c>
      <c r="X116" t="s">
        <v>302</v>
      </c>
      <c r="Y116" t="s">
        <v>1424</v>
      </c>
    </row>
    <row r="117" spans="2:25" x14ac:dyDescent="0.3">
      <c r="B117">
        <f t="shared" si="4"/>
        <v>1</v>
      </c>
      <c r="C117" t="s">
        <v>275</v>
      </c>
      <c r="D117" t="s">
        <v>292</v>
      </c>
      <c r="E117" t="s">
        <v>293</v>
      </c>
      <c r="F117" t="s">
        <v>294</v>
      </c>
      <c r="G117">
        <f t="shared" si="3"/>
        <v>1</v>
      </c>
      <c r="J117">
        <f t="shared" si="5"/>
        <v>1</v>
      </c>
      <c r="K117" s="19" t="s">
        <v>275</v>
      </c>
      <c r="L117" t="s">
        <v>292</v>
      </c>
      <c r="M117" t="s">
        <v>293</v>
      </c>
      <c r="N117" t="s">
        <v>294</v>
      </c>
      <c r="W117" s="19" t="s">
        <v>275</v>
      </c>
      <c r="X117" t="s">
        <v>292</v>
      </c>
      <c r="Y117" t="s">
        <v>293</v>
      </c>
    </row>
    <row r="118" spans="2:25" x14ac:dyDescent="0.3">
      <c r="B118">
        <f t="shared" si="4"/>
        <v>1</v>
      </c>
      <c r="C118" t="s">
        <v>275</v>
      </c>
      <c r="D118" t="s">
        <v>276</v>
      </c>
      <c r="E118" t="s">
        <v>91</v>
      </c>
      <c r="F118" t="s">
        <v>277</v>
      </c>
      <c r="G118">
        <f t="shared" si="3"/>
        <v>1</v>
      </c>
      <c r="J118">
        <f t="shared" si="5"/>
        <v>1</v>
      </c>
      <c r="K118" s="19" t="s">
        <v>275</v>
      </c>
      <c r="L118" t="s">
        <v>276</v>
      </c>
      <c r="M118" t="s">
        <v>1426</v>
      </c>
      <c r="N118" t="s">
        <v>277</v>
      </c>
      <c r="W118" s="19" t="s">
        <v>275</v>
      </c>
      <c r="X118" t="s">
        <v>276</v>
      </c>
      <c r="Y118" t="s">
        <v>1426</v>
      </c>
    </row>
    <row r="119" spans="2:25" x14ac:dyDescent="0.3">
      <c r="B119">
        <f t="shared" si="4"/>
        <v>1</v>
      </c>
      <c r="C119" t="s">
        <v>1180</v>
      </c>
      <c r="D119" t="s">
        <v>1235</v>
      </c>
      <c r="E119" t="s">
        <v>1236</v>
      </c>
      <c r="F119" t="s">
        <v>1237</v>
      </c>
      <c r="G119">
        <f t="shared" si="3"/>
        <v>1</v>
      </c>
      <c r="J119">
        <f t="shared" si="5"/>
        <v>1</v>
      </c>
      <c r="K119" s="19" t="s">
        <v>1180</v>
      </c>
      <c r="L119" t="s">
        <v>1588</v>
      </c>
      <c r="M119" t="s">
        <v>1236</v>
      </c>
      <c r="N119" t="s">
        <v>1237</v>
      </c>
      <c r="W119" s="19" t="s">
        <v>1180</v>
      </c>
      <c r="X119" t="s">
        <v>1588</v>
      </c>
      <c r="Y119" t="s">
        <v>1236</v>
      </c>
    </row>
    <row r="120" spans="2:25" x14ac:dyDescent="0.3">
      <c r="B120">
        <f t="shared" si="4"/>
        <v>1</v>
      </c>
      <c r="C120" t="s">
        <v>1046</v>
      </c>
      <c r="D120" t="s">
        <v>1047</v>
      </c>
      <c r="E120" t="s">
        <v>303</v>
      </c>
      <c r="F120" t="s">
        <v>1048</v>
      </c>
      <c r="G120">
        <f t="shared" si="3"/>
        <v>1</v>
      </c>
      <c r="J120">
        <f t="shared" si="5"/>
        <v>1</v>
      </c>
      <c r="K120" s="19" t="s">
        <v>1046</v>
      </c>
      <c r="L120" t="s">
        <v>1047</v>
      </c>
      <c r="M120" t="s">
        <v>1545</v>
      </c>
      <c r="N120" t="s">
        <v>1048</v>
      </c>
      <c r="W120" s="19" t="s">
        <v>1046</v>
      </c>
      <c r="X120" t="s">
        <v>1047</v>
      </c>
      <c r="Y120" t="s">
        <v>1545</v>
      </c>
    </row>
    <row r="121" spans="2:25" x14ac:dyDescent="0.3">
      <c r="B121">
        <f t="shared" si="4"/>
        <v>1</v>
      </c>
      <c r="C121" t="s">
        <v>473</v>
      </c>
      <c r="D121" t="s">
        <v>528</v>
      </c>
      <c r="E121" t="s">
        <v>529</v>
      </c>
      <c r="F121" t="s">
        <v>530</v>
      </c>
      <c r="G121">
        <f t="shared" si="3"/>
        <v>1</v>
      </c>
      <c r="J121">
        <f t="shared" si="5"/>
        <v>1</v>
      </c>
      <c r="K121" s="19" t="s">
        <v>473</v>
      </c>
      <c r="L121" t="s">
        <v>528</v>
      </c>
      <c r="M121" t="s">
        <v>529</v>
      </c>
      <c r="N121" t="s">
        <v>530</v>
      </c>
      <c r="W121" s="19" t="s">
        <v>473</v>
      </c>
      <c r="X121" t="s">
        <v>528</v>
      </c>
      <c r="Y121" t="s">
        <v>529</v>
      </c>
    </row>
    <row r="122" spans="2:25" x14ac:dyDescent="0.3">
      <c r="B122">
        <f t="shared" si="4"/>
        <v>1</v>
      </c>
      <c r="C122" t="s">
        <v>1046</v>
      </c>
      <c r="D122" t="s">
        <v>1054</v>
      </c>
      <c r="E122" t="s">
        <v>1055</v>
      </c>
      <c r="F122" t="s">
        <v>1056</v>
      </c>
      <c r="G122">
        <f t="shared" si="3"/>
        <v>1</v>
      </c>
      <c r="J122">
        <f t="shared" si="5"/>
        <v>1</v>
      </c>
      <c r="K122" s="19" t="s">
        <v>1046</v>
      </c>
      <c r="L122" t="s">
        <v>1548</v>
      </c>
      <c r="M122" t="s">
        <v>1055</v>
      </c>
      <c r="N122" t="s">
        <v>1056</v>
      </c>
      <c r="W122" s="19" t="s">
        <v>1046</v>
      </c>
      <c r="X122" t="s">
        <v>1548</v>
      </c>
      <c r="Y122" t="s">
        <v>1055</v>
      </c>
    </row>
    <row r="123" spans="2:25" x14ac:dyDescent="0.3">
      <c r="B123">
        <f t="shared" si="4"/>
        <v>1</v>
      </c>
      <c r="C123" t="s">
        <v>1046</v>
      </c>
      <c r="D123" t="s">
        <v>1072</v>
      </c>
      <c r="E123" t="s">
        <v>1073</v>
      </c>
      <c r="F123" t="s">
        <v>1074</v>
      </c>
      <c r="G123">
        <f t="shared" si="3"/>
        <v>1</v>
      </c>
      <c r="J123">
        <f t="shared" si="5"/>
        <v>1</v>
      </c>
      <c r="K123" s="19" t="s">
        <v>1046</v>
      </c>
      <c r="L123" t="s">
        <v>1544</v>
      </c>
      <c r="M123" t="s">
        <v>1073</v>
      </c>
      <c r="N123" t="s">
        <v>1074</v>
      </c>
      <c r="W123" s="19" t="s">
        <v>1046</v>
      </c>
      <c r="X123" t="s">
        <v>1544</v>
      </c>
      <c r="Y123" t="s">
        <v>1073</v>
      </c>
    </row>
    <row r="124" spans="2:25" x14ac:dyDescent="0.3">
      <c r="B124">
        <f t="shared" si="4"/>
        <v>1</v>
      </c>
      <c r="C124" t="s">
        <v>715</v>
      </c>
      <c r="D124" t="s">
        <v>751</v>
      </c>
      <c r="E124" t="s">
        <v>752</v>
      </c>
      <c r="F124" t="s">
        <v>753</v>
      </c>
      <c r="G124">
        <f t="shared" si="3"/>
        <v>1</v>
      </c>
      <c r="J124">
        <f t="shared" si="5"/>
        <v>1</v>
      </c>
      <c r="K124" s="19" t="s">
        <v>715</v>
      </c>
      <c r="L124" t="s">
        <v>1487</v>
      </c>
      <c r="M124" t="s">
        <v>752</v>
      </c>
      <c r="N124" t="s">
        <v>753</v>
      </c>
      <c r="W124" s="19" t="s">
        <v>715</v>
      </c>
      <c r="X124" t="s">
        <v>1487</v>
      </c>
      <c r="Y124" t="s">
        <v>752</v>
      </c>
    </row>
    <row r="125" spans="2:25" x14ac:dyDescent="0.3">
      <c r="B125">
        <f t="shared" si="4"/>
        <v>1</v>
      </c>
      <c r="C125" t="s">
        <v>1046</v>
      </c>
      <c r="D125" t="s">
        <v>1059</v>
      </c>
      <c r="E125" t="s">
        <v>1060</v>
      </c>
      <c r="F125" t="s">
        <v>1061</v>
      </c>
      <c r="G125">
        <f t="shared" si="3"/>
        <v>1</v>
      </c>
      <c r="J125">
        <f t="shared" si="5"/>
        <v>1</v>
      </c>
      <c r="K125" s="19" t="s">
        <v>1046</v>
      </c>
      <c r="L125" t="s">
        <v>1550</v>
      </c>
      <c r="M125" t="s">
        <v>1060</v>
      </c>
      <c r="N125" t="s">
        <v>1061</v>
      </c>
      <c r="W125" s="19" t="s">
        <v>1046</v>
      </c>
      <c r="X125" t="s">
        <v>1550</v>
      </c>
      <c r="Y125" t="s">
        <v>1060</v>
      </c>
    </row>
    <row r="126" spans="2:25" x14ac:dyDescent="0.3">
      <c r="B126">
        <f t="shared" si="4"/>
        <v>1</v>
      </c>
      <c r="C126" t="s">
        <v>473</v>
      </c>
      <c r="D126" t="s">
        <v>501</v>
      </c>
      <c r="E126" t="s">
        <v>502</v>
      </c>
      <c r="F126" t="s">
        <v>503</v>
      </c>
      <c r="G126">
        <f t="shared" si="3"/>
        <v>1</v>
      </c>
      <c r="J126">
        <f t="shared" si="5"/>
        <v>1</v>
      </c>
      <c r="K126" s="19" t="s">
        <v>473</v>
      </c>
      <c r="L126" t="s">
        <v>501</v>
      </c>
      <c r="M126" t="s">
        <v>502</v>
      </c>
      <c r="N126" t="s">
        <v>503</v>
      </c>
      <c r="W126" s="19" t="s">
        <v>473</v>
      </c>
      <c r="X126" t="s">
        <v>501</v>
      </c>
      <c r="Y126" t="s">
        <v>502</v>
      </c>
    </row>
    <row r="127" spans="2:25" x14ac:dyDescent="0.3">
      <c r="B127">
        <f t="shared" si="4"/>
        <v>1</v>
      </c>
      <c r="C127" t="s">
        <v>887</v>
      </c>
      <c r="D127" t="s">
        <v>909</v>
      </c>
      <c r="E127" t="s">
        <v>910</v>
      </c>
      <c r="F127" t="s">
        <v>911</v>
      </c>
      <c r="G127">
        <f t="shared" si="3"/>
        <v>1</v>
      </c>
      <c r="J127">
        <f t="shared" si="5"/>
        <v>1</v>
      </c>
      <c r="K127" s="19" t="s">
        <v>887</v>
      </c>
      <c r="L127" t="s">
        <v>1512</v>
      </c>
      <c r="M127" t="s">
        <v>910</v>
      </c>
      <c r="N127" t="s">
        <v>911</v>
      </c>
      <c r="W127" s="19" t="s">
        <v>887</v>
      </c>
      <c r="X127" t="s">
        <v>1512</v>
      </c>
      <c r="Y127" t="s">
        <v>910</v>
      </c>
    </row>
    <row r="128" spans="2:25" x14ac:dyDescent="0.3">
      <c r="B128">
        <f t="shared" si="4"/>
        <v>1</v>
      </c>
      <c r="C128" t="s">
        <v>756</v>
      </c>
      <c r="D128" t="s">
        <v>784</v>
      </c>
      <c r="E128" t="s">
        <v>785</v>
      </c>
      <c r="F128" t="s">
        <v>786</v>
      </c>
      <c r="G128">
        <f t="shared" si="3"/>
        <v>1</v>
      </c>
      <c r="J128">
        <f t="shared" si="5"/>
        <v>1</v>
      </c>
      <c r="K128" s="19" t="s">
        <v>756</v>
      </c>
      <c r="L128" t="s">
        <v>784</v>
      </c>
      <c r="M128" t="s">
        <v>785</v>
      </c>
      <c r="N128" t="s">
        <v>786</v>
      </c>
      <c r="W128" s="19" t="s">
        <v>756</v>
      </c>
      <c r="X128" t="s">
        <v>784</v>
      </c>
      <c r="Y128" t="s">
        <v>785</v>
      </c>
    </row>
    <row r="129" spans="2:25" x14ac:dyDescent="0.3">
      <c r="B129">
        <f t="shared" si="4"/>
        <v>1</v>
      </c>
      <c r="C129" t="s">
        <v>756</v>
      </c>
      <c r="D129" t="s">
        <v>768</v>
      </c>
      <c r="E129" t="s">
        <v>100</v>
      </c>
      <c r="F129" t="s">
        <v>769</v>
      </c>
      <c r="G129">
        <f t="shared" si="3"/>
        <v>1</v>
      </c>
      <c r="J129">
        <f t="shared" si="5"/>
        <v>1</v>
      </c>
      <c r="K129" s="19" t="s">
        <v>756</v>
      </c>
      <c r="L129" t="s">
        <v>768</v>
      </c>
      <c r="M129" t="s">
        <v>1489</v>
      </c>
      <c r="N129" t="s">
        <v>769</v>
      </c>
      <c r="W129" s="19" t="s">
        <v>756</v>
      </c>
      <c r="X129" t="s">
        <v>768</v>
      </c>
      <c r="Y129" t="s">
        <v>1489</v>
      </c>
    </row>
    <row r="130" spans="2:25" x14ac:dyDescent="0.3">
      <c r="B130">
        <f t="shared" si="4"/>
        <v>1</v>
      </c>
      <c r="C130" t="s">
        <v>1292</v>
      </c>
      <c r="D130" t="s">
        <v>1293</v>
      </c>
      <c r="E130" t="s">
        <v>1294</v>
      </c>
      <c r="F130" t="s">
        <v>1295</v>
      </c>
      <c r="G130">
        <f t="shared" si="3"/>
        <v>1</v>
      </c>
      <c r="J130">
        <f t="shared" si="5"/>
        <v>1</v>
      </c>
      <c r="K130" s="19" t="s">
        <v>1292</v>
      </c>
      <c r="L130" t="s">
        <v>1596</v>
      </c>
      <c r="M130" t="s">
        <v>1294</v>
      </c>
      <c r="N130" t="s">
        <v>1295</v>
      </c>
      <c r="W130" s="19" t="s">
        <v>1292</v>
      </c>
      <c r="X130" t="s">
        <v>1596</v>
      </c>
      <c r="Y130" t="s">
        <v>1294</v>
      </c>
    </row>
    <row r="131" spans="2:25" x14ac:dyDescent="0.3">
      <c r="B131">
        <f t="shared" si="4"/>
        <v>1</v>
      </c>
      <c r="C131" t="s">
        <v>275</v>
      </c>
      <c r="D131" t="s">
        <v>288</v>
      </c>
      <c r="E131" t="s">
        <v>289</v>
      </c>
      <c r="F131" t="s">
        <v>290</v>
      </c>
      <c r="G131">
        <f t="shared" si="3"/>
        <v>1</v>
      </c>
      <c r="J131">
        <f t="shared" si="5"/>
        <v>1</v>
      </c>
      <c r="K131" s="19" t="s">
        <v>275</v>
      </c>
      <c r="L131" t="s">
        <v>288</v>
      </c>
      <c r="M131" t="s">
        <v>289</v>
      </c>
      <c r="N131" t="s">
        <v>290</v>
      </c>
      <c r="W131" s="19" t="s">
        <v>275</v>
      </c>
      <c r="X131" t="s">
        <v>288</v>
      </c>
      <c r="Y131" t="s">
        <v>289</v>
      </c>
    </row>
    <row r="132" spans="2:25" x14ac:dyDescent="0.3">
      <c r="B132">
        <f t="shared" si="4"/>
        <v>1</v>
      </c>
      <c r="C132" t="s">
        <v>573</v>
      </c>
      <c r="D132" t="s">
        <v>613</v>
      </c>
      <c r="E132" t="s">
        <v>614</v>
      </c>
      <c r="F132" t="s">
        <v>615</v>
      </c>
      <c r="G132">
        <f t="shared" si="3"/>
        <v>1</v>
      </c>
      <c r="J132">
        <f t="shared" si="5"/>
        <v>1</v>
      </c>
      <c r="K132" s="19" t="s">
        <v>573</v>
      </c>
      <c r="L132" t="s">
        <v>1446</v>
      </c>
      <c r="M132" t="s">
        <v>614</v>
      </c>
      <c r="N132" t="s">
        <v>615</v>
      </c>
      <c r="W132" s="19" t="s">
        <v>573</v>
      </c>
      <c r="X132" t="s">
        <v>1446</v>
      </c>
      <c r="Y132" t="s">
        <v>614</v>
      </c>
    </row>
    <row r="133" spans="2:25" x14ac:dyDescent="0.3">
      <c r="B133">
        <f t="shared" si="4"/>
        <v>1</v>
      </c>
      <c r="C133" t="s">
        <v>756</v>
      </c>
      <c r="D133" t="s">
        <v>760</v>
      </c>
      <c r="E133" t="s">
        <v>761</v>
      </c>
      <c r="F133" t="s">
        <v>762</v>
      </c>
      <c r="G133">
        <f t="shared" si="3"/>
        <v>1</v>
      </c>
      <c r="J133">
        <f t="shared" si="5"/>
        <v>1</v>
      </c>
      <c r="K133" s="19" t="s">
        <v>756</v>
      </c>
      <c r="L133" t="s">
        <v>760</v>
      </c>
      <c r="M133" t="s">
        <v>761</v>
      </c>
      <c r="N133" t="s">
        <v>762</v>
      </c>
      <c r="W133" s="19" t="s">
        <v>756</v>
      </c>
      <c r="X133" t="s">
        <v>760</v>
      </c>
      <c r="Y133" t="s">
        <v>761</v>
      </c>
    </row>
    <row r="134" spans="2:25" x14ac:dyDescent="0.3">
      <c r="B134">
        <f t="shared" si="4"/>
        <v>1</v>
      </c>
      <c r="C134" t="s">
        <v>756</v>
      </c>
      <c r="D134" t="s">
        <v>764</v>
      </c>
      <c r="E134" t="s">
        <v>765</v>
      </c>
      <c r="F134" t="s">
        <v>766</v>
      </c>
      <c r="G134">
        <f t="shared" ref="G134:G197" si="6">IF(F134=N134,1,0)</f>
        <v>1</v>
      </c>
      <c r="J134">
        <f t="shared" si="5"/>
        <v>1</v>
      </c>
      <c r="K134" s="19" t="s">
        <v>756</v>
      </c>
      <c r="L134" t="s">
        <v>764</v>
      </c>
      <c r="M134" t="s">
        <v>765</v>
      </c>
      <c r="N134" t="s">
        <v>766</v>
      </c>
      <c r="W134" s="19" t="s">
        <v>756</v>
      </c>
      <c r="X134" t="s">
        <v>764</v>
      </c>
      <c r="Y134" t="s">
        <v>765</v>
      </c>
    </row>
    <row r="135" spans="2:25" x14ac:dyDescent="0.3">
      <c r="B135">
        <f t="shared" si="4"/>
        <v>1</v>
      </c>
      <c r="C135" t="s">
        <v>756</v>
      </c>
      <c r="D135" t="s">
        <v>792</v>
      </c>
      <c r="E135" t="s">
        <v>793</v>
      </c>
      <c r="F135" t="s">
        <v>794</v>
      </c>
      <c r="G135">
        <f t="shared" si="6"/>
        <v>1</v>
      </c>
      <c r="J135">
        <f t="shared" si="5"/>
        <v>1</v>
      </c>
      <c r="K135" s="19" t="s">
        <v>756</v>
      </c>
      <c r="L135" t="s">
        <v>792</v>
      </c>
      <c r="M135" t="s">
        <v>793</v>
      </c>
      <c r="N135" t="s">
        <v>794</v>
      </c>
      <c r="W135" s="19" t="s">
        <v>756</v>
      </c>
      <c r="X135" t="s">
        <v>792</v>
      </c>
      <c r="Y135" t="s">
        <v>793</v>
      </c>
    </row>
    <row r="136" spans="2:25" x14ac:dyDescent="0.3">
      <c r="B136">
        <f t="shared" si="4"/>
        <v>1</v>
      </c>
      <c r="C136" t="s">
        <v>756</v>
      </c>
      <c r="D136" t="s">
        <v>797</v>
      </c>
      <c r="E136" t="s">
        <v>798</v>
      </c>
      <c r="F136" t="s">
        <v>799</v>
      </c>
      <c r="G136">
        <f t="shared" si="6"/>
        <v>1</v>
      </c>
      <c r="J136">
        <f t="shared" si="5"/>
        <v>1</v>
      </c>
      <c r="K136" s="19" t="s">
        <v>756</v>
      </c>
      <c r="L136" t="s">
        <v>797</v>
      </c>
      <c r="M136" t="s">
        <v>798</v>
      </c>
      <c r="N136" t="s">
        <v>799</v>
      </c>
      <c r="W136" s="19" t="s">
        <v>756</v>
      </c>
      <c r="X136" t="s">
        <v>797</v>
      </c>
      <c r="Y136" t="s">
        <v>798</v>
      </c>
    </row>
    <row r="137" spans="2:25" x14ac:dyDescent="0.3">
      <c r="B137">
        <f t="shared" si="4"/>
        <v>1</v>
      </c>
      <c r="C137" t="s">
        <v>756</v>
      </c>
      <c r="D137" t="s">
        <v>789</v>
      </c>
      <c r="E137" t="s">
        <v>790</v>
      </c>
      <c r="F137" t="s">
        <v>791</v>
      </c>
      <c r="G137">
        <f t="shared" si="6"/>
        <v>1</v>
      </c>
      <c r="J137">
        <f t="shared" si="5"/>
        <v>1</v>
      </c>
      <c r="K137" s="19" t="s">
        <v>756</v>
      </c>
      <c r="L137" t="s">
        <v>789</v>
      </c>
      <c r="M137" t="s">
        <v>790</v>
      </c>
      <c r="N137" t="s">
        <v>791</v>
      </c>
      <c r="W137" s="19" t="s">
        <v>756</v>
      </c>
      <c r="X137" t="s">
        <v>789</v>
      </c>
      <c r="Y137" t="s">
        <v>790</v>
      </c>
    </row>
    <row r="138" spans="2:25" x14ac:dyDescent="0.3">
      <c r="B138">
        <f t="shared" si="4"/>
        <v>1</v>
      </c>
      <c r="C138" t="s">
        <v>756</v>
      </c>
      <c r="D138" t="s">
        <v>770</v>
      </c>
      <c r="E138" t="s">
        <v>771</v>
      </c>
      <c r="F138" t="s">
        <v>772</v>
      </c>
      <c r="G138">
        <f t="shared" si="6"/>
        <v>1</v>
      </c>
      <c r="J138">
        <f t="shared" si="5"/>
        <v>1</v>
      </c>
      <c r="K138" s="19" t="s">
        <v>756</v>
      </c>
      <c r="L138" t="s">
        <v>770</v>
      </c>
      <c r="M138" t="s">
        <v>771</v>
      </c>
      <c r="N138" t="s">
        <v>772</v>
      </c>
      <c r="W138" s="19" t="s">
        <v>756</v>
      </c>
      <c r="X138" t="s">
        <v>770</v>
      </c>
      <c r="Y138" t="s">
        <v>771</v>
      </c>
    </row>
    <row r="139" spans="2:25" x14ac:dyDescent="0.3">
      <c r="B139">
        <f t="shared" ref="B139:B202" si="7">COUNTIF($N$6:$N$303,F139)</f>
        <v>1</v>
      </c>
      <c r="C139" t="s">
        <v>756</v>
      </c>
      <c r="D139" t="s">
        <v>757</v>
      </c>
      <c r="E139" t="s">
        <v>758</v>
      </c>
      <c r="F139" t="s">
        <v>759</v>
      </c>
      <c r="G139">
        <f t="shared" si="6"/>
        <v>1</v>
      </c>
      <c r="J139">
        <f t="shared" ref="J139:J202" si="8">COUNTIF($F$6:$F$303,N139)</f>
        <v>1</v>
      </c>
      <c r="K139" s="19" t="s">
        <v>756</v>
      </c>
      <c r="L139" t="s">
        <v>757</v>
      </c>
      <c r="M139" t="s">
        <v>758</v>
      </c>
      <c r="N139" t="s">
        <v>759</v>
      </c>
      <c r="W139" s="19" t="s">
        <v>756</v>
      </c>
      <c r="X139" t="s">
        <v>757</v>
      </c>
      <c r="Y139" t="s">
        <v>758</v>
      </c>
    </row>
    <row r="140" spans="2:25" x14ac:dyDescent="0.3">
      <c r="B140">
        <f t="shared" si="7"/>
        <v>1</v>
      </c>
      <c r="C140" t="s">
        <v>330</v>
      </c>
      <c r="D140" t="s">
        <v>334</v>
      </c>
      <c r="E140" t="s">
        <v>335</v>
      </c>
      <c r="F140" t="s">
        <v>336</v>
      </c>
      <c r="G140">
        <f t="shared" si="6"/>
        <v>1</v>
      </c>
      <c r="J140">
        <f t="shared" si="8"/>
        <v>1</v>
      </c>
      <c r="K140" s="19" t="s">
        <v>330</v>
      </c>
      <c r="L140" t="s">
        <v>334</v>
      </c>
      <c r="M140" t="s">
        <v>335</v>
      </c>
      <c r="N140" t="s">
        <v>336</v>
      </c>
      <c r="W140" s="19" t="s">
        <v>330</v>
      </c>
      <c r="X140" t="s">
        <v>334</v>
      </c>
      <c r="Y140" t="s">
        <v>335</v>
      </c>
    </row>
    <row r="141" spans="2:25" x14ac:dyDescent="0.3">
      <c r="B141">
        <f t="shared" si="7"/>
        <v>1</v>
      </c>
      <c r="C141" t="s">
        <v>756</v>
      </c>
      <c r="D141" t="s">
        <v>805</v>
      </c>
      <c r="E141" t="s">
        <v>806</v>
      </c>
      <c r="F141" t="s">
        <v>807</v>
      </c>
      <c r="G141">
        <f t="shared" si="6"/>
        <v>1</v>
      </c>
      <c r="J141">
        <f t="shared" si="8"/>
        <v>1</v>
      </c>
      <c r="K141" s="19" t="s">
        <v>756</v>
      </c>
      <c r="L141" t="s">
        <v>805</v>
      </c>
      <c r="M141" t="s">
        <v>1491</v>
      </c>
      <c r="N141" t="s">
        <v>807</v>
      </c>
      <c r="W141" s="19" t="s">
        <v>756</v>
      </c>
      <c r="X141" t="s">
        <v>805</v>
      </c>
      <c r="Y141" t="s">
        <v>1491</v>
      </c>
    </row>
    <row r="142" spans="2:25" x14ac:dyDescent="0.3">
      <c r="B142">
        <f t="shared" si="7"/>
        <v>1</v>
      </c>
      <c r="C142" t="s">
        <v>1046</v>
      </c>
      <c r="D142" t="s">
        <v>1050</v>
      </c>
      <c r="E142" t="s">
        <v>816</v>
      </c>
      <c r="F142" t="s">
        <v>1051</v>
      </c>
      <c r="G142">
        <f t="shared" si="6"/>
        <v>1</v>
      </c>
      <c r="J142">
        <f t="shared" si="8"/>
        <v>1</v>
      </c>
      <c r="K142" s="19" t="s">
        <v>1046</v>
      </c>
      <c r="L142" t="s">
        <v>1546</v>
      </c>
      <c r="M142" t="s">
        <v>1547</v>
      </c>
      <c r="N142" t="s">
        <v>1051</v>
      </c>
      <c r="W142" s="19" t="s">
        <v>1046</v>
      </c>
      <c r="X142" t="s">
        <v>1546</v>
      </c>
      <c r="Y142" t="s">
        <v>1547</v>
      </c>
    </row>
    <row r="143" spans="2:25" x14ac:dyDescent="0.3">
      <c r="B143">
        <f t="shared" si="7"/>
        <v>1</v>
      </c>
      <c r="C143" t="s">
        <v>814</v>
      </c>
      <c r="D143" t="s">
        <v>863</v>
      </c>
      <c r="E143" t="s">
        <v>864</v>
      </c>
      <c r="F143" t="s">
        <v>865</v>
      </c>
      <c r="G143">
        <f t="shared" si="6"/>
        <v>1</v>
      </c>
      <c r="J143">
        <f t="shared" si="8"/>
        <v>1</v>
      </c>
      <c r="K143" s="19" t="s">
        <v>814</v>
      </c>
      <c r="L143" t="s">
        <v>1497</v>
      </c>
      <c r="M143" t="s">
        <v>864</v>
      </c>
      <c r="N143" t="s">
        <v>865</v>
      </c>
      <c r="W143" s="19" t="s">
        <v>814</v>
      </c>
      <c r="X143" t="s">
        <v>1497</v>
      </c>
      <c r="Y143" t="s">
        <v>864</v>
      </c>
    </row>
    <row r="144" spans="2:25" x14ac:dyDescent="0.3">
      <c r="B144">
        <f t="shared" si="7"/>
        <v>1</v>
      </c>
      <c r="C144" t="s">
        <v>1046</v>
      </c>
      <c r="D144" t="s">
        <v>1063</v>
      </c>
      <c r="E144" t="s">
        <v>1064</v>
      </c>
      <c r="F144" t="s">
        <v>1065</v>
      </c>
      <c r="G144">
        <f t="shared" si="6"/>
        <v>1</v>
      </c>
      <c r="J144">
        <f t="shared" si="8"/>
        <v>1</v>
      </c>
      <c r="K144" s="19" t="s">
        <v>1046</v>
      </c>
      <c r="L144" t="s">
        <v>1551</v>
      </c>
      <c r="M144" t="s">
        <v>1064</v>
      </c>
      <c r="N144" t="s">
        <v>1065</v>
      </c>
      <c r="W144" s="19" t="s">
        <v>1046</v>
      </c>
      <c r="X144" t="s">
        <v>1551</v>
      </c>
      <c r="Y144" t="s">
        <v>1064</v>
      </c>
    </row>
    <row r="145" spans="2:25" x14ac:dyDescent="0.3">
      <c r="B145">
        <f t="shared" si="7"/>
        <v>1</v>
      </c>
      <c r="C145" t="s">
        <v>473</v>
      </c>
      <c r="D145" t="s">
        <v>479</v>
      </c>
      <c r="E145" t="s">
        <v>480</v>
      </c>
      <c r="F145" t="s">
        <v>481</v>
      </c>
      <c r="G145">
        <f t="shared" si="6"/>
        <v>1</v>
      </c>
      <c r="J145">
        <f t="shared" si="8"/>
        <v>1</v>
      </c>
      <c r="K145" s="19" t="s">
        <v>473</v>
      </c>
      <c r="L145" t="s">
        <v>1439</v>
      </c>
      <c r="M145" t="s">
        <v>480</v>
      </c>
      <c r="N145" t="s">
        <v>481</v>
      </c>
      <c r="W145" s="19" t="s">
        <v>473</v>
      </c>
      <c r="X145" t="s">
        <v>1439</v>
      </c>
      <c r="Y145" t="s">
        <v>480</v>
      </c>
    </row>
    <row r="146" spans="2:25" x14ac:dyDescent="0.3">
      <c r="B146">
        <f t="shared" si="7"/>
        <v>1</v>
      </c>
      <c r="C146" t="s">
        <v>814</v>
      </c>
      <c r="D146" t="s">
        <v>820</v>
      </c>
      <c r="E146" t="s">
        <v>821</v>
      </c>
      <c r="F146" t="s">
        <v>822</v>
      </c>
      <c r="G146">
        <f t="shared" si="6"/>
        <v>1</v>
      </c>
      <c r="J146">
        <f t="shared" si="8"/>
        <v>1</v>
      </c>
      <c r="K146" s="19" t="s">
        <v>814</v>
      </c>
      <c r="L146" t="s">
        <v>1499</v>
      </c>
      <c r="M146" t="s">
        <v>821</v>
      </c>
      <c r="N146" t="s">
        <v>822</v>
      </c>
      <c r="W146" s="19" t="s">
        <v>814</v>
      </c>
      <c r="X146" t="s">
        <v>1499</v>
      </c>
      <c r="Y146" t="s">
        <v>821</v>
      </c>
    </row>
    <row r="147" spans="2:25" x14ac:dyDescent="0.3">
      <c r="B147">
        <f t="shared" si="7"/>
        <v>1</v>
      </c>
      <c r="C147" t="s">
        <v>1046</v>
      </c>
      <c r="D147" t="s">
        <v>1077</v>
      </c>
      <c r="E147" t="s">
        <v>1078</v>
      </c>
      <c r="F147" t="s">
        <v>1079</v>
      </c>
      <c r="G147">
        <f t="shared" si="6"/>
        <v>1</v>
      </c>
      <c r="J147">
        <f t="shared" si="8"/>
        <v>1</v>
      </c>
      <c r="K147" s="19" t="s">
        <v>1046</v>
      </c>
      <c r="L147" t="s">
        <v>1549</v>
      </c>
      <c r="M147" t="s">
        <v>1078</v>
      </c>
      <c r="N147" t="s">
        <v>1079</v>
      </c>
      <c r="W147" s="19" t="s">
        <v>1046</v>
      </c>
      <c r="X147" t="s">
        <v>1549</v>
      </c>
      <c r="Y147" t="s">
        <v>1078</v>
      </c>
    </row>
    <row r="148" spans="2:25" x14ac:dyDescent="0.3">
      <c r="B148">
        <f t="shared" si="7"/>
        <v>1</v>
      </c>
      <c r="C148" t="s">
        <v>1292</v>
      </c>
      <c r="D148" t="s">
        <v>1329</v>
      </c>
      <c r="E148" t="s">
        <v>1330</v>
      </c>
      <c r="F148" t="s">
        <v>1331</v>
      </c>
      <c r="G148">
        <f t="shared" si="6"/>
        <v>1</v>
      </c>
      <c r="J148">
        <f t="shared" si="8"/>
        <v>1</v>
      </c>
      <c r="K148" s="19" t="s">
        <v>1292</v>
      </c>
      <c r="L148" t="s">
        <v>1601</v>
      </c>
      <c r="M148" t="s">
        <v>1330</v>
      </c>
      <c r="N148" t="s">
        <v>1331</v>
      </c>
      <c r="W148" s="19" t="s">
        <v>1292</v>
      </c>
      <c r="X148" t="s">
        <v>1601</v>
      </c>
      <c r="Y148" t="s">
        <v>1330</v>
      </c>
    </row>
    <row r="149" spans="2:25" x14ac:dyDescent="0.3">
      <c r="B149">
        <f t="shared" si="7"/>
        <v>1</v>
      </c>
      <c r="C149" t="s">
        <v>109</v>
      </c>
      <c r="D149" t="s">
        <v>110</v>
      </c>
      <c r="E149" t="s">
        <v>111</v>
      </c>
      <c r="F149" t="s">
        <v>112</v>
      </c>
      <c r="G149">
        <f t="shared" si="6"/>
        <v>1</v>
      </c>
      <c r="J149">
        <f t="shared" si="8"/>
        <v>1</v>
      </c>
      <c r="K149" s="19" t="s">
        <v>109</v>
      </c>
      <c r="L149" t="s">
        <v>1391</v>
      </c>
      <c r="M149" t="s">
        <v>111</v>
      </c>
      <c r="N149" t="s">
        <v>112</v>
      </c>
      <c r="W149" s="19" t="s">
        <v>109</v>
      </c>
      <c r="X149" t="s">
        <v>1391</v>
      </c>
      <c r="Y149" t="s">
        <v>111</v>
      </c>
    </row>
    <row r="150" spans="2:25" x14ac:dyDescent="0.3">
      <c r="B150">
        <f t="shared" si="7"/>
        <v>1</v>
      </c>
      <c r="C150" t="s">
        <v>814</v>
      </c>
      <c r="D150" t="s">
        <v>848</v>
      </c>
      <c r="E150" t="s">
        <v>849</v>
      </c>
      <c r="F150" t="s">
        <v>850</v>
      </c>
      <c r="G150">
        <f t="shared" si="6"/>
        <v>1</v>
      </c>
      <c r="J150">
        <f t="shared" si="8"/>
        <v>1</v>
      </c>
      <c r="K150" s="19" t="s">
        <v>814</v>
      </c>
      <c r="L150" t="s">
        <v>1492</v>
      </c>
      <c r="M150" t="s">
        <v>849</v>
      </c>
      <c r="N150" t="s">
        <v>850</v>
      </c>
      <c r="W150" s="19" t="s">
        <v>814</v>
      </c>
      <c r="X150" t="s">
        <v>1492</v>
      </c>
      <c r="Y150" t="s">
        <v>849</v>
      </c>
    </row>
    <row r="151" spans="2:25" x14ac:dyDescent="0.3">
      <c r="B151">
        <f t="shared" si="7"/>
        <v>1</v>
      </c>
      <c r="C151" t="s">
        <v>814</v>
      </c>
      <c r="D151" t="s">
        <v>872</v>
      </c>
      <c r="E151" t="s">
        <v>873</v>
      </c>
      <c r="F151" t="s">
        <v>874</v>
      </c>
      <c r="G151">
        <f t="shared" si="6"/>
        <v>1</v>
      </c>
      <c r="J151">
        <f t="shared" si="8"/>
        <v>1</v>
      </c>
      <c r="K151" s="19" t="s">
        <v>814</v>
      </c>
      <c r="L151" t="s">
        <v>1505</v>
      </c>
      <c r="M151" t="s">
        <v>873</v>
      </c>
      <c r="N151" t="s">
        <v>874</v>
      </c>
      <c r="W151" s="19" t="s">
        <v>814</v>
      </c>
      <c r="X151" t="s">
        <v>1505</v>
      </c>
      <c r="Y151" t="s">
        <v>873</v>
      </c>
    </row>
    <row r="152" spans="2:25" x14ac:dyDescent="0.3">
      <c r="B152">
        <f t="shared" si="7"/>
        <v>1</v>
      </c>
      <c r="C152" t="s">
        <v>814</v>
      </c>
      <c r="D152" t="s">
        <v>838</v>
      </c>
      <c r="E152" t="s">
        <v>839</v>
      </c>
      <c r="F152" t="s">
        <v>840</v>
      </c>
      <c r="G152">
        <f t="shared" si="6"/>
        <v>1</v>
      </c>
      <c r="J152">
        <f t="shared" si="8"/>
        <v>1</v>
      </c>
      <c r="K152" s="19" t="s">
        <v>814</v>
      </c>
      <c r="L152" t="s">
        <v>1504</v>
      </c>
      <c r="M152" t="s">
        <v>839</v>
      </c>
      <c r="N152" t="s">
        <v>840</v>
      </c>
      <c r="W152" s="19" t="s">
        <v>814</v>
      </c>
      <c r="X152" t="s">
        <v>1504</v>
      </c>
      <c r="Y152" t="s">
        <v>839</v>
      </c>
    </row>
    <row r="153" spans="2:25" x14ac:dyDescent="0.3">
      <c r="B153">
        <f t="shared" si="7"/>
        <v>1</v>
      </c>
      <c r="C153" t="s">
        <v>814</v>
      </c>
      <c r="D153" t="s">
        <v>858</v>
      </c>
      <c r="E153" t="s">
        <v>859</v>
      </c>
      <c r="F153" t="s">
        <v>860</v>
      </c>
      <c r="G153">
        <f t="shared" si="6"/>
        <v>1</v>
      </c>
      <c r="J153">
        <f t="shared" si="8"/>
        <v>1</v>
      </c>
      <c r="K153" s="19" t="s">
        <v>814</v>
      </c>
      <c r="L153" t="s">
        <v>1496</v>
      </c>
      <c r="M153" t="s">
        <v>859</v>
      </c>
      <c r="N153" t="s">
        <v>860</v>
      </c>
      <c r="W153" s="19" t="s">
        <v>814</v>
      </c>
      <c r="X153" t="s">
        <v>1496</v>
      </c>
      <c r="Y153" t="s">
        <v>859</v>
      </c>
    </row>
    <row r="154" spans="2:25" x14ac:dyDescent="0.3">
      <c r="B154">
        <f t="shared" si="7"/>
        <v>1</v>
      </c>
      <c r="C154" t="s">
        <v>814</v>
      </c>
      <c r="D154" t="s">
        <v>825</v>
      </c>
      <c r="E154" t="s">
        <v>826</v>
      </c>
      <c r="F154" t="s">
        <v>827</v>
      </c>
      <c r="G154">
        <f t="shared" si="6"/>
        <v>1</v>
      </c>
      <c r="J154">
        <f t="shared" si="8"/>
        <v>1</v>
      </c>
      <c r="K154" s="19" t="s">
        <v>814</v>
      </c>
      <c r="L154" t="s">
        <v>1500</v>
      </c>
      <c r="M154" t="s">
        <v>826</v>
      </c>
      <c r="N154" t="s">
        <v>827</v>
      </c>
      <c r="W154" s="19" t="s">
        <v>814</v>
      </c>
      <c r="X154" t="s">
        <v>1500</v>
      </c>
      <c r="Y154" t="s">
        <v>826</v>
      </c>
    </row>
    <row r="155" spans="2:25" x14ac:dyDescent="0.3">
      <c r="B155">
        <f t="shared" si="7"/>
        <v>1</v>
      </c>
      <c r="C155" t="s">
        <v>1292</v>
      </c>
      <c r="D155" t="s">
        <v>1325</v>
      </c>
      <c r="E155" t="s">
        <v>1326</v>
      </c>
      <c r="F155" t="s">
        <v>1327</v>
      </c>
      <c r="G155">
        <f t="shared" si="6"/>
        <v>1</v>
      </c>
      <c r="J155">
        <f t="shared" si="8"/>
        <v>1</v>
      </c>
      <c r="K155" s="19" t="s">
        <v>1292</v>
      </c>
      <c r="L155" t="s">
        <v>1599</v>
      </c>
      <c r="M155" t="s">
        <v>1326</v>
      </c>
      <c r="N155" t="s">
        <v>1327</v>
      </c>
      <c r="W155" s="19" t="s">
        <v>1292</v>
      </c>
      <c r="X155" t="s">
        <v>1599</v>
      </c>
      <c r="Y155" t="s">
        <v>1326</v>
      </c>
    </row>
    <row r="156" spans="2:25" x14ac:dyDescent="0.3">
      <c r="B156">
        <f t="shared" si="7"/>
        <v>1</v>
      </c>
      <c r="C156" t="s">
        <v>1112</v>
      </c>
      <c r="D156" t="s">
        <v>1127</v>
      </c>
      <c r="E156" t="s">
        <v>1127</v>
      </c>
      <c r="F156" t="s">
        <v>1128</v>
      </c>
      <c r="G156">
        <f t="shared" si="6"/>
        <v>1</v>
      </c>
      <c r="J156">
        <f t="shared" si="8"/>
        <v>1</v>
      </c>
      <c r="K156" s="19" t="s">
        <v>1112</v>
      </c>
      <c r="L156" t="s">
        <v>1564</v>
      </c>
      <c r="M156" t="s">
        <v>1127</v>
      </c>
      <c r="N156" t="s">
        <v>1128</v>
      </c>
      <c r="W156" s="19" t="s">
        <v>1112</v>
      </c>
      <c r="X156" t="s">
        <v>1564</v>
      </c>
      <c r="Y156" t="s">
        <v>1127</v>
      </c>
    </row>
    <row r="157" spans="2:25" x14ac:dyDescent="0.3">
      <c r="B157">
        <f t="shared" si="7"/>
        <v>1</v>
      </c>
      <c r="C157" t="s">
        <v>814</v>
      </c>
      <c r="D157" t="s">
        <v>882</v>
      </c>
      <c r="E157" t="s">
        <v>883</v>
      </c>
      <c r="F157" t="s">
        <v>884</v>
      </c>
      <c r="G157">
        <f t="shared" si="6"/>
        <v>1</v>
      </c>
      <c r="J157">
        <f t="shared" si="8"/>
        <v>1</v>
      </c>
      <c r="K157" s="19" t="s">
        <v>814</v>
      </c>
      <c r="L157" t="s">
        <v>1508</v>
      </c>
      <c r="M157" t="s">
        <v>883</v>
      </c>
      <c r="N157" t="s">
        <v>884</v>
      </c>
      <c r="W157" s="19" t="s">
        <v>814</v>
      </c>
      <c r="X157" t="s">
        <v>1508</v>
      </c>
      <c r="Y157" t="s">
        <v>883</v>
      </c>
    </row>
    <row r="158" spans="2:25" x14ac:dyDescent="0.3">
      <c r="B158">
        <f t="shared" si="7"/>
        <v>1</v>
      </c>
      <c r="C158" t="s">
        <v>887</v>
      </c>
      <c r="D158" t="s">
        <v>905</v>
      </c>
      <c r="E158" t="s">
        <v>906</v>
      </c>
      <c r="F158" t="s">
        <v>907</v>
      </c>
      <c r="G158">
        <f t="shared" si="6"/>
        <v>1</v>
      </c>
      <c r="J158">
        <f t="shared" si="8"/>
        <v>1</v>
      </c>
      <c r="K158" s="19" t="s">
        <v>887</v>
      </c>
      <c r="L158" t="s">
        <v>1510</v>
      </c>
      <c r="M158" t="s">
        <v>906</v>
      </c>
      <c r="N158" t="s">
        <v>907</v>
      </c>
      <c r="W158" s="19" t="s">
        <v>887</v>
      </c>
      <c r="X158" t="s">
        <v>1510</v>
      </c>
      <c r="Y158" t="s">
        <v>906</v>
      </c>
    </row>
    <row r="159" spans="2:25" x14ac:dyDescent="0.3">
      <c r="B159">
        <f t="shared" si="7"/>
        <v>1</v>
      </c>
      <c r="C159" t="s">
        <v>109</v>
      </c>
      <c r="D159" t="s">
        <v>122</v>
      </c>
      <c r="E159" t="s">
        <v>123</v>
      </c>
      <c r="F159" t="s">
        <v>124</v>
      </c>
      <c r="G159">
        <f t="shared" si="6"/>
        <v>1</v>
      </c>
      <c r="J159">
        <f t="shared" si="8"/>
        <v>1</v>
      </c>
      <c r="K159" s="19" t="s">
        <v>109</v>
      </c>
      <c r="L159" t="s">
        <v>1395</v>
      </c>
      <c r="M159" t="s">
        <v>123</v>
      </c>
      <c r="N159" t="s">
        <v>124</v>
      </c>
      <c r="W159" s="19" t="s">
        <v>109</v>
      </c>
      <c r="X159" t="s">
        <v>1395</v>
      </c>
      <c r="Y159" t="s">
        <v>123</v>
      </c>
    </row>
    <row r="160" spans="2:25" x14ac:dyDescent="0.3">
      <c r="B160">
        <f t="shared" si="7"/>
        <v>1</v>
      </c>
      <c r="C160" t="s">
        <v>109</v>
      </c>
      <c r="D160" t="s">
        <v>114</v>
      </c>
      <c r="E160" t="s">
        <v>115</v>
      </c>
      <c r="F160" t="s">
        <v>116</v>
      </c>
      <c r="G160">
        <f t="shared" si="6"/>
        <v>1</v>
      </c>
      <c r="J160">
        <f t="shared" si="8"/>
        <v>1</v>
      </c>
      <c r="K160" s="19" t="s">
        <v>109</v>
      </c>
      <c r="L160" t="s">
        <v>114</v>
      </c>
      <c r="M160" t="s">
        <v>115</v>
      </c>
      <c r="N160" t="s">
        <v>116</v>
      </c>
      <c r="W160" s="19" t="s">
        <v>109</v>
      </c>
      <c r="X160" t="s">
        <v>114</v>
      </c>
      <c r="Y160" t="s">
        <v>115</v>
      </c>
    </row>
    <row r="161" spans="2:25" x14ac:dyDescent="0.3">
      <c r="B161">
        <f t="shared" si="7"/>
        <v>1</v>
      </c>
      <c r="C161" t="s">
        <v>109</v>
      </c>
      <c r="D161" t="s">
        <v>142</v>
      </c>
      <c r="E161" t="s">
        <v>143</v>
      </c>
      <c r="F161" t="s">
        <v>144</v>
      </c>
      <c r="G161">
        <f t="shared" si="6"/>
        <v>1</v>
      </c>
      <c r="J161">
        <f t="shared" si="8"/>
        <v>1</v>
      </c>
      <c r="K161" s="19" t="s">
        <v>109</v>
      </c>
      <c r="L161" t="s">
        <v>142</v>
      </c>
      <c r="M161" t="s">
        <v>143</v>
      </c>
      <c r="N161" t="s">
        <v>144</v>
      </c>
      <c r="W161" s="19" t="s">
        <v>109</v>
      </c>
      <c r="X161" t="s">
        <v>142</v>
      </c>
      <c r="Y161" t="s">
        <v>143</v>
      </c>
    </row>
    <row r="162" spans="2:25" x14ac:dyDescent="0.3">
      <c r="B162">
        <f t="shared" si="7"/>
        <v>1</v>
      </c>
      <c r="C162" t="s">
        <v>109</v>
      </c>
      <c r="D162" t="s">
        <v>126</v>
      </c>
      <c r="E162" t="s">
        <v>127</v>
      </c>
      <c r="F162" t="s">
        <v>128</v>
      </c>
      <c r="G162">
        <f t="shared" si="6"/>
        <v>1</v>
      </c>
      <c r="J162">
        <f t="shared" si="8"/>
        <v>1</v>
      </c>
      <c r="K162" s="19" t="s">
        <v>109</v>
      </c>
      <c r="L162" t="s">
        <v>1396</v>
      </c>
      <c r="M162" t="s">
        <v>127</v>
      </c>
      <c r="N162" t="s">
        <v>128</v>
      </c>
      <c r="W162" s="19" t="s">
        <v>109</v>
      </c>
      <c r="X162" t="s">
        <v>1396</v>
      </c>
      <c r="Y162" t="s">
        <v>127</v>
      </c>
    </row>
    <row r="163" spans="2:25" x14ac:dyDescent="0.3">
      <c r="B163">
        <f t="shared" si="7"/>
        <v>1</v>
      </c>
      <c r="C163" t="s">
        <v>109</v>
      </c>
      <c r="D163" t="s">
        <v>118</v>
      </c>
      <c r="E163" t="s">
        <v>119</v>
      </c>
      <c r="F163" t="s">
        <v>120</v>
      </c>
      <c r="G163">
        <f t="shared" si="6"/>
        <v>1</v>
      </c>
      <c r="J163">
        <f t="shared" si="8"/>
        <v>1</v>
      </c>
      <c r="K163" s="19" t="s">
        <v>109</v>
      </c>
      <c r="L163" t="s">
        <v>118</v>
      </c>
      <c r="M163" t="s">
        <v>119</v>
      </c>
      <c r="N163" t="s">
        <v>120</v>
      </c>
      <c r="W163" s="19" t="s">
        <v>109</v>
      </c>
      <c r="X163" t="s">
        <v>118</v>
      </c>
      <c r="Y163" t="s">
        <v>119</v>
      </c>
    </row>
    <row r="164" spans="2:25" x14ac:dyDescent="0.3">
      <c r="B164">
        <f t="shared" si="7"/>
        <v>1</v>
      </c>
      <c r="C164" t="s">
        <v>42</v>
      </c>
      <c r="D164" t="s">
        <v>62</v>
      </c>
      <c r="E164" t="s">
        <v>63</v>
      </c>
      <c r="F164" t="s">
        <v>64</v>
      </c>
      <c r="G164">
        <f t="shared" si="6"/>
        <v>1</v>
      </c>
      <c r="J164">
        <f t="shared" si="8"/>
        <v>1</v>
      </c>
      <c r="K164" s="19" t="s">
        <v>42</v>
      </c>
      <c r="L164" t="s">
        <v>1379</v>
      </c>
      <c r="M164" t="s">
        <v>63</v>
      </c>
      <c r="N164" t="s">
        <v>64</v>
      </c>
      <c r="W164" s="19" t="s">
        <v>42</v>
      </c>
      <c r="X164" t="s">
        <v>1379</v>
      </c>
      <c r="Y164" t="s">
        <v>63</v>
      </c>
    </row>
    <row r="165" spans="2:25" x14ac:dyDescent="0.3">
      <c r="B165">
        <f t="shared" si="7"/>
        <v>1</v>
      </c>
      <c r="C165" t="s">
        <v>330</v>
      </c>
      <c r="D165" t="s">
        <v>389</v>
      </c>
      <c r="E165" t="s">
        <v>389</v>
      </c>
      <c r="F165" t="s">
        <v>390</v>
      </c>
      <c r="G165">
        <f t="shared" si="6"/>
        <v>1</v>
      </c>
      <c r="J165">
        <f t="shared" si="8"/>
        <v>1</v>
      </c>
      <c r="K165" s="19" t="s">
        <v>330</v>
      </c>
      <c r="L165" t="s">
        <v>389</v>
      </c>
      <c r="M165" t="s">
        <v>389</v>
      </c>
      <c r="N165" t="s">
        <v>390</v>
      </c>
      <c r="W165" s="19" t="s">
        <v>330</v>
      </c>
      <c r="X165" t="s">
        <v>389</v>
      </c>
      <c r="Y165" t="s">
        <v>389</v>
      </c>
    </row>
    <row r="166" spans="2:25" x14ac:dyDescent="0.3">
      <c r="B166">
        <f t="shared" si="7"/>
        <v>1</v>
      </c>
      <c r="C166" t="s">
        <v>275</v>
      </c>
      <c r="D166" t="s">
        <v>326</v>
      </c>
      <c r="E166" t="s">
        <v>327</v>
      </c>
      <c r="F166" t="s">
        <v>328</v>
      </c>
      <c r="G166">
        <f t="shared" si="6"/>
        <v>1</v>
      </c>
      <c r="J166">
        <f t="shared" si="8"/>
        <v>1</v>
      </c>
      <c r="K166" s="19" t="s">
        <v>275</v>
      </c>
      <c r="L166" t="s">
        <v>326</v>
      </c>
      <c r="M166" t="s">
        <v>1427</v>
      </c>
      <c r="N166" t="s">
        <v>328</v>
      </c>
      <c r="W166" s="19" t="s">
        <v>275</v>
      </c>
      <c r="X166" t="s">
        <v>326</v>
      </c>
      <c r="Y166" t="s">
        <v>1427</v>
      </c>
    </row>
    <row r="167" spans="2:25" x14ac:dyDescent="0.3">
      <c r="B167">
        <f t="shared" si="7"/>
        <v>1</v>
      </c>
      <c r="C167" t="s">
        <v>1240</v>
      </c>
      <c r="D167" t="s">
        <v>1241</v>
      </c>
      <c r="E167" t="s">
        <v>1242</v>
      </c>
      <c r="F167" t="s">
        <v>1243</v>
      </c>
      <c r="G167">
        <f t="shared" si="6"/>
        <v>1</v>
      </c>
      <c r="J167">
        <f t="shared" si="8"/>
        <v>1</v>
      </c>
      <c r="K167" s="19" t="s">
        <v>1240</v>
      </c>
      <c r="L167" t="s">
        <v>1241</v>
      </c>
      <c r="M167" t="s">
        <v>1242</v>
      </c>
      <c r="N167" t="s">
        <v>1243</v>
      </c>
      <c r="W167" s="19" t="s">
        <v>1240</v>
      </c>
      <c r="X167" t="s">
        <v>1241</v>
      </c>
      <c r="Y167" t="s">
        <v>1242</v>
      </c>
    </row>
    <row r="168" spans="2:25" x14ac:dyDescent="0.3">
      <c r="B168">
        <f t="shared" si="7"/>
        <v>1</v>
      </c>
      <c r="C168" t="s">
        <v>1240</v>
      </c>
      <c r="D168" t="s">
        <v>1271</v>
      </c>
      <c r="E168" t="s">
        <v>1272</v>
      </c>
      <c r="F168" t="s">
        <v>1273</v>
      </c>
      <c r="G168">
        <f t="shared" si="6"/>
        <v>1</v>
      </c>
      <c r="J168">
        <f t="shared" si="8"/>
        <v>1</v>
      </c>
      <c r="K168" s="19" t="s">
        <v>1240</v>
      </c>
      <c r="L168" t="s">
        <v>1589</v>
      </c>
      <c r="M168" t="s">
        <v>1272</v>
      </c>
      <c r="N168" t="s">
        <v>1273</v>
      </c>
      <c r="W168" s="19" t="s">
        <v>1240</v>
      </c>
      <c r="X168" t="s">
        <v>1589</v>
      </c>
      <c r="Y168" t="s">
        <v>1272</v>
      </c>
    </row>
    <row r="169" spans="2:25" x14ac:dyDescent="0.3">
      <c r="B169">
        <f t="shared" si="7"/>
        <v>1</v>
      </c>
      <c r="C169" t="s">
        <v>1240</v>
      </c>
      <c r="D169" t="s">
        <v>1279</v>
      </c>
      <c r="E169" t="s">
        <v>1280</v>
      </c>
      <c r="F169" t="s">
        <v>1281</v>
      </c>
      <c r="G169">
        <f t="shared" si="6"/>
        <v>1</v>
      </c>
      <c r="J169">
        <f t="shared" si="8"/>
        <v>1</v>
      </c>
      <c r="K169" s="19" t="s">
        <v>1240</v>
      </c>
      <c r="L169" t="s">
        <v>1279</v>
      </c>
      <c r="M169" t="s">
        <v>1280</v>
      </c>
      <c r="N169" t="s">
        <v>1281</v>
      </c>
      <c r="W169" s="19" t="s">
        <v>1240</v>
      </c>
      <c r="X169" t="s">
        <v>1279</v>
      </c>
      <c r="Y169" t="s">
        <v>1280</v>
      </c>
    </row>
    <row r="170" spans="2:25" x14ac:dyDescent="0.3">
      <c r="B170">
        <f t="shared" si="7"/>
        <v>1</v>
      </c>
      <c r="C170" t="s">
        <v>887</v>
      </c>
      <c r="D170" t="s">
        <v>928</v>
      </c>
      <c r="E170" t="s">
        <v>929</v>
      </c>
      <c r="F170" t="s">
        <v>930</v>
      </c>
      <c r="G170">
        <f t="shared" si="6"/>
        <v>1</v>
      </c>
      <c r="J170">
        <f t="shared" si="8"/>
        <v>1</v>
      </c>
      <c r="K170" s="19" t="s">
        <v>887</v>
      </c>
      <c r="L170" t="s">
        <v>1516</v>
      </c>
      <c r="M170" t="s">
        <v>929</v>
      </c>
      <c r="N170" t="s">
        <v>930</v>
      </c>
      <c r="W170" s="19" t="s">
        <v>887</v>
      </c>
      <c r="X170" t="s">
        <v>1516</v>
      </c>
      <c r="Y170" t="s">
        <v>929</v>
      </c>
    </row>
    <row r="171" spans="2:25" x14ac:dyDescent="0.3">
      <c r="B171">
        <f t="shared" si="7"/>
        <v>1</v>
      </c>
      <c r="C171" t="s">
        <v>1240</v>
      </c>
      <c r="D171" t="s">
        <v>1260</v>
      </c>
      <c r="E171" t="s">
        <v>1261</v>
      </c>
      <c r="F171" t="s">
        <v>1262</v>
      </c>
      <c r="G171">
        <f t="shared" si="6"/>
        <v>1</v>
      </c>
      <c r="J171">
        <f t="shared" si="8"/>
        <v>1</v>
      </c>
      <c r="K171" s="19" t="s">
        <v>1240</v>
      </c>
      <c r="L171" t="s">
        <v>1591</v>
      </c>
      <c r="M171" t="s">
        <v>1261</v>
      </c>
      <c r="N171" t="s">
        <v>1262</v>
      </c>
      <c r="W171" s="19" t="s">
        <v>1240</v>
      </c>
      <c r="X171" t="s">
        <v>1591</v>
      </c>
      <c r="Y171" t="s">
        <v>1261</v>
      </c>
    </row>
    <row r="172" spans="2:25" x14ac:dyDescent="0.3">
      <c r="B172">
        <f t="shared" si="7"/>
        <v>1</v>
      </c>
      <c r="C172" t="s">
        <v>1240</v>
      </c>
      <c r="D172" t="s">
        <v>1284</v>
      </c>
      <c r="E172" t="s">
        <v>1285</v>
      </c>
      <c r="F172" t="s">
        <v>1286</v>
      </c>
      <c r="G172">
        <f t="shared" si="6"/>
        <v>1</v>
      </c>
      <c r="J172">
        <f t="shared" si="8"/>
        <v>1</v>
      </c>
      <c r="K172" s="19" t="s">
        <v>1240</v>
      </c>
      <c r="L172" t="s">
        <v>1284</v>
      </c>
      <c r="M172" t="s">
        <v>1285</v>
      </c>
      <c r="N172" t="s">
        <v>1286</v>
      </c>
      <c r="W172" s="19" t="s">
        <v>1240</v>
      </c>
      <c r="X172" t="s">
        <v>1284</v>
      </c>
      <c r="Y172" t="s">
        <v>1285</v>
      </c>
    </row>
    <row r="173" spans="2:25" x14ac:dyDescent="0.3">
      <c r="B173">
        <f t="shared" si="7"/>
        <v>1</v>
      </c>
      <c r="C173" t="s">
        <v>715</v>
      </c>
      <c r="D173" t="s">
        <v>743</v>
      </c>
      <c r="E173" t="s">
        <v>744</v>
      </c>
      <c r="F173" t="s">
        <v>745</v>
      </c>
      <c r="G173">
        <f t="shared" si="6"/>
        <v>1</v>
      </c>
      <c r="J173">
        <f t="shared" si="8"/>
        <v>1</v>
      </c>
      <c r="K173" s="19" t="s">
        <v>715</v>
      </c>
      <c r="L173" t="s">
        <v>1477</v>
      </c>
      <c r="M173" t="s">
        <v>744</v>
      </c>
      <c r="N173" t="s">
        <v>745</v>
      </c>
      <c r="W173" s="19" t="s">
        <v>715</v>
      </c>
      <c r="X173" t="s">
        <v>1477</v>
      </c>
      <c r="Y173" t="s">
        <v>744</v>
      </c>
    </row>
    <row r="174" spans="2:25" x14ac:dyDescent="0.3">
      <c r="B174">
        <f t="shared" si="7"/>
        <v>1</v>
      </c>
      <c r="C174" t="s">
        <v>1240</v>
      </c>
      <c r="D174" t="s">
        <v>1252</v>
      </c>
      <c r="E174" t="s">
        <v>1253</v>
      </c>
      <c r="F174" t="s">
        <v>1254</v>
      </c>
      <c r="G174">
        <f t="shared" si="6"/>
        <v>1</v>
      </c>
      <c r="J174">
        <f t="shared" si="8"/>
        <v>1</v>
      </c>
      <c r="K174" s="19" t="s">
        <v>1240</v>
      </c>
      <c r="L174" t="s">
        <v>1252</v>
      </c>
      <c r="M174" t="s">
        <v>1253</v>
      </c>
      <c r="N174" t="s">
        <v>1254</v>
      </c>
      <c r="W174" s="19" t="s">
        <v>1240</v>
      </c>
      <c r="X174" t="s">
        <v>1252</v>
      </c>
      <c r="Y174" t="s">
        <v>1253</v>
      </c>
    </row>
    <row r="175" spans="2:25" x14ac:dyDescent="0.3">
      <c r="B175">
        <f t="shared" si="7"/>
        <v>1</v>
      </c>
      <c r="C175" t="s">
        <v>1240</v>
      </c>
      <c r="D175" t="s">
        <v>1248</v>
      </c>
      <c r="E175" t="s">
        <v>1249</v>
      </c>
      <c r="F175" t="s">
        <v>1250</v>
      </c>
      <c r="G175">
        <f t="shared" si="6"/>
        <v>1</v>
      </c>
      <c r="J175">
        <f t="shared" si="8"/>
        <v>1</v>
      </c>
      <c r="K175" s="19" t="s">
        <v>1240</v>
      </c>
      <c r="L175" t="s">
        <v>1590</v>
      </c>
      <c r="M175" t="s">
        <v>1249</v>
      </c>
      <c r="N175" t="s">
        <v>1250</v>
      </c>
      <c r="W175" s="19" t="s">
        <v>1240</v>
      </c>
      <c r="X175" t="s">
        <v>1590</v>
      </c>
      <c r="Y175" t="s">
        <v>1249</v>
      </c>
    </row>
    <row r="176" spans="2:25" x14ac:dyDescent="0.3">
      <c r="B176">
        <f t="shared" si="7"/>
        <v>1</v>
      </c>
      <c r="C176" t="s">
        <v>1240</v>
      </c>
      <c r="D176" t="s">
        <v>1257</v>
      </c>
      <c r="E176" t="s">
        <v>1258</v>
      </c>
      <c r="F176" t="s">
        <v>1259</v>
      </c>
      <c r="G176">
        <f t="shared" si="6"/>
        <v>1</v>
      </c>
      <c r="J176">
        <f t="shared" si="8"/>
        <v>1</v>
      </c>
      <c r="K176" s="19" t="s">
        <v>1240</v>
      </c>
      <c r="L176" t="s">
        <v>1257</v>
      </c>
      <c r="M176" t="s">
        <v>1258</v>
      </c>
      <c r="N176" t="s">
        <v>1259</v>
      </c>
      <c r="W176" s="19" t="s">
        <v>1240</v>
      </c>
      <c r="X176" t="s">
        <v>1257</v>
      </c>
      <c r="Y176" t="s">
        <v>1258</v>
      </c>
    </row>
    <row r="177" spans="2:25" x14ac:dyDescent="0.3">
      <c r="B177">
        <f t="shared" si="7"/>
        <v>1</v>
      </c>
      <c r="C177" t="s">
        <v>814</v>
      </c>
      <c r="D177" t="s">
        <v>853</v>
      </c>
      <c r="E177" t="s">
        <v>854</v>
      </c>
      <c r="F177" t="s">
        <v>855</v>
      </c>
      <c r="G177">
        <f t="shared" si="6"/>
        <v>1</v>
      </c>
      <c r="J177">
        <f t="shared" si="8"/>
        <v>1</v>
      </c>
      <c r="K177" s="19" t="s">
        <v>814</v>
      </c>
      <c r="L177" t="s">
        <v>1493</v>
      </c>
      <c r="M177" t="s">
        <v>854</v>
      </c>
      <c r="N177" t="s">
        <v>855</v>
      </c>
      <c r="W177" s="19" t="s">
        <v>814</v>
      </c>
      <c r="X177" t="s">
        <v>1493</v>
      </c>
      <c r="Y177" t="s">
        <v>854</v>
      </c>
    </row>
    <row r="178" spans="2:25" x14ac:dyDescent="0.3">
      <c r="B178">
        <f t="shared" si="7"/>
        <v>1</v>
      </c>
      <c r="C178" t="s">
        <v>210</v>
      </c>
      <c r="D178" t="s">
        <v>211</v>
      </c>
      <c r="E178" t="s">
        <v>212</v>
      </c>
      <c r="F178" t="s">
        <v>213</v>
      </c>
      <c r="G178">
        <f t="shared" si="6"/>
        <v>1</v>
      </c>
      <c r="J178">
        <f t="shared" si="8"/>
        <v>1</v>
      </c>
      <c r="K178" s="19" t="s">
        <v>210</v>
      </c>
      <c r="L178" t="s">
        <v>1409</v>
      </c>
      <c r="M178" t="s">
        <v>1410</v>
      </c>
      <c r="N178" t="s">
        <v>213</v>
      </c>
      <c r="W178" s="19" t="s">
        <v>210</v>
      </c>
      <c r="X178" t="s">
        <v>1409</v>
      </c>
      <c r="Y178" t="s">
        <v>1410</v>
      </c>
    </row>
    <row r="179" spans="2:25" x14ac:dyDescent="0.3">
      <c r="B179">
        <f t="shared" si="7"/>
        <v>1</v>
      </c>
      <c r="C179" t="s">
        <v>210</v>
      </c>
      <c r="D179" t="s">
        <v>216</v>
      </c>
      <c r="E179" t="s">
        <v>217</v>
      </c>
      <c r="F179" t="s">
        <v>218</v>
      </c>
      <c r="G179">
        <f t="shared" si="6"/>
        <v>1</v>
      </c>
      <c r="J179">
        <f t="shared" si="8"/>
        <v>1</v>
      </c>
      <c r="K179" s="19" t="s">
        <v>210</v>
      </c>
      <c r="L179" t="s">
        <v>1414</v>
      </c>
      <c r="M179" t="s">
        <v>217</v>
      </c>
      <c r="N179" t="s">
        <v>218</v>
      </c>
      <c r="W179" s="19" t="s">
        <v>210</v>
      </c>
      <c r="X179" t="s">
        <v>1414</v>
      </c>
      <c r="Y179" t="s">
        <v>217</v>
      </c>
    </row>
    <row r="180" spans="2:25" x14ac:dyDescent="0.3">
      <c r="B180">
        <f t="shared" si="7"/>
        <v>1</v>
      </c>
      <c r="C180" t="s">
        <v>1240</v>
      </c>
      <c r="D180" t="s">
        <v>1269</v>
      </c>
      <c r="E180" t="s">
        <v>327</v>
      </c>
      <c r="F180" t="s">
        <v>1270</v>
      </c>
      <c r="G180">
        <f t="shared" si="6"/>
        <v>1</v>
      </c>
      <c r="J180">
        <f t="shared" si="8"/>
        <v>1</v>
      </c>
      <c r="K180" s="19" t="s">
        <v>1240</v>
      </c>
      <c r="L180" t="s">
        <v>1269</v>
      </c>
      <c r="M180" t="s">
        <v>1594</v>
      </c>
      <c r="N180" t="s">
        <v>1270</v>
      </c>
      <c r="W180" s="19" t="s">
        <v>1240</v>
      </c>
      <c r="X180" t="s">
        <v>1269</v>
      </c>
      <c r="Y180" t="s">
        <v>1594</v>
      </c>
    </row>
    <row r="181" spans="2:25" x14ac:dyDescent="0.3">
      <c r="B181">
        <f t="shared" si="7"/>
        <v>1</v>
      </c>
      <c r="C181" t="s">
        <v>210</v>
      </c>
      <c r="D181" t="s">
        <v>261</v>
      </c>
      <c r="E181" t="s">
        <v>262</v>
      </c>
      <c r="F181" t="s">
        <v>263</v>
      </c>
      <c r="G181">
        <f t="shared" si="6"/>
        <v>1</v>
      </c>
      <c r="J181">
        <f t="shared" si="8"/>
        <v>1</v>
      </c>
      <c r="K181" s="19" t="s">
        <v>210</v>
      </c>
      <c r="L181" t="s">
        <v>1421</v>
      </c>
      <c r="M181" t="s">
        <v>262</v>
      </c>
      <c r="N181" t="s">
        <v>263</v>
      </c>
      <c r="W181" s="19" t="s">
        <v>210</v>
      </c>
      <c r="X181" t="s">
        <v>1421</v>
      </c>
      <c r="Y181" t="s">
        <v>262</v>
      </c>
    </row>
    <row r="182" spans="2:25" x14ac:dyDescent="0.3">
      <c r="B182">
        <f t="shared" si="7"/>
        <v>1</v>
      </c>
      <c r="C182" t="s">
        <v>814</v>
      </c>
      <c r="D182" t="s">
        <v>833</v>
      </c>
      <c r="E182" t="s">
        <v>834</v>
      </c>
      <c r="F182" t="s">
        <v>835</v>
      </c>
      <c r="G182">
        <f t="shared" si="6"/>
        <v>1</v>
      </c>
      <c r="J182">
        <f t="shared" si="8"/>
        <v>1</v>
      </c>
      <c r="K182" s="19" t="s">
        <v>814</v>
      </c>
      <c r="L182" t="s">
        <v>1503</v>
      </c>
      <c r="M182" t="s">
        <v>834</v>
      </c>
      <c r="N182" t="s">
        <v>835</v>
      </c>
      <c r="W182" s="19" t="s">
        <v>814</v>
      </c>
      <c r="X182" t="s">
        <v>1503</v>
      </c>
      <c r="Y182" t="s">
        <v>834</v>
      </c>
    </row>
    <row r="183" spans="2:25" x14ac:dyDescent="0.3">
      <c r="B183">
        <f t="shared" si="7"/>
        <v>1</v>
      </c>
      <c r="C183" t="s">
        <v>210</v>
      </c>
      <c r="D183" t="s">
        <v>227</v>
      </c>
      <c r="E183" t="s">
        <v>228</v>
      </c>
      <c r="F183" t="s">
        <v>229</v>
      </c>
      <c r="G183">
        <f t="shared" si="6"/>
        <v>1</v>
      </c>
      <c r="J183">
        <f t="shared" si="8"/>
        <v>1</v>
      </c>
      <c r="K183" s="19" t="s">
        <v>210</v>
      </c>
      <c r="L183" t="s">
        <v>1416</v>
      </c>
      <c r="M183" t="s">
        <v>228</v>
      </c>
      <c r="N183" t="s">
        <v>229</v>
      </c>
      <c r="W183" s="19" t="s">
        <v>210</v>
      </c>
      <c r="X183" t="s">
        <v>1416</v>
      </c>
      <c r="Y183" t="s">
        <v>228</v>
      </c>
    </row>
    <row r="184" spans="2:25" x14ac:dyDescent="0.3">
      <c r="B184">
        <f t="shared" si="7"/>
        <v>1</v>
      </c>
      <c r="C184" t="s">
        <v>210</v>
      </c>
      <c r="D184" t="s">
        <v>221</v>
      </c>
      <c r="E184" t="s">
        <v>222</v>
      </c>
      <c r="F184" t="s">
        <v>223</v>
      </c>
      <c r="G184">
        <f t="shared" si="6"/>
        <v>1</v>
      </c>
      <c r="J184">
        <f t="shared" si="8"/>
        <v>1</v>
      </c>
      <c r="K184" s="19" t="s">
        <v>210</v>
      </c>
      <c r="L184" t="s">
        <v>1415</v>
      </c>
      <c r="M184" t="s">
        <v>222</v>
      </c>
      <c r="N184" t="s">
        <v>223</v>
      </c>
      <c r="W184" s="19" t="s">
        <v>210</v>
      </c>
      <c r="X184" t="s">
        <v>1415</v>
      </c>
      <c r="Y184" t="s">
        <v>222</v>
      </c>
    </row>
    <row r="185" spans="2:25" x14ac:dyDescent="0.3">
      <c r="B185">
        <f t="shared" si="7"/>
        <v>1</v>
      </c>
      <c r="C185" t="s">
        <v>210</v>
      </c>
      <c r="D185" t="s">
        <v>266</v>
      </c>
      <c r="E185" t="s">
        <v>267</v>
      </c>
      <c r="F185" t="s">
        <v>268</v>
      </c>
      <c r="G185">
        <f t="shared" si="6"/>
        <v>1</v>
      </c>
      <c r="J185">
        <f t="shared" si="8"/>
        <v>1</v>
      </c>
      <c r="K185" s="19" t="s">
        <v>210</v>
      </c>
      <c r="L185" t="s">
        <v>1422</v>
      </c>
      <c r="M185" t="s">
        <v>267</v>
      </c>
      <c r="N185" t="s">
        <v>268</v>
      </c>
      <c r="W185" s="19" t="s">
        <v>210</v>
      </c>
      <c r="X185" t="s">
        <v>1422</v>
      </c>
      <c r="Y185" t="s">
        <v>267</v>
      </c>
    </row>
    <row r="186" spans="2:25" x14ac:dyDescent="0.3">
      <c r="B186">
        <f t="shared" si="7"/>
        <v>1</v>
      </c>
      <c r="C186" t="s">
        <v>210</v>
      </c>
      <c r="D186" t="s">
        <v>232</v>
      </c>
      <c r="E186" t="s">
        <v>233</v>
      </c>
      <c r="F186" t="s">
        <v>234</v>
      </c>
      <c r="G186">
        <f t="shared" si="6"/>
        <v>1</v>
      </c>
      <c r="J186">
        <f t="shared" si="8"/>
        <v>1</v>
      </c>
      <c r="K186" s="19" t="s">
        <v>210</v>
      </c>
      <c r="L186" t="s">
        <v>1417</v>
      </c>
      <c r="M186" t="s">
        <v>233</v>
      </c>
      <c r="N186" t="s">
        <v>234</v>
      </c>
      <c r="W186" s="19" t="s">
        <v>210</v>
      </c>
      <c r="X186" t="s">
        <v>1417</v>
      </c>
      <c r="Y186" t="s">
        <v>233</v>
      </c>
    </row>
    <row r="187" spans="2:25" x14ac:dyDescent="0.3">
      <c r="B187">
        <f t="shared" si="7"/>
        <v>1</v>
      </c>
      <c r="C187" t="s">
        <v>670</v>
      </c>
      <c r="D187" t="s">
        <v>695</v>
      </c>
      <c r="E187" t="s">
        <v>696</v>
      </c>
      <c r="F187" t="s">
        <v>697</v>
      </c>
      <c r="G187">
        <f t="shared" si="6"/>
        <v>1</v>
      </c>
      <c r="J187">
        <f t="shared" si="8"/>
        <v>1</v>
      </c>
      <c r="K187" s="19" t="s">
        <v>670</v>
      </c>
      <c r="L187" t="s">
        <v>1472</v>
      </c>
      <c r="M187" t="s">
        <v>696</v>
      </c>
      <c r="N187" t="s">
        <v>697</v>
      </c>
      <c r="W187" s="19" t="s">
        <v>670</v>
      </c>
      <c r="X187" t="s">
        <v>1472</v>
      </c>
      <c r="Y187" t="s">
        <v>696</v>
      </c>
    </row>
    <row r="188" spans="2:25" x14ac:dyDescent="0.3">
      <c r="B188">
        <f t="shared" si="7"/>
        <v>1</v>
      </c>
      <c r="C188" t="s">
        <v>210</v>
      </c>
      <c r="D188" t="s">
        <v>252</v>
      </c>
      <c r="E188" t="s">
        <v>253</v>
      </c>
      <c r="F188" t="s">
        <v>254</v>
      </c>
      <c r="G188">
        <f t="shared" si="6"/>
        <v>1</v>
      </c>
      <c r="J188">
        <f t="shared" si="8"/>
        <v>1</v>
      </c>
      <c r="K188" s="19" t="s">
        <v>210</v>
      </c>
      <c r="L188" t="s">
        <v>1419</v>
      </c>
      <c r="M188" t="s">
        <v>253</v>
      </c>
      <c r="N188" t="s">
        <v>254</v>
      </c>
      <c r="W188" s="19" t="s">
        <v>210</v>
      </c>
      <c r="X188" t="s">
        <v>1419</v>
      </c>
      <c r="Y188" t="s">
        <v>253</v>
      </c>
    </row>
    <row r="189" spans="2:25" x14ac:dyDescent="0.3">
      <c r="B189">
        <f t="shared" si="7"/>
        <v>1</v>
      </c>
      <c r="C189" t="s">
        <v>210</v>
      </c>
      <c r="D189" t="s">
        <v>271</v>
      </c>
      <c r="E189" t="s">
        <v>272</v>
      </c>
      <c r="F189" t="s">
        <v>273</v>
      </c>
      <c r="G189">
        <f t="shared" si="6"/>
        <v>1</v>
      </c>
      <c r="J189">
        <f t="shared" si="8"/>
        <v>1</v>
      </c>
      <c r="K189" s="19" t="s">
        <v>210</v>
      </c>
      <c r="L189" t="s">
        <v>1423</v>
      </c>
      <c r="M189" t="s">
        <v>272</v>
      </c>
      <c r="N189" t="s">
        <v>273</v>
      </c>
      <c r="W189" s="19" t="s">
        <v>210</v>
      </c>
      <c r="X189" t="s">
        <v>1423</v>
      </c>
      <c r="Y189" t="s">
        <v>272</v>
      </c>
    </row>
    <row r="190" spans="2:25" x14ac:dyDescent="0.3">
      <c r="B190">
        <f t="shared" si="7"/>
        <v>1</v>
      </c>
      <c r="C190" t="s">
        <v>210</v>
      </c>
      <c r="D190" t="s">
        <v>257</v>
      </c>
      <c r="E190" t="s">
        <v>258</v>
      </c>
      <c r="F190" t="s">
        <v>259</v>
      </c>
      <c r="G190">
        <f t="shared" si="6"/>
        <v>1</v>
      </c>
      <c r="J190">
        <f t="shared" si="8"/>
        <v>1</v>
      </c>
      <c r="K190" s="19" t="s">
        <v>210</v>
      </c>
      <c r="L190" t="s">
        <v>1420</v>
      </c>
      <c r="M190" t="s">
        <v>258</v>
      </c>
      <c r="N190" t="s">
        <v>259</v>
      </c>
      <c r="W190" s="19" t="s">
        <v>210</v>
      </c>
      <c r="X190" t="s">
        <v>1420</v>
      </c>
      <c r="Y190" t="s">
        <v>258</v>
      </c>
    </row>
    <row r="191" spans="2:25" x14ac:dyDescent="0.3">
      <c r="B191">
        <f t="shared" si="7"/>
        <v>1</v>
      </c>
      <c r="C191" t="s">
        <v>647</v>
      </c>
      <c r="D191" t="s">
        <v>655</v>
      </c>
      <c r="E191" t="s">
        <v>303</v>
      </c>
      <c r="F191" t="s">
        <v>656</v>
      </c>
      <c r="G191">
        <f t="shared" si="6"/>
        <v>1</v>
      </c>
      <c r="J191">
        <f t="shared" si="8"/>
        <v>1</v>
      </c>
      <c r="K191" s="19" t="s">
        <v>647</v>
      </c>
      <c r="L191" t="s">
        <v>1457</v>
      </c>
      <c r="M191" t="s">
        <v>1458</v>
      </c>
      <c r="N191" t="s">
        <v>656</v>
      </c>
      <c r="W191" s="19" t="s">
        <v>647</v>
      </c>
      <c r="X191" t="s">
        <v>1457</v>
      </c>
      <c r="Y191" t="s">
        <v>1458</v>
      </c>
    </row>
    <row r="192" spans="2:25" x14ac:dyDescent="0.3">
      <c r="B192">
        <f t="shared" si="7"/>
        <v>1</v>
      </c>
      <c r="C192" t="s">
        <v>1240</v>
      </c>
      <c r="D192" t="s">
        <v>1244</v>
      </c>
      <c r="E192" t="s">
        <v>1245</v>
      </c>
      <c r="F192" t="s">
        <v>1246</v>
      </c>
      <c r="G192">
        <f t="shared" si="6"/>
        <v>1</v>
      </c>
      <c r="J192">
        <f t="shared" si="8"/>
        <v>1</v>
      </c>
      <c r="K192" s="19" t="s">
        <v>1240</v>
      </c>
      <c r="L192" t="s">
        <v>1244</v>
      </c>
      <c r="M192" t="s">
        <v>1245</v>
      </c>
      <c r="N192" t="s">
        <v>1246</v>
      </c>
      <c r="W192" s="19" t="s">
        <v>1240</v>
      </c>
      <c r="X192" t="s">
        <v>1244</v>
      </c>
      <c r="Y192" t="s">
        <v>1245</v>
      </c>
    </row>
    <row r="193" spans="2:25" x14ac:dyDescent="0.3">
      <c r="B193">
        <f t="shared" si="7"/>
        <v>1</v>
      </c>
      <c r="C193" t="s">
        <v>573</v>
      </c>
      <c r="D193" t="s">
        <v>642</v>
      </c>
      <c r="E193" t="s">
        <v>643</v>
      </c>
      <c r="F193" t="s">
        <v>644</v>
      </c>
      <c r="G193">
        <f t="shared" si="6"/>
        <v>1</v>
      </c>
      <c r="J193">
        <f t="shared" si="8"/>
        <v>1</v>
      </c>
      <c r="K193" s="19" t="s">
        <v>573</v>
      </c>
      <c r="L193" t="s">
        <v>1455</v>
      </c>
      <c r="M193" t="s">
        <v>643</v>
      </c>
      <c r="N193" t="s">
        <v>644</v>
      </c>
      <c r="W193" s="19" t="s">
        <v>573</v>
      </c>
      <c r="X193" t="s">
        <v>1455</v>
      </c>
      <c r="Y193" t="s">
        <v>643</v>
      </c>
    </row>
    <row r="194" spans="2:25" x14ac:dyDescent="0.3">
      <c r="B194">
        <f t="shared" si="7"/>
        <v>1</v>
      </c>
      <c r="C194" t="s">
        <v>42</v>
      </c>
      <c r="D194" t="s">
        <v>78</v>
      </c>
      <c r="E194" t="s">
        <v>79</v>
      </c>
      <c r="F194" t="s">
        <v>80</v>
      </c>
      <c r="G194">
        <f t="shared" si="6"/>
        <v>1</v>
      </c>
      <c r="J194">
        <f t="shared" si="8"/>
        <v>1</v>
      </c>
      <c r="K194" s="19" t="s">
        <v>42</v>
      </c>
      <c r="L194" t="s">
        <v>1382</v>
      </c>
      <c r="M194" t="s">
        <v>79</v>
      </c>
      <c r="N194" t="s">
        <v>80</v>
      </c>
      <c r="W194" s="19" t="s">
        <v>42</v>
      </c>
      <c r="X194" t="s">
        <v>1382</v>
      </c>
      <c r="Y194" t="s">
        <v>79</v>
      </c>
    </row>
    <row r="195" spans="2:25" x14ac:dyDescent="0.3">
      <c r="B195">
        <f t="shared" si="7"/>
        <v>1</v>
      </c>
      <c r="C195" t="s">
        <v>1134</v>
      </c>
      <c r="D195" t="s">
        <v>1165</v>
      </c>
      <c r="E195" t="s">
        <v>1166</v>
      </c>
      <c r="F195" t="s">
        <v>1167</v>
      </c>
      <c r="G195">
        <f t="shared" si="6"/>
        <v>1</v>
      </c>
      <c r="J195">
        <f t="shared" si="8"/>
        <v>1</v>
      </c>
      <c r="K195" s="19" t="s">
        <v>1134</v>
      </c>
      <c r="L195" t="s">
        <v>1574</v>
      </c>
      <c r="M195" t="s">
        <v>1166</v>
      </c>
      <c r="N195" t="s">
        <v>1167</v>
      </c>
      <c r="W195" s="19" t="s">
        <v>1134</v>
      </c>
      <c r="X195" t="s">
        <v>1574</v>
      </c>
      <c r="Y195" t="s">
        <v>1166</v>
      </c>
    </row>
    <row r="196" spans="2:25" x14ac:dyDescent="0.3">
      <c r="B196">
        <f t="shared" si="7"/>
        <v>1</v>
      </c>
      <c r="C196" t="s">
        <v>573</v>
      </c>
      <c r="D196" t="s">
        <v>584</v>
      </c>
      <c r="E196" t="s">
        <v>585</v>
      </c>
      <c r="F196" t="s">
        <v>586</v>
      </c>
      <c r="G196">
        <f t="shared" si="6"/>
        <v>1</v>
      </c>
      <c r="J196">
        <f t="shared" si="8"/>
        <v>1</v>
      </c>
      <c r="K196" s="19" t="s">
        <v>573</v>
      </c>
      <c r="L196" t="s">
        <v>1450</v>
      </c>
      <c r="M196" t="s">
        <v>585</v>
      </c>
      <c r="N196" t="s">
        <v>586</v>
      </c>
      <c r="W196" s="19" t="s">
        <v>573</v>
      </c>
      <c r="X196" t="s">
        <v>1450</v>
      </c>
      <c r="Y196" t="s">
        <v>585</v>
      </c>
    </row>
    <row r="197" spans="2:25" x14ac:dyDescent="0.3">
      <c r="B197">
        <f t="shared" si="7"/>
        <v>1</v>
      </c>
      <c r="C197" t="s">
        <v>573</v>
      </c>
      <c r="D197" t="s">
        <v>594</v>
      </c>
      <c r="E197" t="s">
        <v>595</v>
      </c>
      <c r="F197" t="s">
        <v>596</v>
      </c>
      <c r="G197">
        <f t="shared" si="6"/>
        <v>1</v>
      </c>
      <c r="J197">
        <f t="shared" si="8"/>
        <v>1</v>
      </c>
      <c r="K197" s="19" t="s">
        <v>573</v>
      </c>
      <c r="L197" t="s">
        <v>1442</v>
      </c>
      <c r="M197" t="s">
        <v>595</v>
      </c>
      <c r="N197" t="s">
        <v>596</v>
      </c>
      <c r="W197" s="19" t="s">
        <v>573</v>
      </c>
      <c r="X197" t="s">
        <v>1442</v>
      </c>
      <c r="Y197" t="s">
        <v>595</v>
      </c>
    </row>
    <row r="198" spans="2:25" x14ac:dyDescent="0.3">
      <c r="B198">
        <f t="shared" si="7"/>
        <v>1</v>
      </c>
      <c r="C198" t="s">
        <v>573</v>
      </c>
      <c r="D198" t="s">
        <v>608</v>
      </c>
      <c r="E198" t="s">
        <v>609</v>
      </c>
      <c r="F198" t="s">
        <v>610</v>
      </c>
      <c r="G198">
        <f t="shared" ref="G198:G261" si="9">IF(F198=N198,1,0)</f>
        <v>1</v>
      </c>
      <c r="J198">
        <f t="shared" si="8"/>
        <v>1</v>
      </c>
      <c r="K198" s="19" t="s">
        <v>573</v>
      </c>
      <c r="L198" t="s">
        <v>1445</v>
      </c>
      <c r="M198" t="s">
        <v>609</v>
      </c>
      <c r="N198" t="s">
        <v>610</v>
      </c>
      <c r="W198" s="19" t="s">
        <v>573</v>
      </c>
      <c r="X198" t="s">
        <v>1445</v>
      </c>
      <c r="Y198" t="s">
        <v>609</v>
      </c>
    </row>
    <row r="199" spans="2:25" x14ac:dyDescent="0.3">
      <c r="B199">
        <f t="shared" si="7"/>
        <v>1</v>
      </c>
      <c r="C199" t="s">
        <v>573</v>
      </c>
      <c r="D199" t="s">
        <v>618</v>
      </c>
      <c r="E199" t="s">
        <v>619</v>
      </c>
      <c r="F199" t="s">
        <v>620</v>
      </c>
      <c r="G199">
        <f t="shared" si="9"/>
        <v>1</v>
      </c>
      <c r="J199">
        <f t="shared" si="8"/>
        <v>1</v>
      </c>
      <c r="K199" s="19" t="s">
        <v>573</v>
      </c>
      <c r="L199" t="s">
        <v>1447</v>
      </c>
      <c r="M199" t="s">
        <v>619</v>
      </c>
      <c r="N199" t="s">
        <v>620</v>
      </c>
      <c r="W199" s="19" t="s">
        <v>573</v>
      </c>
      <c r="X199" t="s">
        <v>1447</v>
      </c>
      <c r="Y199" t="s">
        <v>619</v>
      </c>
    </row>
    <row r="200" spans="2:25" x14ac:dyDescent="0.3">
      <c r="B200">
        <f t="shared" si="7"/>
        <v>1</v>
      </c>
      <c r="C200" t="s">
        <v>1343</v>
      </c>
      <c r="D200" t="s">
        <v>1350</v>
      </c>
      <c r="E200" t="s">
        <v>1351</v>
      </c>
      <c r="F200" t="s">
        <v>1352</v>
      </c>
      <c r="G200">
        <f t="shared" si="9"/>
        <v>1</v>
      </c>
      <c r="J200">
        <f t="shared" si="8"/>
        <v>1</v>
      </c>
      <c r="K200" s="19" t="s">
        <v>1343</v>
      </c>
      <c r="L200" t="s">
        <v>1615</v>
      </c>
      <c r="M200" t="s">
        <v>1351</v>
      </c>
      <c r="N200" t="s">
        <v>1352</v>
      </c>
      <c r="W200" s="19" t="s">
        <v>1343</v>
      </c>
      <c r="X200" t="s">
        <v>1615</v>
      </c>
      <c r="Y200" t="s">
        <v>1351</v>
      </c>
    </row>
    <row r="201" spans="2:25" x14ac:dyDescent="0.3">
      <c r="B201">
        <f t="shared" si="7"/>
        <v>1</v>
      </c>
      <c r="C201" t="s">
        <v>814</v>
      </c>
      <c r="D201" t="s">
        <v>830</v>
      </c>
      <c r="E201" t="s">
        <v>806</v>
      </c>
      <c r="F201" t="s">
        <v>831</v>
      </c>
      <c r="G201">
        <f t="shared" si="9"/>
        <v>1</v>
      </c>
      <c r="J201">
        <f t="shared" si="8"/>
        <v>1</v>
      </c>
      <c r="K201" s="19" t="s">
        <v>814</v>
      </c>
      <c r="L201" t="s">
        <v>1501</v>
      </c>
      <c r="M201" t="s">
        <v>1502</v>
      </c>
      <c r="N201" t="s">
        <v>831</v>
      </c>
      <c r="W201" s="19" t="s">
        <v>814</v>
      </c>
      <c r="X201" t="s">
        <v>1501</v>
      </c>
      <c r="Y201" t="s">
        <v>1502</v>
      </c>
    </row>
    <row r="202" spans="2:25" x14ac:dyDescent="0.3">
      <c r="B202">
        <f t="shared" si="7"/>
        <v>1</v>
      </c>
      <c r="C202" t="s">
        <v>670</v>
      </c>
      <c r="D202" t="s">
        <v>684</v>
      </c>
      <c r="E202" t="s">
        <v>685</v>
      </c>
      <c r="F202" t="s">
        <v>686</v>
      </c>
      <c r="G202">
        <f t="shared" si="9"/>
        <v>1</v>
      </c>
      <c r="J202">
        <f t="shared" si="8"/>
        <v>1</v>
      </c>
      <c r="K202" s="19" t="s">
        <v>670</v>
      </c>
      <c r="L202" t="s">
        <v>1468</v>
      </c>
      <c r="M202" t="s">
        <v>685</v>
      </c>
      <c r="N202" t="s">
        <v>686</v>
      </c>
      <c r="W202" s="19" t="s">
        <v>670</v>
      </c>
      <c r="X202" t="s">
        <v>1468</v>
      </c>
      <c r="Y202" t="s">
        <v>685</v>
      </c>
    </row>
    <row r="203" spans="2:25" x14ac:dyDescent="0.3">
      <c r="B203">
        <f t="shared" ref="B203:B266" si="10">COUNTIF($N$6:$N$303,F203)</f>
        <v>1</v>
      </c>
      <c r="C203" t="s">
        <v>547</v>
      </c>
      <c r="D203" t="s">
        <v>558</v>
      </c>
      <c r="E203" t="s">
        <v>559</v>
      </c>
      <c r="F203" t="s">
        <v>560</v>
      </c>
      <c r="G203">
        <f t="shared" si="9"/>
        <v>1</v>
      </c>
      <c r="J203">
        <f t="shared" ref="J203:J266" si="11">COUNTIF($F$6:$F$303,N203)</f>
        <v>1</v>
      </c>
      <c r="K203" s="19" t="s">
        <v>547</v>
      </c>
      <c r="L203" t="s">
        <v>558</v>
      </c>
      <c r="M203" t="s">
        <v>559</v>
      </c>
      <c r="N203" t="s">
        <v>560</v>
      </c>
      <c r="W203" s="19" t="s">
        <v>547</v>
      </c>
      <c r="X203" t="s">
        <v>558</v>
      </c>
      <c r="Y203" t="s">
        <v>559</v>
      </c>
    </row>
    <row r="204" spans="2:25" x14ac:dyDescent="0.3">
      <c r="B204">
        <f t="shared" si="10"/>
        <v>1</v>
      </c>
      <c r="C204" t="s">
        <v>887</v>
      </c>
      <c r="D204" t="s">
        <v>924</v>
      </c>
      <c r="E204" t="s">
        <v>925</v>
      </c>
      <c r="F204" t="s">
        <v>926</v>
      </c>
      <c r="G204">
        <f t="shared" si="9"/>
        <v>1</v>
      </c>
      <c r="J204">
        <f t="shared" si="11"/>
        <v>1</v>
      </c>
      <c r="K204" s="19" t="s">
        <v>887</v>
      </c>
      <c r="L204" t="s">
        <v>1515</v>
      </c>
      <c r="M204" t="s">
        <v>925</v>
      </c>
      <c r="N204" t="s">
        <v>926</v>
      </c>
      <c r="W204" s="19" t="s">
        <v>887</v>
      </c>
      <c r="X204" t="s">
        <v>1515</v>
      </c>
      <c r="Y204" t="s">
        <v>925</v>
      </c>
    </row>
    <row r="205" spans="2:25" x14ac:dyDescent="0.3">
      <c r="B205">
        <f t="shared" si="10"/>
        <v>1</v>
      </c>
      <c r="C205" t="s">
        <v>573</v>
      </c>
      <c r="D205" t="s">
        <v>574</v>
      </c>
      <c r="E205" t="s">
        <v>575</v>
      </c>
      <c r="F205" t="s">
        <v>576</v>
      </c>
      <c r="G205">
        <f t="shared" si="9"/>
        <v>1</v>
      </c>
      <c r="J205">
        <f t="shared" si="11"/>
        <v>1</v>
      </c>
      <c r="K205" s="19" t="s">
        <v>573</v>
      </c>
      <c r="L205" t="s">
        <v>1448</v>
      </c>
      <c r="M205" t="s">
        <v>575</v>
      </c>
      <c r="N205" t="s">
        <v>576</v>
      </c>
      <c r="W205" s="19" t="s">
        <v>573</v>
      </c>
      <c r="X205" t="s">
        <v>1448</v>
      </c>
      <c r="Y205" t="s">
        <v>575</v>
      </c>
    </row>
    <row r="206" spans="2:25" x14ac:dyDescent="0.3">
      <c r="B206">
        <f t="shared" si="10"/>
        <v>1</v>
      </c>
      <c r="C206" t="s">
        <v>573</v>
      </c>
      <c r="D206" t="s">
        <v>632</v>
      </c>
      <c r="E206" t="s">
        <v>633</v>
      </c>
      <c r="F206" t="s">
        <v>634</v>
      </c>
      <c r="G206">
        <f t="shared" si="9"/>
        <v>1</v>
      </c>
      <c r="J206">
        <f t="shared" si="11"/>
        <v>1</v>
      </c>
      <c r="K206" s="19" t="s">
        <v>573</v>
      </c>
      <c r="L206" t="s">
        <v>1453</v>
      </c>
      <c r="M206" t="s">
        <v>633</v>
      </c>
      <c r="N206" t="s">
        <v>634</v>
      </c>
      <c r="W206" s="19" t="s">
        <v>573</v>
      </c>
      <c r="X206" t="s">
        <v>1453</v>
      </c>
      <c r="Y206" t="s">
        <v>633</v>
      </c>
    </row>
    <row r="207" spans="2:25" x14ac:dyDescent="0.3">
      <c r="B207">
        <f t="shared" si="10"/>
        <v>1</v>
      </c>
      <c r="C207" t="s">
        <v>670</v>
      </c>
      <c r="D207" t="s">
        <v>711</v>
      </c>
      <c r="E207" t="s">
        <v>712</v>
      </c>
      <c r="F207" t="s">
        <v>713</v>
      </c>
      <c r="G207">
        <f t="shared" si="9"/>
        <v>1</v>
      </c>
      <c r="J207">
        <f t="shared" si="11"/>
        <v>1</v>
      </c>
      <c r="K207" s="19" t="s">
        <v>670</v>
      </c>
      <c r="L207" t="s">
        <v>1473</v>
      </c>
      <c r="M207" t="s">
        <v>712</v>
      </c>
      <c r="N207" t="s">
        <v>713</v>
      </c>
      <c r="W207" s="19" t="s">
        <v>670</v>
      </c>
      <c r="X207" t="s">
        <v>1473</v>
      </c>
      <c r="Y207" t="s">
        <v>712</v>
      </c>
    </row>
    <row r="208" spans="2:25" x14ac:dyDescent="0.3">
      <c r="B208">
        <f t="shared" si="10"/>
        <v>1</v>
      </c>
      <c r="C208" t="s">
        <v>473</v>
      </c>
      <c r="D208" t="s">
        <v>533</v>
      </c>
      <c r="E208" t="s">
        <v>534</v>
      </c>
      <c r="F208" t="s">
        <v>535</v>
      </c>
      <c r="G208">
        <f t="shared" si="9"/>
        <v>1</v>
      </c>
      <c r="J208">
        <f t="shared" si="11"/>
        <v>1</v>
      </c>
      <c r="K208" s="19" t="s">
        <v>473</v>
      </c>
      <c r="L208" t="s">
        <v>1440</v>
      </c>
      <c r="M208" t="s">
        <v>534</v>
      </c>
      <c r="N208" t="s">
        <v>535</v>
      </c>
      <c r="W208" s="19" t="s">
        <v>473</v>
      </c>
      <c r="X208" t="s">
        <v>1440</v>
      </c>
      <c r="Y208" t="s">
        <v>534</v>
      </c>
    </row>
    <row r="209" spans="2:25" x14ac:dyDescent="0.3">
      <c r="B209">
        <f t="shared" si="10"/>
        <v>1</v>
      </c>
      <c r="C209" t="s">
        <v>573</v>
      </c>
      <c r="D209" t="s">
        <v>604</v>
      </c>
      <c r="E209" t="s">
        <v>605</v>
      </c>
      <c r="F209" t="s">
        <v>606</v>
      </c>
      <c r="G209">
        <f t="shared" si="9"/>
        <v>1</v>
      </c>
      <c r="J209">
        <f t="shared" si="11"/>
        <v>1</v>
      </c>
      <c r="K209" s="19" t="s">
        <v>573</v>
      </c>
      <c r="L209" t="s">
        <v>1444</v>
      </c>
      <c r="M209" t="s">
        <v>605</v>
      </c>
      <c r="N209" t="s">
        <v>606</v>
      </c>
      <c r="W209" s="19" t="s">
        <v>573</v>
      </c>
      <c r="X209" t="s">
        <v>1444</v>
      </c>
      <c r="Y209" t="s">
        <v>605</v>
      </c>
    </row>
    <row r="210" spans="2:25" x14ac:dyDescent="0.3">
      <c r="B210">
        <f t="shared" si="10"/>
        <v>1</v>
      </c>
      <c r="C210" t="s">
        <v>573</v>
      </c>
      <c r="D210" t="s">
        <v>579</v>
      </c>
      <c r="E210" t="s">
        <v>580</v>
      </c>
      <c r="F210" t="s">
        <v>581</v>
      </c>
      <c r="G210">
        <f t="shared" si="9"/>
        <v>1</v>
      </c>
      <c r="J210">
        <f t="shared" si="11"/>
        <v>1</v>
      </c>
      <c r="K210" s="19" t="s">
        <v>573</v>
      </c>
      <c r="L210" t="s">
        <v>1449</v>
      </c>
      <c r="M210" t="s">
        <v>580</v>
      </c>
      <c r="N210" t="s">
        <v>581</v>
      </c>
      <c r="W210" s="19" t="s">
        <v>573</v>
      </c>
      <c r="X210" t="s">
        <v>1449</v>
      </c>
      <c r="Y210" t="s">
        <v>580</v>
      </c>
    </row>
    <row r="211" spans="2:25" x14ac:dyDescent="0.3">
      <c r="B211">
        <f t="shared" si="10"/>
        <v>1</v>
      </c>
      <c r="C211" t="s">
        <v>573</v>
      </c>
      <c r="D211" t="s">
        <v>623</v>
      </c>
      <c r="E211" t="s">
        <v>624</v>
      </c>
      <c r="F211" t="s">
        <v>625</v>
      </c>
      <c r="G211">
        <f t="shared" si="9"/>
        <v>1</v>
      </c>
      <c r="J211">
        <f t="shared" si="11"/>
        <v>1</v>
      </c>
      <c r="K211" s="19" t="s">
        <v>573</v>
      </c>
      <c r="L211" t="s">
        <v>1451</v>
      </c>
      <c r="M211" t="s">
        <v>624</v>
      </c>
      <c r="N211" t="s">
        <v>625</v>
      </c>
      <c r="W211" s="19" t="s">
        <v>573</v>
      </c>
      <c r="X211" t="s">
        <v>1451</v>
      </c>
      <c r="Y211" t="s">
        <v>624</v>
      </c>
    </row>
    <row r="212" spans="2:25" x14ac:dyDescent="0.3">
      <c r="B212">
        <f t="shared" si="10"/>
        <v>1</v>
      </c>
      <c r="C212" t="s">
        <v>966</v>
      </c>
      <c r="D212" t="s">
        <v>1036</v>
      </c>
      <c r="E212" t="s">
        <v>1037</v>
      </c>
      <c r="F212" t="s">
        <v>1038</v>
      </c>
      <c r="G212">
        <f t="shared" si="9"/>
        <v>1</v>
      </c>
      <c r="J212">
        <f t="shared" si="11"/>
        <v>1</v>
      </c>
      <c r="K212" s="19" t="s">
        <v>966</v>
      </c>
      <c r="L212" t="s">
        <v>1530</v>
      </c>
      <c r="M212" t="s">
        <v>1037</v>
      </c>
      <c r="N212" t="s">
        <v>1038</v>
      </c>
      <c r="W212" s="19" t="s">
        <v>966</v>
      </c>
      <c r="X212" t="s">
        <v>1530</v>
      </c>
      <c r="Y212" t="s">
        <v>1037</v>
      </c>
    </row>
    <row r="213" spans="2:25" x14ac:dyDescent="0.3">
      <c r="B213">
        <f t="shared" si="10"/>
        <v>1</v>
      </c>
      <c r="C213" t="s">
        <v>473</v>
      </c>
      <c r="D213" t="s">
        <v>515</v>
      </c>
      <c r="E213" t="s">
        <v>516</v>
      </c>
      <c r="F213" t="s">
        <v>517</v>
      </c>
      <c r="G213">
        <f t="shared" si="9"/>
        <v>1</v>
      </c>
      <c r="J213">
        <f t="shared" si="11"/>
        <v>1</v>
      </c>
      <c r="K213" s="19" t="s">
        <v>473</v>
      </c>
      <c r="L213" t="s">
        <v>1438</v>
      </c>
      <c r="M213" t="s">
        <v>516</v>
      </c>
      <c r="N213" t="s">
        <v>517</v>
      </c>
      <c r="W213" s="19" t="s">
        <v>473</v>
      </c>
      <c r="X213" t="s">
        <v>1438</v>
      </c>
      <c r="Y213" t="s">
        <v>516</v>
      </c>
    </row>
    <row r="214" spans="2:25" x14ac:dyDescent="0.3">
      <c r="B214">
        <f t="shared" si="10"/>
        <v>1</v>
      </c>
      <c r="C214" t="s">
        <v>473</v>
      </c>
      <c r="D214" t="s">
        <v>537</v>
      </c>
      <c r="E214" t="s">
        <v>538</v>
      </c>
      <c r="F214" t="s">
        <v>539</v>
      </c>
      <c r="G214">
        <f t="shared" si="9"/>
        <v>1</v>
      </c>
      <c r="J214">
        <f t="shared" si="11"/>
        <v>1</v>
      </c>
      <c r="K214" s="19" t="s">
        <v>473</v>
      </c>
      <c r="L214" t="s">
        <v>537</v>
      </c>
      <c r="M214" t="s">
        <v>538</v>
      </c>
      <c r="N214" t="s">
        <v>539</v>
      </c>
      <c r="W214" s="19" t="s">
        <v>473</v>
      </c>
      <c r="X214" t="s">
        <v>537</v>
      </c>
      <c r="Y214" t="s">
        <v>538</v>
      </c>
    </row>
    <row r="215" spans="2:25" x14ac:dyDescent="0.3">
      <c r="B215">
        <f t="shared" si="10"/>
        <v>1</v>
      </c>
      <c r="C215" t="s">
        <v>210</v>
      </c>
      <c r="D215" t="s">
        <v>247</v>
      </c>
      <c r="E215" t="s">
        <v>248</v>
      </c>
      <c r="F215" t="s">
        <v>249</v>
      </c>
      <c r="G215">
        <f t="shared" si="9"/>
        <v>1</v>
      </c>
      <c r="J215">
        <f t="shared" si="11"/>
        <v>1</v>
      </c>
      <c r="K215" s="19" t="s">
        <v>210</v>
      </c>
      <c r="L215" t="s">
        <v>1413</v>
      </c>
      <c r="M215" t="s">
        <v>248</v>
      </c>
      <c r="N215" t="s">
        <v>249</v>
      </c>
      <c r="W215" s="19" t="s">
        <v>210</v>
      </c>
      <c r="X215" t="s">
        <v>1413</v>
      </c>
      <c r="Y215" t="s">
        <v>248</v>
      </c>
    </row>
    <row r="216" spans="2:25" x14ac:dyDescent="0.3">
      <c r="B216">
        <f t="shared" si="10"/>
        <v>1</v>
      </c>
      <c r="C216" t="s">
        <v>439</v>
      </c>
      <c r="D216" t="s">
        <v>440</v>
      </c>
      <c r="E216" t="s">
        <v>303</v>
      </c>
      <c r="F216" t="s">
        <v>441</v>
      </c>
      <c r="G216">
        <f t="shared" si="9"/>
        <v>1</v>
      </c>
      <c r="J216">
        <f t="shared" si="11"/>
        <v>1</v>
      </c>
      <c r="K216" s="19" t="s">
        <v>439</v>
      </c>
      <c r="L216" t="s">
        <v>1432</v>
      </c>
      <c r="M216" t="s">
        <v>1433</v>
      </c>
      <c r="N216" t="s">
        <v>441</v>
      </c>
      <c r="W216" s="19" t="s">
        <v>439</v>
      </c>
      <c r="X216" t="s">
        <v>1432</v>
      </c>
      <c r="Y216" t="s">
        <v>1433</v>
      </c>
    </row>
    <row r="217" spans="2:25" x14ac:dyDescent="0.3">
      <c r="B217">
        <f t="shared" si="10"/>
        <v>1</v>
      </c>
      <c r="C217" t="s">
        <v>439</v>
      </c>
      <c r="D217" t="s">
        <v>449</v>
      </c>
      <c r="E217" t="s">
        <v>450</v>
      </c>
      <c r="F217" t="s">
        <v>451</v>
      </c>
      <c r="G217">
        <f t="shared" si="9"/>
        <v>1</v>
      </c>
      <c r="J217">
        <f t="shared" si="11"/>
        <v>1</v>
      </c>
      <c r="K217" s="19" t="s">
        <v>439</v>
      </c>
      <c r="L217" t="s">
        <v>1431</v>
      </c>
      <c r="M217" t="s">
        <v>450</v>
      </c>
      <c r="N217" t="s">
        <v>451</v>
      </c>
      <c r="W217" s="19" t="s">
        <v>439</v>
      </c>
      <c r="X217" t="s">
        <v>1431</v>
      </c>
      <c r="Y217" t="s">
        <v>450</v>
      </c>
    </row>
    <row r="218" spans="2:25" x14ac:dyDescent="0.3">
      <c r="B218">
        <f t="shared" si="10"/>
        <v>1</v>
      </c>
      <c r="C218" t="s">
        <v>439</v>
      </c>
      <c r="D218" t="s">
        <v>464</v>
      </c>
      <c r="E218" t="s">
        <v>91</v>
      </c>
      <c r="F218" t="s">
        <v>465</v>
      </c>
      <c r="G218">
        <f t="shared" si="9"/>
        <v>1</v>
      </c>
      <c r="J218">
        <f t="shared" si="11"/>
        <v>1</v>
      </c>
      <c r="K218" s="19" t="s">
        <v>439</v>
      </c>
      <c r="L218" t="s">
        <v>1436</v>
      </c>
      <c r="M218" t="s">
        <v>1437</v>
      </c>
      <c r="N218" t="s">
        <v>465</v>
      </c>
      <c r="W218" s="19" t="s">
        <v>439</v>
      </c>
      <c r="X218" t="s">
        <v>1436</v>
      </c>
      <c r="Y218" t="s">
        <v>1437</v>
      </c>
    </row>
    <row r="219" spans="2:25" x14ac:dyDescent="0.3">
      <c r="B219">
        <f t="shared" si="10"/>
        <v>1</v>
      </c>
      <c r="C219" t="s">
        <v>439</v>
      </c>
      <c r="D219" t="s">
        <v>444</v>
      </c>
      <c r="E219" t="s">
        <v>445</v>
      </c>
      <c r="F219" t="s">
        <v>446</v>
      </c>
      <c r="G219">
        <f t="shared" si="9"/>
        <v>1</v>
      </c>
      <c r="J219">
        <f t="shared" si="11"/>
        <v>1</v>
      </c>
      <c r="K219" s="19" t="s">
        <v>439</v>
      </c>
      <c r="L219" t="s">
        <v>1430</v>
      </c>
      <c r="M219" t="s">
        <v>445</v>
      </c>
      <c r="N219" t="s">
        <v>446</v>
      </c>
      <c r="W219" s="19" t="s">
        <v>439</v>
      </c>
      <c r="X219" t="s">
        <v>1430</v>
      </c>
      <c r="Y219" t="s">
        <v>445</v>
      </c>
    </row>
    <row r="220" spans="2:25" x14ac:dyDescent="0.3">
      <c r="B220">
        <f t="shared" si="10"/>
        <v>1</v>
      </c>
      <c r="C220" t="s">
        <v>439</v>
      </c>
      <c r="D220" t="s">
        <v>454</v>
      </c>
      <c r="E220" t="s">
        <v>455</v>
      </c>
      <c r="F220" t="s">
        <v>456</v>
      </c>
      <c r="G220">
        <f t="shared" si="9"/>
        <v>1</v>
      </c>
      <c r="J220">
        <f t="shared" si="11"/>
        <v>1</v>
      </c>
      <c r="K220" s="19" t="s">
        <v>439</v>
      </c>
      <c r="L220" t="s">
        <v>1434</v>
      </c>
      <c r="M220" t="s">
        <v>455</v>
      </c>
      <c r="N220" t="s">
        <v>456</v>
      </c>
      <c r="W220" s="19" t="s">
        <v>439</v>
      </c>
      <c r="X220" t="s">
        <v>1434</v>
      </c>
      <c r="Y220" t="s">
        <v>455</v>
      </c>
    </row>
    <row r="221" spans="2:25" x14ac:dyDescent="0.3">
      <c r="B221">
        <f t="shared" si="10"/>
        <v>1</v>
      </c>
      <c r="C221" t="s">
        <v>439</v>
      </c>
      <c r="D221" t="s">
        <v>459</v>
      </c>
      <c r="E221" t="s">
        <v>460</v>
      </c>
      <c r="F221" t="s">
        <v>461</v>
      </c>
      <c r="G221">
        <f t="shared" si="9"/>
        <v>1</v>
      </c>
      <c r="J221">
        <f t="shared" si="11"/>
        <v>1</v>
      </c>
      <c r="K221" s="19" t="s">
        <v>439</v>
      </c>
      <c r="L221" t="s">
        <v>1435</v>
      </c>
      <c r="M221" t="s">
        <v>460</v>
      </c>
      <c r="N221" t="s">
        <v>461</v>
      </c>
      <c r="W221" s="19" t="s">
        <v>439</v>
      </c>
      <c r="X221" t="s">
        <v>1435</v>
      </c>
      <c r="Y221" t="s">
        <v>460</v>
      </c>
    </row>
    <row r="222" spans="2:25" x14ac:dyDescent="0.3">
      <c r="B222">
        <f t="shared" si="10"/>
        <v>1</v>
      </c>
      <c r="C222" t="s">
        <v>966</v>
      </c>
      <c r="D222" t="s">
        <v>1042</v>
      </c>
      <c r="E222" t="s">
        <v>1043</v>
      </c>
      <c r="F222" t="s">
        <v>1044</v>
      </c>
      <c r="G222">
        <f t="shared" si="9"/>
        <v>1</v>
      </c>
      <c r="J222">
        <f t="shared" si="11"/>
        <v>1</v>
      </c>
      <c r="K222" s="19" t="s">
        <v>966</v>
      </c>
      <c r="L222" t="s">
        <v>1537</v>
      </c>
      <c r="M222" t="s">
        <v>1043</v>
      </c>
      <c r="N222" t="s">
        <v>1044</v>
      </c>
      <c r="W222" s="19" t="s">
        <v>966</v>
      </c>
      <c r="X222" t="s">
        <v>1537</v>
      </c>
      <c r="Y222" t="s">
        <v>1043</v>
      </c>
    </row>
    <row r="223" spans="2:25" x14ac:dyDescent="0.3">
      <c r="B223">
        <f t="shared" si="10"/>
        <v>1</v>
      </c>
      <c r="C223" t="s">
        <v>109</v>
      </c>
      <c r="D223" t="s">
        <v>130</v>
      </c>
      <c r="E223" t="s">
        <v>131</v>
      </c>
      <c r="F223" t="s">
        <v>132</v>
      </c>
      <c r="G223">
        <f t="shared" si="9"/>
        <v>1</v>
      </c>
      <c r="J223">
        <f t="shared" si="11"/>
        <v>1</v>
      </c>
      <c r="K223" s="19" t="s">
        <v>109</v>
      </c>
      <c r="L223" t="s">
        <v>1392</v>
      </c>
      <c r="M223" t="s">
        <v>1393</v>
      </c>
      <c r="N223" t="s">
        <v>132</v>
      </c>
      <c r="W223" s="19" t="s">
        <v>109</v>
      </c>
      <c r="X223" t="s">
        <v>1392</v>
      </c>
      <c r="Y223" t="s">
        <v>1393</v>
      </c>
    </row>
    <row r="224" spans="2:25" x14ac:dyDescent="0.3">
      <c r="B224">
        <f t="shared" si="10"/>
        <v>1</v>
      </c>
      <c r="C224" t="s">
        <v>966</v>
      </c>
      <c r="D224" t="s">
        <v>990</v>
      </c>
      <c r="E224" t="s">
        <v>991</v>
      </c>
      <c r="F224" t="s">
        <v>992</v>
      </c>
      <c r="G224">
        <f t="shared" si="9"/>
        <v>1</v>
      </c>
      <c r="J224">
        <f t="shared" si="11"/>
        <v>1</v>
      </c>
      <c r="K224" s="19" t="s">
        <v>966</v>
      </c>
      <c r="L224" t="s">
        <v>1535</v>
      </c>
      <c r="M224" t="s">
        <v>991</v>
      </c>
      <c r="N224" t="s">
        <v>992</v>
      </c>
      <c r="W224" s="19" t="s">
        <v>966</v>
      </c>
      <c r="X224" t="s">
        <v>1535</v>
      </c>
      <c r="Y224" t="s">
        <v>991</v>
      </c>
    </row>
    <row r="225" spans="2:25" x14ac:dyDescent="0.3">
      <c r="B225">
        <f t="shared" si="10"/>
        <v>1</v>
      </c>
      <c r="C225" t="s">
        <v>330</v>
      </c>
      <c r="D225" t="s">
        <v>365</v>
      </c>
      <c r="E225" t="s">
        <v>366</v>
      </c>
      <c r="F225" t="s">
        <v>367</v>
      </c>
      <c r="G225">
        <f t="shared" si="9"/>
        <v>1</v>
      </c>
      <c r="J225">
        <f t="shared" si="11"/>
        <v>1</v>
      </c>
      <c r="K225" s="19" t="s">
        <v>330</v>
      </c>
      <c r="L225" t="s">
        <v>1428</v>
      </c>
      <c r="M225" t="s">
        <v>366</v>
      </c>
      <c r="N225" t="s">
        <v>367</v>
      </c>
      <c r="W225" s="19" t="s">
        <v>330</v>
      </c>
      <c r="X225" t="s">
        <v>1428</v>
      </c>
      <c r="Y225" t="s">
        <v>366</v>
      </c>
    </row>
    <row r="226" spans="2:25" x14ac:dyDescent="0.3">
      <c r="B226">
        <f t="shared" si="10"/>
        <v>1</v>
      </c>
      <c r="C226" t="s">
        <v>573</v>
      </c>
      <c r="D226" t="s">
        <v>599</v>
      </c>
      <c r="E226" t="s">
        <v>600</v>
      </c>
      <c r="F226" t="s">
        <v>601</v>
      </c>
      <c r="G226">
        <f t="shared" si="9"/>
        <v>1</v>
      </c>
      <c r="J226">
        <f t="shared" si="11"/>
        <v>1</v>
      </c>
      <c r="K226" s="19" t="s">
        <v>573</v>
      </c>
      <c r="L226" t="s">
        <v>1443</v>
      </c>
      <c r="M226" t="s">
        <v>600</v>
      </c>
      <c r="N226" t="s">
        <v>601</v>
      </c>
      <c r="W226" s="19" t="s">
        <v>573</v>
      </c>
      <c r="X226" t="s">
        <v>1443</v>
      </c>
      <c r="Y226" t="s">
        <v>600</v>
      </c>
    </row>
    <row r="227" spans="2:25" x14ac:dyDescent="0.3">
      <c r="B227">
        <f t="shared" si="10"/>
        <v>1</v>
      </c>
      <c r="C227" t="s">
        <v>966</v>
      </c>
      <c r="D227" t="s">
        <v>1002</v>
      </c>
      <c r="E227" t="s">
        <v>1003</v>
      </c>
      <c r="F227" t="s">
        <v>1004</v>
      </c>
      <c r="G227">
        <f t="shared" si="9"/>
        <v>1</v>
      </c>
      <c r="J227">
        <f t="shared" si="11"/>
        <v>1</v>
      </c>
      <c r="K227" s="19" t="s">
        <v>966</v>
      </c>
      <c r="L227" t="s">
        <v>1538</v>
      </c>
      <c r="M227" t="s">
        <v>1003</v>
      </c>
      <c r="N227" t="s">
        <v>1004</v>
      </c>
      <c r="W227" s="19" t="s">
        <v>966</v>
      </c>
      <c r="X227" t="s">
        <v>1538</v>
      </c>
      <c r="Y227" t="s">
        <v>1003</v>
      </c>
    </row>
    <row r="228" spans="2:25" x14ac:dyDescent="0.3">
      <c r="B228">
        <f t="shared" si="10"/>
        <v>1</v>
      </c>
      <c r="C228" t="s">
        <v>966</v>
      </c>
      <c r="D228" t="s">
        <v>1033</v>
      </c>
      <c r="E228" t="s">
        <v>1034</v>
      </c>
      <c r="F228" t="s">
        <v>1035</v>
      </c>
      <c r="G228">
        <f t="shared" si="9"/>
        <v>1</v>
      </c>
      <c r="J228">
        <f t="shared" si="11"/>
        <v>1</v>
      </c>
      <c r="K228" s="19" t="s">
        <v>966</v>
      </c>
      <c r="L228" t="s">
        <v>1528</v>
      </c>
      <c r="M228" t="s">
        <v>1034</v>
      </c>
      <c r="N228" t="s">
        <v>1035</v>
      </c>
      <c r="W228" s="19" t="s">
        <v>966</v>
      </c>
      <c r="X228" t="s">
        <v>1528</v>
      </c>
      <c r="Y228" t="s">
        <v>1034</v>
      </c>
    </row>
    <row r="229" spans="2:25" x14ac:dyDescent="0.3">
      <c r="B229">
        <f t="shared" si="10"/>
        <v>1</v>
      </c>
      <c r="C229" t="s">
        <v>966</v>
      </c>
      <c r="D229" t="s">
        <v>1018</v>
      </c>
      <c r="E229" t="s">
        <v>1019</v>
      </c>
      <c r="F229" t="s">
        <v>1020</v>
      </c>
      <c r="G229">
        <f t="shared" si="9"/>
        <v>1</v>
      </c>
      <c r="J229">
        <f t="shared" si="11"/>
        <v>1</v>
      </c>
      <c r="K229" s="19" t="s">
        <v>966</v>
      </c>
      <c r="L229" t="s">
        <v>1542</v>
      </c>
      <c r="M229" t="s">
        <v>1019</v>
      </c>
      <c r="N229" t="s">
        <v>1020</v>
      </c>
      <c r="W229" s="19" t="s">
        <v>966</v>
      </c>
      <c r="X229" t="s">
        <v>1542</v>
      </c>
      <c r="Y229" t="s">
        <v>1019</v>
      </c>
    </row>
    <row r="230" spans="2:25" x14ac:dyDescent="0.3">
      <c r="B230">
        <f t="shared" si="10"/>
        <v>1</v>
      </c>
      <c r="C230" t="s">
        <v>966</v>
      </c>
      <c r="D230" t="s">
        <v>1039</v>
      </c>
      <c r="E230" t="s">
        <v>1040</v>
      </c>
      <c r="F230" t="s">
        <v>1041</v>
      </c>
      <c r="G230">
        <f t="shared" si="9"/>
        <v>1</v>
      </c>
      <c r="J230">
        <f t="shared" si="11"/>
        <v>1</v>
      </c>
      <c r="K230" s="19" t="s">
        <v>966</v>
      </c>
      <c r="L230" t="s">
        <v>1534</v>
      </c>
      <c r="M230" t="s">
        <v>1040</v>
      </c>
      <c r="N230" t="s">
        <v>1041</v>
      </c>
      <c r="W230" s="19" t="s">
        <v>966</v>
      </c>
      <c r="X230" t="s">
        <v>1534</v>
      </c>
      <c r="Y230" t="s">
        <v>1040</v>
      </c>
    </row>
    <row r="231" spans="2:25" x14ac:dyDescent="0.3">
      <c r="B231">
        <f t="shared" si="10"/>
        <v>1</v>
      </c>
      <c r="C231" t="s">
        <v>966</v>
      </c>
      <c r="D231" t="s">
        <v>984</v>
      </c>
      <c r="E231" t="s">
        <v>985</v>
      </c>
      <c r="F231" t="s">
        <v>986</v>
      </c>
      <c r="G231">
        <f t="shared" si="9"/>
        <v>1</v>
      </c>
      <c r="J231">
        <f t="shared" si="11"/>
        <v>1</v>
      </c>
      <c r="K231" s="19" t="s">
        <v>966</v>
      </c>
      <c r="L231" t="s">
        <v>1532</v>
      </c>
      <c r="M231" t="s">
        <v>985</v>
      </c>
      <c r="N231" t="s">
        <v>986</v>
      </c>
      <c r="W231" s="19" t="s">
        <v>966</v>
      </c>
      <c r="X231" t="s">
        <v>1532</v>
      </c>
      <c r="Y231" t="s">
        <v>985</v>
      </c>
    </row>
    <row r="232" spans="2:25" x14ac:dyDescent="0.3">
      <c r="B232">
        <f t="shared" si="10"/>
        <v>1</v>
      </c>
      <c r="C232" t="s">
        <v>966</v>
      </c>
      <c r="D232" t="s">
        <v>1025</v>
      </c>
      <c r="E232" t="s">
        <v>1026</v>
      </c>
      <c r="F232" t="s">
        <v>1027</v>
      </c>
      <c r="G232">
        <f t="shared" si="9"/>
        <v>1</v>
      </c>
      <c r="J232">
        <f t="shared" si="11"/>
        <v>1</v>
      </c>
      <c r="K232" s="19" t="s">
        <v>966</v>
      </c>
      <c r="L232" t="s">
        <v>1521</v>
      </c>
      <c r="M232" t="s">
        <v>1026</v>
      </c>
      <c r="N232" t="s">
        <v>1027</v>
      </c>
      <c r="W232" s="19" t="s">
        <v>966</v>
      </c>
      <c r="X232" t="s">
        <v>1521</v>
      </c>
      <c r="Y232" t="s">
        <v>1026</v>
      </c>
    </row>
    <row r="233" spans="2:25" x14ac:dyDescent="0.3">
      <c r="B233">
        <f t="shared" si="10"/>
        <v>1</v>
      </c>
      <c r="C233" t="s">
        <v>966</v>
      </c>
      <c r="D233" t="s">
        <v>987</v>
      </c>
      <c r="E233" t="s">
        <v>988</v>
      </c>
      <c r="F233" t="s">
        <v>989</v>
      </c>
      <c r="G233">
        <f t="shared" si="9"/>
        <v>1</v>
      </c>
      <c r="J233">
        <f t="shared" si="11"/>
        <v>1</v>
      </c>
      <c r="K233" s="19" t="s">
        <v>966</v>
      </c>
      <c r="L233" t="s">
        <v>1533</v>
      </c>
      <c r="M233" t="s">
        <v>988</v>
      </c>
      <c r="N233" t="s">
        <v>989</v>
      </c>
      <c r="W233" s="19" t="s">
        <v>966</v>
      </c>
      <c r="X233" t="s">
        <v>1533</v>
      </c>
      <c r="Y233" t="s">
        <v>988</v>
      </c>
    </row>
    <row r="234" spans="2:25" x14ac:dyDescent="0.3">
      <c r="B234">
        <f t="shared" si="10"/>
        <v>1</v>
      </c>
      <c r="C234" t="s">
        <v>966</v>
      </c>
      <c r="D234" t="s">
        <v>967</v>
      </c>
      <c r="E234" t="s">
        <v>968</v>
      </c>
      <c r="F234" t="s">
        <v>969</v>
      </c>
      <c r="G234">
        <f t="shared" si="9"/>
        <v>1</v>
      </c>
      <c r="J234">
        <f t="shared" si="11"/>
        <v>1</v>
      </c>
      <c r="K234" s="19" t="s">
        <v>966</v>
      </c>
      <c r="L234" t="s">
        <v>1522</v>
      </c>
      <c r="M234" t="s">
        <v>968</v>
      </c>
      <c r="N234" t="s">
        <v>969</v>
      </c>
      <c r="W234" s="19" t="s">
        <v>966</v>
      </c>
      <c r="X234" t="s">
        <v>1522</v>
      </c>
      <c r="Y234" t="s">
        <v>968</v>
      </c>
    </row>
    <row r="235" spans="2:25" x14ac:dyDescent="0.3">
      <c r="B235">
        <f t="shared" si="10"/>
        <v>1</v>
      </c>
      <c r="C235" t="s">
        <v>330</v>
      </c>
      <c r="D235" t="s">
        <v>383</v>
      </c>
      <c r="E235" t="s">
        <v>384</v>
      </c>
      <c r="F235" t="s">
        <v>385</v>
      </c>
      <c r="G235">
        <f t="shared" si="9"/>
        <v>1</v>
      </c>
      <c r="J235">
        <f t="shared" si="11"/>
        <v>1</v>
      </c>
      <c r="K235" s="19" t="s">
        <v>330</v>
      </c>
      <c r="L235" t="s">
        <v>383</v>
      </c>
      <c r="M235" t="s">
        <v>384</v>
      </c>
      <c r="N235" t="s">
        <v>385</v>
      </c>
      <c r="W235" s="19" t="s">
        <v>330</v>
      </c>
      <c r="X235" t="s">
        <v>383</v>
      </c>
      <c r="Y235" t="s">
        <v>384</v>
      </c>
    </row>
    <row r="236" spans="2:25" x14ac:dyDescent="0.3">
      <c r="B236">
        <f t="shared" si="10"/>
        <v>1</v>
      </c>
      <c r="C236" t="s">
        <v>1343</v>
      </c>
      <c r="D236" t="s">
        <v>1347</v>
      </c>
      <c r="E236" t="s">
        <v>1348</v>
      </c>
      <c r="F236" t="s">
        <v>1349</v>
      </c>
      <c r="G236">
        <f t="shared" si="9"/>
        <v>1</v>
      </c>
      <c r="J236">
        <f t="shared" si="11"/>
        <v>1</v>
      </c>
      <c r="K236" s="19" t="s">
        <v>1343</v>
      </c>
      <c r="L236" t="s">
        <v>1614</v>
      </c>
      <c r="M236" t="s">
        <v>1348</v>
      </c>
      <c r="N236" t="s">
        <v>1349</v>
      </c>
      <c r="W236" s="19" t="s">
        <v>1343</v>
      </c>
      <c r="X236" t="s">
        <v>1614</v>
      </c>
      <c r="Y236" t="s">
        <v>1348</v>
      </c>
    </row>
    <row r="237" spans="2:25" x14ac:dyDescent="0.3">
      <c r="B237">
        <f t="shared" si="10"/>
        <v>1</v>
      </c>
      <c r="C237" t="s">
        <v>573</v>
      </c>
      <c r="D237" t="s">
        <v>637</v>
      </c>
      <c r="E237" t="s">
        <v>638</v>
      </c>
      <c r="F237" t="s">
        <v>639</v>
      </c>
      <c r="G237">
        <f t="shared" si="9"/>
        <v>1</v>
      </c>
      <c r="J237">
        <f t="shared" si="11"/>
        <v>1</v>
      </c>
      <c r="K237" s="19" t="s">
        <v>573</v>
      </c>
      <c r="L237" t="s">
        <v>1454</v>
      </c>
      <c r="M237" t="s">
        <v>638</v>
      </c>
      <c r="N237" t="s">
        <v>639</v>
      </c>
      <c r="W237" s="19" t="s">
        <v>573</v>
      </c>
      <c r="X237" t="s">
        <v>1454</v>
      </c>
      <c r="Y237" t="s">
        <v>638</v>
      </c>
    </row>
    <row r="238" spans="2:25" x14ac:dyDescent="0.3">
      <c r="B238">
        <f t="shared" si="10"/>
        <v>1</v>
      </c>
      <c r="C238" t="s">
        <v>966</v>
      </c>
      <c r="D238" t="s">
        <v>1028</v>
      </c>
      <c r="E238" t="s">
        <v>1029</v>
      </c>
      <c r="F238" t="s">
        <v>1030</v>
      </c>
      <c r="G238">
        <f t="shared" si="9"/>
        <v>1</v>
      </c>
      <c r="J238">
        <f t="shared" si="11"/>
        <v>1</v>
      </c>
      <c r="K238" s="19" t="s">
        <v>966</v>
      </c>
      <c r="L238" t="s">
        <v>1525</v>
      </c>
      <c r="M238" t="s">
        <v>1029</v>
      </c>
      <c r="N238" t="s">
        <v>1030</v>
      </c>
      <c r="W238" s="19" t="s">
        <v>966</v>
      </c>
      <c r="X238" t="s">
        <v>1525</v>
      </c>
      <c r="Y238" t="s">
        <v>1029</v>
      </c>
    </row>
    <row r="239" spans="2:25" x14ac:dyDescent="0.3">
      <c r="B239">
        <f t="shared" si="10"/>
        <v>1</v>
      </c>
      <c r="C239" t="s">
        <v>966</v>
      </c>
      <c r="D239" t="s">
        <v>973</v>
      </c>
      <c r="E239" t="s">
        <v>816</v>
      </c>
      <c r="F239" t="s">
        <v>974</v>
      </c>
      <c r="G239">
        <f t="shared" si="9"/>
        <v>1</v>
      </c>
      <c r="J239">
        <f t="shared" si="11"/>
        <v>1</v>
      </c>
      <c r="K239" s="19" t="s">
        <v>966</v>
      </c>
      <c r="L239" t="s">
        <v>1526</v>
      </c>
      <c r="M239" t="s">
        <v>1527</v>
      </c>
      <c r="N239" t="s">
        <v>974</v>
      </c>
      <c r="W239" s="19" t="s">
        <v>966</v>
      </c>
      <c r="X239" t="s">
        <v>1526</v>
      </c>
      <c r="Y239" t="s">
        <v>1527</v>
      </c>
    </row>
    <row r="240" spans="2:25" x14ac:dyDescent="0.3">
      <c r="B240">
        <f t="shared" si="10"/>
        <v>1</v>
      </c>
      <c r="C240" t="s">
        <v>756</v>
      </c>
      <c r="D240" t="s">
        <v>773</v>
      </c>
      <c r="E240" t="s">
        <v>672</v>
      </c>
      <c r="F240" t="s">
        <v>774</v>
      </c>
      <c r="G240">
        <f t="shared" si="9"/>
        <v>1</v>
      </c>
      <c r="J240">
        <f t="shared" si="11"/>
        <v>1</v>
      </c>
      <c r="K240" s="19" t="s">
        <v>756</v>
      </c>
      <c r="L240" t="s">
        <v>773</v>
      </c>
      <c r="M240" t="s">
        <v>1490</v>
      </c>
      <c r="N240" t="s">
        <v>774</v>
      </c>
      <c r="W240" s="19" t="s">
        <v>756</v>
      </c>
      <c r="X240" t="s">
        <v>773</v>
      </c>
      <c r="Y240" t="s">
        <v>1490</v>
      </c>
    </row>
    <row r="241" spans="2:25" x14ac:dyDescent="0.3">
      <c r="B241">
        <f t="shared" si="10"/>
        <v>1</v>
      </c>
      <c r="C241" t="s">
        <v>330</v>
      </c>
      <c r="D241" t="s">
        <v>379</v>
      </c>
      <c r="E241" t="s">
        <v>380</v>
      </c>
      <c r="F241" t="s">
        <v>381</v>
      </c>
      <c r="G241">
        <f t="shared" si="9"/>
        <v>1</v>
      </c>
      <c r="J241">
        <f t="shared" si="11"/>
        <v>1</v>
      </c>
      <c r="K241" s="19" t="s">
        <v>330</v>
      </c>
      <c r="L241" t="s">
        <v>379</v>
      </c>
      <c r="M241" t="s">
        <v>380</v>
      </c>
      <c r="N241" t="s">
        <v>381</v>
      </c>
      <c r="W241" s="19" t="s">
        <v>330</v>
      </c>
      <c r="X241" t="s">
        <v>379</v>
      </c>
      <c r="Y241" t="s">
        <v>380</v>
      </c>
    </row>
    <row r="242" spans="2:25" x14ac:dyDescent="0.3">
      <c r="B242">
        <f t="shared" si="10"/>
        <v>1</v>
      </c>
      <c r="C242" t="s">
        <v>966</v>
      </c>
      <c r="D242" t="s">
        <v>1006</v>
      </c>
      <c r="E242" t="s">
        <v>1007</v>
      </c>
      <c r="F242" t="s">
        <v>1008</v>
      </c>
      <c r="G242">
        <f t="shared" si="9"/>
        <v>1</v>
      </c>
      <c r="J242">
        <f t="shared" si="11"/>
        <v>1</v>
      </c>
      <c r="K242" s="19" t="s">
        <v>966</v>
      </c>
      <c r="L242" t="s">
        <v>1539</v>
      </c>
      <c r="M242" t="s">
        <v>1007</v>
      </c>
      <c r="N242" t="s">
        <v>1008</v>
      </c>
      <c r="W242" s="19" t="s">
        <v>966</v>
      </c>
      <c r="X242" t="s">
        <v>1539</v>
      </c>
      <c r="Y242" t="s">
        <v>1007</v>
      </c>
    </row>
    <row r="243" spans="2:25" x14ac:dyDescent="0.3">
      <c r="B243">
        <f t="shared" si="10"/>
        <v>1</v>
      </c>
      <c r="C243" t="s">
        <v>966</v>
      </c>
      <c r="D243" t="s">
        <v>970</v>
      </c>
      <c r="E243" t="s">
        <v>303</v>
      </c>
      <c r="F243" t="s">
        <v>971</v>
      </c>
      <c r="G243">
        <f t="shared" si="9"/>
        <v>1</v>
      </c>
      <c r="J243">
        <f t="shared" si="11"/>
        <v>1</v>
      </c>
      <c r="K243" s="19" t="s">
        <v>966</v>
      </c>
      <c r="L243" t="s">
        <v>1523</v>
      </c>
      <c r="M243" t="s">
        <v>1524</v>
      </c>
      <c r="N243" t="s">
        <v>971</v>
      </c>
      <c r="W243" s="19" t="s">
        <v>966</v>
      </c>
      <c r="X243" t="s">
        <v>1523</v>
      </c>
      <c r="Y243" t="s">
        <v>1524</v>
      </c>
    </row>
    <row r="244" spans="2:25" x14ac:dyDescent="0.3">
      <c r="B244">
        <f t="shared" si="10"/>
        <v>1</v>
      </c>
      <c r="C244" t="s">
        <v>210</v>
      </c>
      <c r="D244" t="s">
        <v>242</v>
      </c>
      <c r="E244" t="s">
        <v>243</v>
      </c>
      <c r="F244" t="s">
        <v>244</v>
      </c>
      <c r="G244">
        <f t="shared" si="9"/>
        <v>1</v>
      </c>
      <c r="J244">
        <f t="shared" si="11"/>
        <v>1</v>
      </c>
      <c r="K244" s="19" t="s">
        <v>210</v>
      </c>
      <c r="L244" t="s">
        <v>1411</v>
      </c>
      <c r="M244" t="s">
        <v>1412</v>
      </c>
      <c r="N244" t="s">
        <v>244</v>
      </c>
      <c r="W244" s="19" t="s">
        <v>210</v>
      </c>
      <c r="X244" t="s">
        <v>1411</v>
      </c>
      <c r="Y244" t="s">
        <v>1412</v>
      </c>
    </row>
    <row r="245" spans="2:25" x14ac:dyDescent="0.3">
      <c r="B245">
        <f t="shared" si="10"/>
        <v>1</v>
      </c>
      <c r="C245" t="s">
        <v>1086</v>
      </c>
      <c r="D245" t="s">
        <v>1098</v>
      </c>
      <c r="E245" t="s">
        <v>1099</v>
      </c>
      <c r="F245" t="s">
        <v>1100</v>
      </c>
      <c r="G245">
        <f t="shared" si="9"/>
        <v>1</v>
      </c>
      <c r="J245">
        <f t="shared" si="11"/>
        <v>1</v>
      </c>
      <c r="K245" s="19" t="s">
        <v>1086</v>
      </c>
      <c r="L245" t="s">
        <v>1556</v>
      </c>
      <c r="M245" t="s">
        <v>1099</v>
      </c>
      <c r="N245" t="s">
        <v>1100</v>
      </c>
      <c r="W245" s="19" t="s">
        <v>1086</v>
      </c>
      <c r="X245" t="s">
        <v>1556</v>
      </c>
      <c r="Y245" t="s">
        <v>1099</v>
      </c>
    </row>
    <row r="246" spans="2:25" x14ac:dyDescent="0.3">
      <c r="B246">
        <f t="shared" si="10"/>
        <v>1</v>
      </c>
      <c r="C246" t="s">
        <v>887</v>
      </c>
      <c r="D246" t="s">
        <v>888</v>
      </c>
      <c r="E246" t="s">
        <v>889</v>
      </c>
      <c r="F246" t="s">
        <v>890</v>
      </c>
      <c r="G246">
        <f t="shared" si="9"/>
        <v>1</v>
      </c>
      <c r="J246">
        <f t="shared" si="11"/>
        <v>1</v>
      </c>
      <c r="K246" s="19" t="s">
        <v>887</v>
      </c>
      <c r="L246" t="s">
        <v>888</v>
      </c>
      <c r="M246" t="s">
        <v>889</v>
      </c>
      <c r="N246" t="s">
        <v>890</v>
      </c>
      <c r="W246" s="19" t="s">
        <v>887</v>
      </c>
      <c r="X246" t="s">
        <v>888</v>
      </c>
      <c r="Y246" t="s">
        <v>889</v>
      </c>
    </row>
    <row r="247" spans="2:25" x14ac:dyDescent="0.3">
      <c r="B247">
        <f t="shared" si="10"/>
        <v>1</v>
      </c>
      <c r="C247" t="s">
        <v>670</v>
      </c>
      <c r="D247" t="s">
        <v>671</v>
      </c>
      <c r="E247" t="s">
        <v>672</v>
      </c>
      <c r="F247" t="s">
        <v>673</v>
      </c>
      <c r="G247">
        <f t="shared" si="9"/>
        <v>1</v>
      </c>
      <c r="J247">
        <f t="shared" si="11"/>
        <v>1</v>
      </c>
      <c r="K247" s="19" t="s">
        <v>670</v>
      </c>
      <c r="L247" t="s">
        <v>1464</v>
      </c>
      <c r="M247" t="s">
        <v>1465</v>
      </c>
      <c r="N247" t="s">
        <v>673</v>
      </c>
      <c r="W247" s="19" t="s">
        <v>670</v>
      </c>
      <c r="X247" t="s">
        <v>1464</v>
      </c>
      <c r="Y247" t="s">
        <v>1465</v>
      </c>
    </row>
    <row r="248" spans="2:25" x14ac:dyDescent="0.3">
      <c r="B248">
        <f t="shared" si="10"/>
        <v>1</v>
      </c>
      <c r="C248" t="s">
        <v>330</v>
      </c>
      <c r="D248" t="s">
        <v>347</v>
      </c>
      <c r="E248" t="s">
        <v>348</v>
      </c>
      <c r="F248" t="s">
        <v>349</v>
      </c>
      <c r="G248">
        <f t="shared" si="9"/>
        <v>1</v>
      </c>
      <c r="J248">
        <f t="shared" si="11"/>
        <v>1</v>
      </c>
      <c r="K248" s="19" t="s">
        <v>330</v>
      </c>
      <c r="L248" t="s">
        <v>347</v>
      </c>
      <c r="M248" t="s">
        <v>348</v>
      </c>
      <c r="N248" t="s">
        <v>349</v>
      </c>
      <c r="W248" s="19" t="s">
        <v>330</v>
      </c>
      <c r="X248" t="s">
        <v>347</v>
      </c>
      <c r="Y248" t="s">
        <v>348</v>
      </c>
    </row>
    <row r="249" spans="2:25" x14ac:dyDescent="0.3">
      <c r="B249">
        <f t="shared" si="10"/>
        <v>1</v>
      </c>
      <c r="C249" t="s">
        <v>573</v>
      </c>
      <c r="D249" t="s">
        <v>589</v>
      </c>
      <c r="E249" t="s">
        <v>590</v>
      </c>
      <c r="F249" t="s">
        <v>591</v>
      </c>
      <c r="G249">
        <f t="shared" si="9"/>
        <v>1</v>
      </c>
      <c r="J249">
        <f t="shared" si="11"/>
        <v>1</v>
      </c>
      <c r="K249" s="19" t="s">
        <v>573</v>
      </c>
      <c r="L249" t="s">
        <v>1441</v>
      </c>
      <c r="M249" t="s">
        <v>590</v>
      </c>
      <c r="N249" t="s">
        <v>591</v>
      </c>
      <c r="W249" s="19" t="s">
        <v>573</v>
      </c>
      <c r="X249" t="s">
        <v>1441</v>
      </c>
      <c r="Y249" t="s">
        <v>590</v>
      </c>
    </row>
    <row r="250" spans="2:25" x14ac:dyDescent="0.3">
      <c r="B250">
        <f t="shared" si="10"/>
        <v>1</v>
      </c>
      <c r="C250" t="s">
        <v>330</v>
      </c>
      <c r="D250" t="s">
        <v>412</v>
      </c>
      <c r="E250" t="s">
        <v>413</v>
      </c>
      <c r="F250" t="s">
        <v>414</v>
      </c>
      <c r="G250">
        <f t="shared" si="9"/>
        <v>1</v>
      </c>
      <c r="J250">
        <f t="shared" si="11"/>
        <v>1</v>
      </c>
      <c r="K250" s="19" t="s">
        <v>330</v>
      </c>
      <c r="L250" t="s">
        <v>412</v>
      </c>
      <c r="M250" t="s">
        <v>413</v>
      </c>
      <c r="N250" t="s">
        <v>414</v>
      </c>
      <c r="W250" s="19" t="s">
        <v>330</v>
      </c>
      <c r="X250" t="s">
        <v>412</v>
      </c>
      <c r="Y250" t="s">
        <v>413</v>
      </c>
    </row>
    <row r="251" spans="2:25" x14ac:dyDescent="0.3">
      <c r="B251">
        <f t="shared" si="10"/>
        <v>1</v>
      </c>
      <c r="C251" t="s">
        <v>153</v>
      </c>
      <c r="D251" t="s">
        <v>180</v>
      </c>
      <c r="E251" t="s">
        <v>181</v>
      </c>
      <c r="F251" t="s">
        <v>182</v>
      </c>
      <c r="G251">
        <f t="shared" si="9"/>
        <v>1</v>
      </c>
      <c r="J251">
        <f t="shared" si="11"/>
        <v>1</v>
      </c>
      <c r="K251" s="19" t="s">
        <v>153</v>
      </c>
      <c r="L251" t="s">
        <v>1400</v>
      </c>
      <c r="M251" t="s">
        <v>181</v>
      </c>
      <c r="N251" t="s">
        <v>182</v>
      </c>
      <c r="W251" s="19" t="s">
        <v>153</v>
      </c>
      <c r="X251" t="s">
        <v>1400</v>
      </c>
      <c r="Y251" t="s">
        <v>181</v>
      </c>
    </row>
    <row r="252" spans="2:25" x14ac:dyDescent="0.3">
      <c r="B252">
        <f t="shared" si="10"/>
        <v>1</v>
      </c>
      <c r="C252" t="s">
        <v>756</v>
      </c>
      <c r="D252" t="s">
        <v>777</v>
      </c>
      <c r="E252" t="s">
        <v>778</v>
      </c>
      <c r="F252" t="s">
        <v>779</v>
      </c>
      <c r="G252">
        <f t="shared" si="9"/>
        <v>1</v>
      </c>
      <c r="J252">
        <f t="shared" si="11"/>
        <v>1</v>
      </c>
      <c r="K252" s="19" t="s">
        <v>756</v>
      </c>
      <c r="L252" t="s">
        <v>777</v>
      </c>
      <c r="M252" t="s">
        <v>778</v>
      </c>
      <c r="N252" t="s">
        <v>779</v>
      </c>
      <c r="W252" s="19" t="s">
        <v>756</v>
      </c>
      <c r="X252" t="s">
        <v>777</v>
      </c>
      <c r="Y252" t="s">
        <v>778</v>
      </c>
    </row>
    <row r="253" spans="2:25" x14ac:dyDescent="0.3">
      <c r="B253">
        <f t="shared" si="10"/>
        <v>1</v>
      </c>
      <c r="C253" t="s">
        <v>814</v>
      </c>
      <c r="D253" t="s">
        <v>868</v>
      </c>
      <c r="E253" t="s">
        <v>869</v>
      </c>
      <c r="F253" t="s">
        <v>870</v>
      </c>
      <c r="G253">
        <f t="shared" si="9"/>
        <v>1</v>
      </c>
      <c r="J253">
        <f t="shared" si="11"/>
        <v>1</v>
      </c>
      <c r="K253" s="19" t="s">
        <v>814</v>
      </c>
      <c r="L253" t="s">
        <v>1498</v>
      </c>
      <c r="M253" t="s">
        <v>869</v>
      </c>
      <c r="N253" t="s">
        <v>870</v>
      </c>
      <c r="W253" s="19" t="s">
        <v>814</v>
      </c>
      <c r="X253" t="s">
        <v>1498</v>
      </c>
      <c r="Y253" t="s">
        <v>869</v>
      </c>
    </row>
    <row r="254" spans="2:25" x14ac:dyDescent="0.3">
      <c r="B254">
        <f t="shared" si="10"/>
        <v>1</v>
      </c>
      <c r="C254" t="s">
        <v>966</v>
      </c>
      <c r="D254" t="s">
        <v>995</v>
      </c>
      <c r="E254" t="s">
        <v>996</v>
      </c>
      <c r="F254" t="s">
        <v>997</v>
      </c>
      <c r="G254">
        <f t="shared" si="9"/>
        <v>1</v>
      </c>
      <c r="J254">
        <f t="shared" si="11"/>
        <v>1</v>
      </c>
      <c r="K254" s="19" t="s">
        <v>966</v>
      </c>
      <c r="L254" t="s">
        <v>995</v>
      </c>
      <c r="M254" t="s">
        <v>996</v>
      </c>
      <c r="N254" t="s">
        <v>997</v>
      </c>
      <c r="W254" s="19" t="s">
        <v>966</v>
      </c>
      <c r="X254" t="s">
        <v>995</v>
      </c>
      <c r="Y254" t="s">
        <v>996</v>
      </c>
    </row>
    <row r="255" spans="2:25" x14ac:dyDescent="0.3">
      <c r="B255">
        <f t="shared" si="10"/>
        <v>1</v>
      </c>
      <c r="C255" t="s">
        <v>966</v>
      </c>
      <c r="D255" t="s">
        <v>980</v>
      </c>
      <c r="E255" t="s">
        <v>981</v>
      </c>
      <c r="F255" t="s">
        <v>982</v>
      </c>
      <c r="G255">
        <f t="shared" si="9"/>
        <v>1</v>
      </c>
      <c r="J255">
        <f t="shared" si="11"/>
        <v>1</v>
      </c>
      <c r="K255" s="19" t="s">
        <v>966</v>
      </c>
      <c r="L255" t="s">
        <v>1531</v>
      </c>
      <c r="M255" t="s">
        <v>981</v>
      </c>
      <c r="N255" t="s">
        <v>982</v>
      </c>
      <c r="W255" s="19" t="s">
        <v>966</v>
      </c>
      <c r="X255" t="s">
        <v>1531</v>
      </c>
      <c r="Y255" t="s">
        <v>981</v>
      </c>
    </row>
    <row r="256" spans="2:25" x14ac:dyDescent="0.3">
      <c r="B256">
        <f t="shared" si="10"/>
        <v>1</v>
      </c>
      <c r="C256" t="s">
        <v>966</v>
      </c>
      <c r="D256" t="s">
        <v>1009</v>
      </c>
      <c r="E256" t="s">
        <v>1010</v>
      </c>
      <c r="F256" t="s">
        <v>1011</v>
      </c>
      <c r="G256">
        <f t="shared" si="9"/>
        <v>1</v>
      </c>
      <c r="J256">
        <f t="shared" si="11"/>
        <v>1</v>
      </c>
      <c r="K256" s="19" t="s">
        <v>966</v>
      </c>
      <c r="L256" t="s">
        <v>1540</v>
      </c>
      <c r="M256" t="s">
        <v>1010</v>
      </c>
      <c r="N256" t="s">
        <v>1011</v>
      </c>
      <c r="W256" s="19" t="s">
        <v>966</v>
      </c>
      <c r="X256" t="s">
        <v>1540</v>
      </c>
      <c r="Y256" t="s">
        <v>1010</v>
      </c>
    </row>
    <row r="257" spans="2:25" x14ac:dyDescent="0.3">
      <c r="B257">
        <f t="shared" si="10"/>
        <v>1</v>
      </c>
      <c r="C257" t="s">
        <v>330</v>
      </c>
      <c r="D257" t="s">
        <v>376</v>
      </c>
      <c r="E257" t="s">
        <v>377</v>
      </c>
      <c r="F257" t="s">
        <v>378</v>
      </c>
      <c r="G257">
        <f t="shared" si="9"/>
        <v>1</v>
      </c>
      <c r="J257">
        <f t="shared" si="11"/>
        <v>1</v>
      </c>
      <c r="K257" s="19" t="s">
        <v>330</v>
      </c>
      <c r="L257" t="s">
        <v>376</v>
      </c>
      <c r="M257" t="s">
        <v>1429</v>
      </c>
      <c r="N257" t="s">
        <v>378</v>
      </c>
      <c r="W257" s="19" t="s">
        <v>330</v>
      </c>
      <c r="X257" t="s">
        <v>376</v>
      </c>
      <c r="Y257" t="s">
        <v>1429</v>
      </c>
    </row>
    <row r="258" spans="2:25" x14ac:dyDescent="0.3">
      <c r="B258">
        <f t="shared" si="10"/>
        <v>1</v>
      </c>
      <c r="C258" t="s">
        <v>1292</v>
      </c>
      <c r="D258" t="s">
        <v>1298</v>
      </c>
      <c r="E258" t="s">
        <v>1299</v>
      </c>
      <c r="F258" t="s">
        <v>1300</v>
      </c>
      <c r="G258">
        <f t="shared" si="9"/>
        <v>1</v>
      </c>
      <c r="J258">
        <f t="shared" si="11"/>
        <v>1</v>
      </c>
      <c r="K258" s="19" t="s">
        <v>1292</v>
      </c>
      <c r="L258" t="s">
        <v>1597</v>
      </c>
      <c r="M258" t="s">
        <v>1299</v>
      </c>
      <c r="N258" t="s">
        <v>1300</v>
      </c>
      <c r="W258" s="19" t="s">
        <v>1292</v>
      </c>
      <c r="X258" t="s">
        <v>1597</v>
      </c>
      <c r="Y258" t="s">
        <v>1299</v>
      </c>
    </row>
    <row r="259" spans="2:25" x14ac:dyDescent="0.3">
      <c r="B259">
        <f t="shared" si="10"/>
        <v>1</v>
      </c>
      <c r="C259" t="s">
        <v>275</v>
      </c>
      <c r="D259" t="s">
        <v>297</v>
      </c>
      <c r="E259" t="s">
        <v>298</v>
      </c>
      <c r="F259" t="s">
        <v>299</v>
      </c>
      <c r="G259">
        <f t="shared" si="9"/>
        <v>1</v>
      </c>
      <c r="J259">
        <f t="shared" si="11"/>
        <v>1</v>
      </c>
      <c r="K259" s="19" t="s">
        <v>275</v>
      </c>
      <c r="L259" t="s">
        <v>297</v>
      </c>
      <c r="M259" t="s">
        <v>298</v>
      </c>
      <c r="N259" t="s">
        <v>299</v>
      </c>
      <c r="W259" s="19" t="s">
        <v>275</v>
      </c>
      <c r="X259" t="s">
        <v>297</v>
      </c>
      <c r="Y259" t="s">
        <v>298</v>
      </c>
    </row>
    <row r="260" spans="2:25" x14ac:dyDescent="0.3">
      <c r="B260">
        <f t="shared" si="10"/>
        <v>1</v>
      </c>
      <c r="C260" t="s">
        <v>887</v>
      </c>
      <c r="D260" t="s">
        <v>914</v>
      </c>
      <c r="E260" t="s">
        <v>915</v>
      </c>
      <c r="F260" t="s">
        <v>916</v>
      </c>
      <c r="G260">
        <f t="shared" si="9"/>
        <v>1</v>
      </c>
      <c r="J260">
        <f t="shared" si="11"/>
        <v>1</v>
      </c>
      <c r="K260" s="19" t="s">
        <v>887</v>
      </c>
      <c r="L260" t="s">
        <v>914</v>
      </c>
      <c r="M260" t="s">
        <v>915</v>
      </c>
      <c r="N260" t="s">
        <v>916</v>
      </c>
      <c r="W260" s="19" t="s">
        <v>887</v>
      </c>
      <c r="X260" t="s">
        <v>914</v>
      </c>
      <c r="Y260" t="s">
        <v>915</v>
      </c>
    </row>
    <row r="261" spans="2:25" x14ac:dyDescent="0.3">
      <c r="B261">
        <f t="shared" si="10"/>
        <v>1</v>
      </c>
      <c r="C261" t="s">
        <v>1134</v>
      </c>
      <c r="D261" t="s">
        <v>1170</v>
      </c>
      <c r="E261" t="s">
        <v>1171</v>
      </c>
      <c r="F261" t="s">
        <v>1172</v>
      </c>
      <c r="G261">
        <f t="shared" si="9"/>
        <v>1</v>
      </c>
      <c r="J261">
        <f t="shared" si="11"/>
        <v>1</v>
      </c>
      <c r="K261" s="19" t="s">
        <v>1134</v>
      </c>
      <c r="L261" t="s">
        <v>1575</v>
      </c>
      <c r="M261" t="s">
        <v>1171</v>
      </c>
      <c r="N261" t="s">
        <v>1172</v>
      </c>
      <c r="W261" s="19" t="s">
        <v>1134</v>
      </c>
      <c r="X261" t="s">
        <v>1575</v>
      </c>
      <c r="Y261" t="s">
        <v>1171</v>
      </c>
    </row>
    <row r="262" spans="2:25" x14ac:dyDescent="0.3">
      <c r="B262">
        <f t="shared" si="10"/>
        <v>1</v>
      </c>
      <c r="C262" t="s">
        <v>1292</v>
      </c>
      <c r="D262" t="s">
        <v>1318</v>
      </c>
      <c r="E262" t="s">
        <v>1319</v>
      </c>
      <c r="F262" t="s">
        <v>1320</v>
      </c>
      <c r="G262">
        <f t="shared" ref="G262:G303" si="12">IF(F262=N262,1,0)</f>
        <v>1</v>
      </c>
      <c r="J262">
        <f t="shared" si="11"/>
        <v>1</v>
      </c>
      <c r="K262" s="19" t="s">
        <v>1292</v>
      </c>
      <c r="L262" t="s">
        <v>1595</v>
      </c>
      <c r="M262" t="s">
        <v>1319</v>
      </c>
      <c r="N262" t="s">
        <v>1320</v>
      </c>
      <c r="W262" s="19" t="s">
        <v>1292</v>
      </c>
      <c r="X262" t="s">
        <v>1595</v>
      </c>
      <c r="Y262" t="s">
        <v>1319</v>
      </c>
    </row>
    <row r="263" spans="2:25" x14ac:dyDescent="0.3">
      <c r="B263">
        <f t="shared" si="10"/>
        <v>1</v>
      </c>
      <c r="C263" t="s">
        <v>670</v>
      </c>
      <c r="D263" t="s">
        <v>689</v>
      </c>
      <c r="E263" t="s">
        <v>690</v>
      </c>
      <c r="F263" t="s">
        <v>691</v>
      </c>
      <c r="G263">
        <f t="shared" si="12"/>
        <v>1</v>
      </c>
      <c r="J263">
        <f t="shared" si="11"/>
        <v>1</v>
      </c>
      <c r="K263" s="19" t="s">
        <v>670</v>
      </c>
      <c r="L263" t="s">
        <v>1469</v>
      </c>
      <c r="M263" t="s">
        <v>1470</v>
      </c>
      <c r="N263" t="s">
        <v>691</v>
      </c>
      <c r="W263" s="19" t="s">
        <v>670</v>
      </c>
      <c r="X263" t="s">
        <v>1469</v>
      </c>
      <c r="Y263" t="s">
        <v>1470</v>
      </c>
    </row>
    <row r="264" spans="2:25" x14ac:dyDescent="0.3">
      <c r="B264">
        <f t="shared" si="10"/>
        <v>1</v>
      </c>
      <c r="C264" t="s">
        <v>330</v>
      </c>
      <c r="D264" t="s">
        <v>343</v>
      </c>
      <c r="E264" t="s">
        <v>344</v>
      </c>
      <c r="F264" t="s">
        <v>345</v>
      </c>
      <c r="G264">
        <f t="shared" si="12"/>
        <v>1</v>
      </c>
      <c r="J264">
        <f t="shared" si="11"/>
        <v>1</v>
      </c>
      <c r="K264" s="19" t="s">
        <v>330</v>
      </c>
      <c r="L264" t="s">
        <v>343</v>
      </c>
      <c r="M264" t="s">
        <v>344</v>
      </c>
      <c r="N264" t="s">
        <v>345</v>
      </c>
      <c r="W264" s="19" t="s">
        <v>330</v>
      </c>
      <c r="X264" t="s">
        <v>343</v>
      </c>
      <c r="Y264" t="s">
        <v>344</v>
      </c>
    </row>
    <row r="265" spans="2:25" x14ac:dyDescent="0.3">
      <c r="B265">
        <f t="shared" si="10"/>
        <v>1</v>
      </c>
      <c r="C265" t="s">
        <v>670</v>
      </c>
      <c r="D265" t="s">
        <v>692</v>
      </c>
      <c r="E265" t="s">
        <v>693</v>
      </c>
      <c r="F265" t="s">
        <v>694</v>
      </c>
      <c r="G265">
        <f t="shared" si="12"/>
        <v>1</v>
      </c>
      <c r="J265">
        <f t="shared" si="11"/>
        <v>1</v>
      </c>
      <c r="K265" s="19" t="s">
        <v>670</v>
      </c>
      <c r="L265" t="s">
        <v>1471</v>
      </c>
      <c r="M265" t="s">
        <v>693</v>
      </c>
      <c r="N265" t="s">
        <v>694</v>
      </c>
      <c r="W265" s="19" t="s">
        <v>670</v>
      </c>
      <c r="X265" t="s">
        <v>1471</v>
      </c>
      <c r="Y265" t="s">
        <v>693</v>
      </c>
    </row>
    <row r="266" spans="2:25" x14ac:dyDescent="0.3">
      <c r="B266">
        <f t="shared" si="10"/>
        <v>1</v>
      </c>
      <c r="C266" t="s">
        <v>1240</v>
      </c>
      <c r="D266" t="s">
        <v>1276</v>
      </c>
      <c r="E266" t="s">
        <v>1277</v>
      </c>
      <c r="F266" t="s">
        <v>1278</v>
      </c>
      <c r="G266">
        <f t="shared" si="12"/>
        <v>1</v>
      </c>
      <c r="J266">
        <f t="shared" si="11"/>
        <v>1</v>
      </c>
      <c r="K266" s="19" t="s">
        <v>1240</v>
      </c>
      <c r="L266" t="s">
        <v>1276</v>
      </c>
      <c r="M266" t="s">
        <v>1277</v>
      </c>
      <c r="N266" t="s">
        <v>1278</v>
      </c>
      <c r="W266" s="19" t="s">
        <v>1240</v>
      </c>
      <c r="X266" t="s">
        <v>1276</v>
      </c>
      <c r="Y266" t="s">
        <v>1277</v>
      </c>
    </row>
    <row r="267" spans="2:25" x14ac:dyDescent="0.3">
      <c r="B267">
        <f t="shared" ref="B267:B303" si="13">COUNTIF($N$6:$N$303,F267)</f>
        <v>1</v>
      </c>
      <c r="C267" t="s">
        <v>670</v>
      </c>
      <c r="D267" t="s">
        <v>704</v>
      </c>
      <c r="E267" t="s">
        <v>705</v>
      </c>
      <c r="F267" t="s">
        <v>706</v>
      </c>
      <c r="G267">
        <f t="shared" si="12"/>
        <v>1</v>
      </c>
      <c r="J267">
        <f t="shared" ref="J267:J303" si="14">COUNTIF($F$6:$F$303,N267)</f>
        <v>1</v>
      </c>
      <c r="K267" s="19" t="s">
        <v>670</v>
      </c>
      <c r="L267" t="s">
        <v>1475</v>
      </c>
      <c r="M267" t="s">
        <v>705</v>
      </c>
      <c r="N267" t="s">
        <v>706</v>
      </c>
      <c r="W267" s="19" t="s">
        <v>670</v>
      </c>
      <c r="X267" t="s">
        <v>1475</v>
      </c>
      <c r="Y267" t="s">
        <v>705</v>
      </c>
    </row>
    <row r="268" spans="2:25" x14ac:dyDescent="0.3">
      <c r="B268">
        <f t="shared" si="13"/>
        <v>1</v>
      </c>
      <c r="C268" t="s">
        <v>1292</v>
      </c>
      <c r="D268" t="s">
        <v>1333</v>
      </c>
      <c r="E268" t="s">
        <v>1334</v>
      </c>
      <c r="F268" t="s">
        <v>1335</v>
      </c>
      <c r="G268">
        <f t="shared" si="12"/>
        <v>1</v>
      </c>
      <c r="J268">
        <f t="shared" si="14"/>
        <v>1</v>
      </c>
      <c r="K268" s="19" t="s">
        <v>1292</v>
      </c>
      <c r="L268" t="s">
        <v>1605</v>
      </c>
      <c r="M268" t="s">
        <v>1334</v>
      </c>
      <c r="N268" t="s">
        <v>1335</v>
      </c>
      <c r="W268" s="19" t="s">
        <v>1292</v>
      </c>
      <c r="X268" t="s">
        <v>1605</v>
      </c>
      <c r="Y268" t="s">
        <v>1334</v>
      </c>
    </row>
    <row r="269" spans="2:25" x14ac:dyDescent="0.3">
      <c r="B269">
        <f t="shared" si="13"/>
        <v>1</v>
      </c>
      <c r="C269" t="s">
        <v>1292</v>
      </c>
      <c r="D269" t="s">
        <v>1308</v>
      </c>
      <c r="E269" t="s">
        <v>1309</v>
      </c>
      <c r="F269" t="s">
        <v>1310</v>
      </c>
      <c r="G269">
        <f t="shared" si="12"/>
        <v>1</v>
      </c>
      <c r="J269">
        <f t="shared" si="14"/>
        <v>1</v>
      </c>
      <c r="K269" s="19" t="s">
        <v>1292</v>
      </c>
      <c r="L269" t="s">
        <v>1606</v>
      </c>
      <c r="M269" t="s">
        <v>1309</v>
      </c>
      <c r="N269" t="s">
        <v>1310</v>
      </c>
      <c r="W269" s="19" t="s">
        <v>1292</v>
      </c>
      <c r="X269" t="s">
        <v>1606</v>
      </c>
      <c r="Y269" t="s">
        <v>1309</v>
      </c>
    </row>
    <row r="270" spans="2:25" x14ac:dyDescent="0.3">
      <c r="B270">
        <f t="shared" si="13"/>
        <v>1</v>
      </c>
      <c r="C270" t="s">
        <v>1292</v>
      </c>
      <c r="D270" t="s">
        <v>1313</v>
      </c>
      <c r="E270" t="s">
        <v>1314</v>
      </c>
      <c r="F270" t="s">
        <v>1315</v>
      </c>
      <c r="G270">
        <f t="shared" si="12"/>
        <v>1</v>
      </c>
      <c r="J270">
        <f t="shared" si="14"/>
        <v>1</v>
      </c>
      <c r="K270" s="19" t="s">
        <v>1292</v>
      </c>
      <c r="L270" t="s">
        <v>1607</v>
      </c>
      <c r="M270" t="s">
        <v>1314</v>
      </c>
      <c r="N270" t="s">
        <v>1315</v>
      </c>
      <c r="W270" s="19" t="s">
        <v>1292</v>
      </c>
      <c r="X270" t="s">
        <v>1607</v>
      </c>
      <c r="Y270" t="s">
        <v>1314</v>
      </c>
    </row>
    <row r="271" spans="2:25" x14ac:dyDescent="0.3">
      <c r="B271">
        <f t="shared" si="13"/>
        <v>1</v>
      </c>
      <c r="C271" t="s">
        <v>1292</v>
      </c>
      <c r="D271" t="s">
        <v>1338</v>
      </c>
      <c r="E271" t="s">
        <v>1339</v>
      </c>
      <c r="F271" t="s">
        <v>1340</v>
      </c>
      <c r="G271">
        <f t="shared" si="12"/>
        <v>1</v>
      </c>
      <c r="J271">
        <f t="shared" si="14"/>
        <v>1</v>
      </c>
      <c r="K271" s="19" t="s">
        <v>1292</v>
      </c>
      <c r="L271" t="s">
        <v>1608</v>
      </c>
      <c r="M271" t="s">
        <v>1339</v>
      </c>
      <c r="N271" t="s">
        <v>1340</v>
      </c>
      <c r="W271" s="19" t="s">
        <v>1292</v>
      </c>
      <c r="X271" t="s">
        <v>1608</v>
      </c>
      <c r="Y271" t="s">
        <v>1339</v>
      </c>
    </row>
    <row r="272" spans="2:25" x14ac:dyDescent="0.3">
      <c r="B272">
        <f t="shared" si="13"/>
        <v>1</v>
      </c>
      <c r="C272" t="s">
        <v>109</v>
      </c>
      <c r="D272" t="s">
        <v>136</v>
      </c>
      <c r="E272" t="s">
        <v>137</v>
      </c>
      <c r="F272" t="s">
        <v>138</v>
      </c>
      <c r="G272">
        <f t="shared" si="12"/>
        <v>1</v>
      </c>
      <c r="J272">
        <f t="shared" si="14"/>
        <v>1</v>
      </c>
      <c r="K272" s="19" t="s">
        <v>109</v>
      </c>
      <c r="L272" t="s">
        <v>1394</v>
      </c>
      <c r="M272" t="s">
        <v>137</v>
      </c>
      <c r="N272" t="s">
        <v>138</v>
      </c>
      <c r="W272" s="19" t="s">
        <v>109</v>
      </c>
      <c r="X272" t="s">
        <v>1394</v>
      </c>
      <c r="Y272" t="s">
        <v>137</v>
      </c>
    </row>
    <row r="273" spans="2:25" x14ac:dyDescent="0.3">
      <c r="B273">
        <f t="shared" si="13"/>
        <v>1</v>
      </c>
      <c r="C273" t="s">
        <v>1046</v>
      </c>
      <c r="D273" t="s">
        <v>1081</v>
      </c>
      <c r="E273" t="s">
        <v>1082</v>
      </c>
      <c r="F273" t="s">
        <v>1083</v>
      </c>
      <c r="G273">
        <f t="shared" si="12"/>
        <v>1</v>
      </c>
      <c r="J273">
        <f t="shared" si="14"/>
        <v>1</v>
      </c>
      <c r="K273" s="19" t="s">
        <v>1046</v>
      </c>
      <c r="L273" t="s">
        <v>1552</v>
      </c>
      <c r="M273" t="s">
        <v>1082</v>
      </c>
      <c r="N273" t="s">
        <v>1083</v>
      </c>
      <c r="W273" s="19" t="s">
        <v>1046</v>
      </c>
      <c r="X273" t="s">
        <v>1552</v>
      </c>
      <c r="Y273" t="s">
        <v>1082</v>
      </c>
    </row>
    <row r="274" spans="2:25" x14ac:dyDescent="0.3">
      <c r="B274">
        <f t="shared" si="13"/>
        <v>1</v>
      </c>
      <c r="C274" t="s">
        <v>1292</v>
      </c>
      <c r="D274" t="s">
        <v>1303</v>
      </c>
      <c r="E274" t="s">
        <v>1304</v>
      </c>
      <c r="F274" t="s">
        <v>1305</v>
      </c>
      <c r="G274">
        <f t="shared" si="12"/>
        <v>1</v>
      </c>
      <c r="J274">
        <f t="shared" si="14"/>
        <v>1</v>
      </c>
      <c r="K274" s="19" t="s">
        <v>1292</v>
      </c>
      <c r="L274" t="s">
        <v>1600</v>
      </c>
      <c r="M274" t="s">
        <v>1304</v>
      </c>
      <c r="N274" t="s">
        <v>1305</v>
      </c>
      <c r="W274" s="19" t="s">
        <v>1292</v>
      </c>
      <c r="X274" t="s">
        <v>1600</v>
      </c>
      <c r="Y274" t="s">
        <v>1304</v>
      </c>
    </row>
    <row r="275" spans="2:25" x14ac:dyDescent="0.3">
      <c r="B275">
        <f t="shared" si="13"/>
        <v>1</v>
      </c>
      <c r="C275" t="s">
        <v>275</v>
      </c>
      <c r="D275" t="s">
        <v>306</v>
      </c>
      <c r="E275" t="s">
        <v>307</v>
      </c>
      <c r="F275" t="s">
        <v>308</v>
      </c>
      <c r="G275">
        <f t="shared" si="12"/>
        <v>1</v>
      </c>
      <c r="J275">
        <f t="shared" si="14"/>
        <v>1</v>
      </c>
      <c r="K275" s="19" t="s">
        <v>275</v>
      </c>
      <c r="L275" t="s">
        <v>306</v>
      </c>
      <c r="M275" t="s">
        <v>307</v>
      </c>
      <c r="N275" t="s">
        <v>308</v>
      </c>
      <c r="W275" s="19" t="s">
        <v>275</v>
      </c>
      <c r="X275" t="s">
        <v>306</v>
      </c>
      <c r="Y275" t="s">
        <v>307</v>
      </c>
    </row>
    <row r="276" spans="2:25" x14ac:dyDescent="0.3">
      <c r="B276">
        <f t="shared" si="13"/>
        <v>1</v>
      </c>
      <c r="C276" t="s">
        <v>1240</v>
      </c>
      <c r="D276" t="s">
        <v>1264</v>
      </c>
      <c r="E276" t="s">
        <v>1265</v>
      </c>
      <c r="F276" t="s">
        <v>1266</v>
      </c>
      <c r="G276">
        <f t="shared" si="12"/>
        <v>1</v>
      </c>
      <c r="J276">
        <f t="shared" si="14"/>
        <v>1</v>
      </c>
      <c r="K276" s="19" t="s">
        <v>1240</v>
      </c>
      <c r="L276" t="s">
        <v>1592</v>
      </c>
      <c r="M276" t="s">
        <v>1265</v>
      </c>
      <c r="N276" t="s">
        <v>1266</v>
      </c>
      <c r="W276" s="19" t="s">
        <v>1240</v>
      </c>
      <c r="X276" t="s">
        <v>1592</v>
      </c>
      <c r="Y276" t="s">
        <v>1265</v>
      </c>
    </row>
    <row r="277" spans="2:25" x14ac:dyDescent="0.3">
      <c r="B277">
        <f t="shared" si="13"/>
        <v>1</v>
      </c>
      <c r="C277" t="s">
        <v>275</v>
      </c>
      <c r="D277" t="s">
        <v>316</v>
      </c>
      <c r="E277" t="s">
        <v>317</v>
      </c>
      <c r="F277" t="s">
        <v>318</v>
      </c>
      <c r="G277">
        <f t="shared" si="12"/>
        <v>1</v>
      </c>
      <c r="J277">
        <f t="shared" si="14"/>
        <v>1</v>
      </c>
      <c r="K277" s="19" t="s">
        <v>275</v>
      </c>
      <c r="L277" t="s">
        <v>316</v>
      </c>
      <c r="M277" t="s">
        <v>317</v>
      </c>
      <c r="N277" t="s">
        <v>318</v>
      </c>
      <c r="W277" s="19" t="s">
        <v>275</v>
      </c>
      <c r="X277" t="s">
        <v>316</v>
      </c>
      <c r="Y277" t="s">
        <v>317</v>
      </c>
    </row>
    <row r="278" spans="2:25" x14ac:dyDescent="0.3">
      <c r="B278">
        <f t="shared" si="13"/>
        <v>1</v>
      </c>
      <c r="C278" t="s">
        <v>932</v>
      </c>
      <c r="D278" t="s">
        <v>949</v>
      </c>
      <c r="E278" t="s">
        <v>303</v>
      </c>
      <c r="F278" t="s">
        <v>950</v>
      </c>
      <c r="G278">
        <f t="shared" si="12"/>
        <v>1</v>
      </c>
      <c r="J278">
        <f t="shared" si="14"/>
        <v>1</v>
      </c>
      <c r="K278" s="19" t="s">
        <v>932</v>
      </c>
      <c r="L278" t="s">
        <v>949</v>
      </c>
      <c r="M278" t="s">
        <v>1517</v>
      </c>
      <c r="N278" t="s">
        <v>950</v>
      </c>
      <c r="W278" s="19" t="s">
        <v>932</v>
      </c>
      <c r="X278" t="s">
        <v>949</v>
      </c>
      <c r="Y278" t="s">
        <v>1517</v>
      </c>
    </row>
    <row r="279" spans="2:25" x14ac:dyDescent="0.3">
      <c r="B279">
        <f t="shared" si="13"/>
        <v>1</v>
      </c>
      <c r="C279" t="s">
        <v>932</v>
      </c>
      <c r="D279" t="s">
        <v>961</v>
      </c>
      <c r="E279" t="s">
        <v>962</v>
      </c>
      <c r="F279" t="s">
        <v>963</v>
      </c>
      <c r="G279">
        <f t="shared" si="12"/>
        <v>1</v>
      </c>
      <c r="J279">
        <f t="shared" si="14"/>
        <v>1</v>
      </c>
      <c r="K279" s="19" t="s">
        <v>932</v>
      </c>
      <c r="L279" t="s">
        <v>1519</v>
      </c>
      <c r="M279" t="s">
        <v>962</v>
      </c>
      <c r="N279" t="s">
        <v>963</v>
      </c>
      <c r="W279" s="19" t="s">
        <v>932</v>
      </c>
      <c r="X279" t="s">
        <v>1519</v>
      </c>
      <c r="Y279" t="s">
        <v>962</v>
      </c>
    </row>
    <row r="280" spans="2:25" x14ac:dyDescent="0.3">
      <c r="B280">
        <f t="shared" si="13"/>
        <v>1</v>
      </c>
      <c r="C280" t="s">
        <v>932</v>
      </c>
      <c r="D280" t="s">
        <v>953</v>
      </c>
      <c r="E280" t="s">
        <v>954</v>
      </c>
      <c r="F280" t="s">
        <v>955</v>
      </c>
      <c r="G280">
        <f t="shared" si="12"/>
        <v>1</v>
      </c>
      <c r="J280">
        <f t="shared" si="14"/>
        <v>1</v>
      </c>
      <c r="K280" s="19" t="s">
        <v>932</v>
      </c>
      <c r="L280" t="s">
        <v>953</v>
      </c>
      <c r="M280" t="s">
        <v>954</v>
      </c>
      <c r="N280" t="s">
        <v>955</v>
      </c>
      <c r="W280" s="19" t="s">
        <v>932</v>
      </c>
      <c r="X280" t="s">
        <v>953</v>
      </c>
      <c r="Y280" t="s">
        <v>954</v>
      </c>
    </row>
    <row r="281" spans="2:25" x14ac:dyDescent="0.3">
      <c r="B281">
        <f t="shared" si="13"/>
        <v>1</v>
      </c>
      <c r="C281" t="s">
        <v>932</v>
      </c>
      <c r="D281" t="s">
        <v>933</v>
      </c>
      <c r="E281" t="s">
        <v>934</v>
      </c>
      <c r="F281" t="s">
        <v>935</v>
      </c>
      <c r="G281">
        <f t="shared" si="12"/>
        <v>1</v>
      </c>
      <c r="J281">
        <f t="shared" si="14"/>
        <v>1</v>
      </c>
      <c r="K281" s="19" t="s">
        <v>932</v>
      </c>
      <c r="L281" t="s">
        <v>933</v>
      </c>
      <c r="M281" t="s">
        <v>934</v>
      </c>
      <c r="N281" t="s">
        <v>935</v>
      </c>
      <c r="W281" s="19" t="s">
        <v>932</v>
      </c>
      <c r="X281" t="s">
        <v>933</v>
      </c>
      <c r="Y281" t="s">
        <v>934</v>
      </c>
    </row>
    <row r="282" spans="2:25" x14ac:dyDescent="0.3">
      <c r="B282">
        <f t="shared" si="13"/>
        <v>1</v>
      </c>
      <c r="C282" t="s">
        <v>932</v>
      </c>
      <c r="D282" t="s">
        <v>936</v>
      </c>
      <c r="E282" t="s">
        <v>937</v>
      </c>
      <c r="F282" t="s">
        <v>938</v>
      </c>
      <c r="G282">
        <f t="shared" si="12"/>
        <v>1</v>
      </c>
      <c r="J282">
        <f t="shared" si="14"/>
        <v>1</v>
      </c>
      <c r="K282" s="19" t="s">
        <v>932</v>
      </c>
      <c r="L282" t="s">
        <v>936</v>
      </c>
      <c r="M282" t="s">
        <v>937</v>
      </c>
      <c r="N282" t="s">
        <v>938</v>
      </c>
      <c r="W282" s="19" t="s">
        <v>932</v>
      </c>
      <c r="X282" t="s">
        <v>936</v>
      </c>
      <c r="Y282" t="s">
        <v>937</v>
      </c>
    </row>
    <row r="283" spans="2:25" x14ac:dyDescent="0.3">
      <c r="B283">
        <f t="shared" si="13"/>
        <v>1</v>
      </c>
      <c r="C283" t="s">
        <v>932</v>
      </c>
      <c r="D283" t="s">
        <v>944</v>
      </c>
      <c r="E283" t="s">
        <v>945</v>
      </c>
      <c r="F283" t="s">
        <v>946</v>
      </c>
      <c r="G283">
        <f t="shared" si="12"/>
        <v>1</v>
      </c>
      <c r="J283">
        <f t="shared" si="14"/>
        <v>1</v>
      </c>
      <c r="K283" s="19" t="s">
        <v>932</v>
      </c>
      <c r="L283" t="s">
        <v>944</v>
      </c>
      <c r="M283" t="s">
        <v>945</v>
      </c>
      <c r="N283" t="s">
        <v>946</v>
      </c>
      <c r="W283" s="19" t="s">
        <v>932</v>
      </c>
      <c r="X283" t="s">
        <v>944</v>
      </c>
      <c r="Y283" t="s">
        <v>945</v>
      </c>
    </row>
    <row r="284" spans="2:25" x14ac:dyDescent="0.3">
      <c r="B284">
        <f t="shared" si="13"/>
        <v>1</v>
      </c>
      <c r="C284" t="s">
        <v>932</v>
      </c>
      <c r="D284" t="s">
        <v>958</v>
      </c>
      <c r="E284" t="s">
        <v>959</v>
      </c>
      <c r="F284" t="s">
        <v>960</v>
      </c>
      <c r="G284">
        <f t="shared" si="12"/>
        <v>1</v>
      </c>
      <c r="J284">
        <f t="shared" si="14"/>
        <v>1</v>
      </c>
      <c r="K284" s="19" t="s">
        <v>932</v>
      </c>
      <c r="L284" t="s">
        <v>958</v>
      </c>
      <c r="M284" t="s">
        <v>959</v>
      </c>
      <c r="N284" t="s">
        <v>960</v>
      </c>
      <c r="W284" s="19" t="s">
        <v>932</v>
      </c>
      <c r="X284" t="s">
        <v>958</v>
      </c>
      <c r="Y284" t="s">
        <v>959</v>
      </c>
    </row>
    <row r="285" spans="2:25" x14ac:dyDescent="0.3">
      <c r="B285">
        <f t="shared" si="13"/>
        <v>1</v>
      </c>
      <c r="C285" t="s">
        <v>1180</v>
      </c>
      <c r="D285" t="s">
        <v>1207</v>
      </c>
      <c r="E285" t="s">
        <v>1208</v>
      </c>
      <c r="F285" t="s">
        <v>1209</v>
      </c>
      <c r="G285">
        <f t="shared" si="12"/>
        <v>1</v>
      </c>
      <c r="J285">
        <f t="shared" si="14"/>
        <v>1</v>
      </c>
      <c r="K285" s="19" t="s">
        <v>1180</v>
      </c>
      <c r="L285" t="s">
        <v>1207</v>
      </c>
      <c r="M285" t="s">
        <v>1208</v>
      </c>
      <c r="N285" t="s">
        <v>1209</v>
      </c>
      <c r="W285" s="19" t="s">
        <v>1180</v>
      </c>
      <c r="X285" t="s">
        <v>1207</v>
      </c>
      <c r="Y285" t="s">
        <v>1208</v>
      </c>
    </row>
    <row r="286" spans="2:25" x14ac:dyDescent="0.3">
      <c r="B286">
        <f t="shared" si="13"/>
        <v>1</v>
      </c>
      <c r="C286" t="s">
        <v>1180</v>
      </c>
      <c r="D286" t="s">
        <v>1202</v>
      </c>
      <c r="E286" t="s">
        <v>1203</v>
      </c>
      <c r="F286" t="s">
        <v>1204</v>
      </c>
      <c r="G286">
        <f t="shared" si="12"/>
        <v>1</v>
      </c>
      <c r="J286">
        <f t="shared" si="14"/>
        <v>1</v>
      </c>
      <c r="K286" s="19" t="s">
        <v>1180</v>
      </c>
      <c r="L286" t="s">
        <v>1578</v>
      </c>
      <c r="M286" t="s">
        <v>1203</v>
      </c>
      <c r="N286" t="s">
        <v>1204</v>
      </c>
      <c r="W286" s="19" t="s">
        <v>1180</v>
      </c>
      <c r="X286" t="s">
        <v>1578</v>
      </c>
      <c r="Y286" t="s">
        <v>1203</v>
      </c>
    </row>
    <row r="287" spans="2:25" x14ac:dyDescent="0.3">
      <c r="B287">
        <f t="shared" si="13"/>
        <v>1</v>
      </c>
      <c r="C287" t="s">
        <v>1180</v>
      </c>
      <c r="D287" t="s">
        <v>1197</v>
      </c>
      <c r="E287" t="s">
        <v>1198</v>
      </c>
      <c r="F287" t="s">
        <v>1199</v>
      </c>
      <c r="G287">
        <f t="shared" si="12"/>
        <v>1</v>
      </c>
      <c r="J287">
        <f t="shared" si="14"/>
        <v>1</v>
      </c>
      <c r="K287" s="19" t="s">
        <v>1180</v>
      </c>
      <c r="L287" t="s">
        <v>1577</v>
      </c>
      <c r="M287" t="s">
        <v>1198</v>
      </c>
      <c r="N287" t="s">
        <v>1199</v>
      </c>
      <c r="W287" s="19" t="s">
        <v>1180</v>
      </c>
      <c r="X287" t="s">
        <v>1577</v>
      </c>
      <c r="Y287" t="s">
        <v>1198</v>
      </c>
    </row>
    <row r="288" spans="2:25" x14ac:dyDescent="0.3">
      <c r="B288">
        <f t="shared" si="13"/>
        <v>1</v>
      </c>
      <c r="C288" t="s">
        <v>1180</v>
      </c>
      <c r="D288" t="s">
        <v>1219</v>
      </c>
      <c r="E288" t="s">
        <v>1220</v>
      </c>
      <c r="F288" t="s">
        <v>1221</v>
      </c>
      <c r="G288">
        <f t="shared" si="12"/>
        <v>1</v>
      </c>
      <c r="J288">
        <f t="shared" si="14"/>
        <v>1</v>
      </c>
      <c r="K288" s="19" t="s">
        <v>1180</v>
      </c>
      <c r="L288" t="s">
        <v>1581</v>
      </c>
      <c r="M288" t="s">
        <v>1220</v>
      </c>
      <c r="N288" t="s">
        <v>1221</v>
      </c>
      <c r="W288" s="19" t="s">
        <v>1180</v>
      </c>
      <c r="X288" t="s">
        <v>1581</v>
      </c>
      <c r="Y288" t="s">
        <v>1220</v>
      </c>
    </row>
    <row r="289" spans="2:25" x14ac:dyDescent="0.3">
      <c r="B289">
        <f t="shared" si="13"/>
        <v>1</v>
      </c>
      <c r="C289" t="s">
        <v>1180</v>
      </c>
      <c r="D289" t="s">
        <v>1189</v>
      </c>
      <c r="E289" t="s">
        <v>1190</v>
      </c>
      <c r="F289" t="s">
        <v>1191</v>
      </c>
      <c r="G289">
        <f t="shared" si="12"/>
        <v>1</v>
      </c>
      <c r="J289">
        <f t="shared" si="14"/>
        <v>1</v>
      </c>
      <c r="K289" s="19" t="s">
        <v>1180</v>
      </c>
      <c r="L289" t="s">
        <v>1583</v>
      </c>
      <c r="M289" t="s">
        <v>1190</v>
      </c>
      <c r="N289" t="s">
        <v>1191</v>
      </c>
      <c r="W289" s="19" t="s">
        <v>1180</v>
      </c>
      <c r="X289" t="s">
        <v>1583</v>
      </c>
      <c r="Y289" t="s">
        <v>1190</v>
      </c>
    </row>
    <row r="290" spans="2:25" x14ac:dyDescent="0.3">
      <c r="B290">
        <f t="shared" si="13"/>
        <v>1</v>
      </c>
      <c r="C290" t="s">
        <v>1180</v>
      </c>
      <c r="D290" t="s">
        <v>1212</v>
      </c>
      <c r="E290" t="s">
        <v>303</v>
      </c>
      <c r="F290" t="s">
        <v>1213</v>
      </c>
      <c r="G290">
        <f t="shared" si="12"/>
        <v>1</v>
      </c>
      <c r="J290">
        <f t="shared" si="14"/>
        <v>1</v>
      </c>
      <c r="K290" s="19" t="s">
        <v>1180</v>
      </c>
      <c r="L290" t="s">
        <v>1212</v>
      </c>
      <c r="M290" t="s">
        <v>1579</v>
      </c>
      <c r="N290" t="s">
        <v>1213</v>
      </c>
      <c r="W290" s="19" t="s">
        <v>1180</v>
      </c>
      <c r="X290" t="s">
        <v>1212</v>
      </c>
      <c r="Y290" t="s">
        <v>1579</v>
      </c>
    </row>
    <row r="291" spans="2:25" x14ac:dyDescent="0.3">
      <c r="B291">
        <f t="shared" si="13"/>
        <v>1</v>
      </c>
      <c r="C291" t="s">
        <v>1180</v>
      </c>
      <c r="D291" t="s">
        <v>1194</v>
      </c>
      <c r="E291" t="s">
        <v>1195</v>
      </c>
      <c r="F291" t="s">
        <v>1196</v>
      </c>
      <c r="G291">
        <f t="shared" si="12"/>
        <v>1</v>
      </c>
      <c r="J291">
        <f t="shared" si="14"/>
        <v>1</v>
      </c>
      <c r="K291" s="19" t="s">
        <v>1180</v>
      </c>
      <c r="L291" t="s">
        <v>1586</v>
      </c>
      <c r="M291" t="s">
        <v>1195</v>
      </c>
      <c r="N291" t="s">
        <v>1196</v>
      </c>
      <c r="W291" s="19" t="s">
        <v>1180</v>
      </c>
      <c r="X291" t="s">
        <v>1586</v>
      </c>
      <c r="Y291" t="s">
        <v>1195</v>
      </c>
    </row>
    <row r="292" spans="2:25" x14ac:dyDescent="0.3">
      <c r="B292">
        <f t="shared" si="13"/>
        <v>1</v>
      </c>
      <c r="C292" t="s">
        <v>1180</v>
      </c>
      <c r="D292" t="s">
        <v>1223</v>
      </c>
      <c r="E292" t="s">
        <v>1224</v>
      </c>
      <c r="F292" t="s">
        <v>1225</v>
      </c>
      <c r="G292">
        <f t="shared" si="12"/>
        <v>1</v>
      </c>
      <c r="J292">
        <f t="shared" si="14"/>
        <v>1</v>
      </c>
      <c r="K292" s="19" t="s">
        <v>1180</v>
      </c>
      <c r="L292" t="s">
        <v>1584</v>
      </c>
      <c r="M292" t="s">
        <v>1224</v>
      </c>
      <c r="N292" t="s">
        <v>1225</v>
      </c>
      <c r="W292" s="19" t="s">
        <v>1180</v>
      </c>
      <c r="X292" t="s">
        <v>1584</v>
      </c>
      <c r="Y292" t="s">
        <v>1224</v>
      </c>
    </row>
    <row r="293" spans="2:25" x14ac:dyDescent="0.3">
      <c r="B293">
        <f t="shared" si="13"/>
        <v>1</v>
      </c>
      <c r="C293" t="s">
        <v>1180</v>
      </c>
      <c r="D293" t="s">
        <v>1181</v>
      </c>
      <c r="E293" t="s">
        <v>1182</v>
      </c>
      <c r="F293" t="s">
        <v>1183</v>
      </c>
      <c r="G293">
        <f t="shared" si="12"/>
        <v>1</v>
      </c>
      <c r="J293">
        <f t="shared" si="14"/>
        <v>1</v>
      </c>
      <c r="K293" s="19" t="s">
        <v>1180</v>
      </c>
      <c r="L293" t="s">
        <v>1181</v>
      </c>
      <c r="M293" t="s">
        <v>1182</v>
      </c>
      <c r="N293" t="s">
        <v>1183</v>
      </c>
      <c r="W293" s="19" t="s">
        <v>1180</v>
      </c>
      <c r="X293" t="s">
        <v>1181</v>
      </c>
      <c r="Y293" t="s">
        <v>1182</v>
      </c>
    </row>
    <row r="294" spans="2:25" x14ac:dyDescent="0.3">
      <c r="B294">
        <f t="shared" si="13"/>
        <v>1</v>
      </c>
      <c r="C294" t="s">
        <v>1180</v>
      </c>
      <c r="D294" t="s">
        <v>1214</v>
      </c>
      <c r="E294" t="s">
        <v>1215</v>
      </c>
      <c r="F294" t="s">
        <v>1216</v>
      </c>
      <c r="G294">
        <f t="shared" si="12"/>
        <v>1</v>
      </c>
      <c r="J294">
        <f t="shared" si="14"/>
        <v>1</v>
      </c>
      <c r="K294" s="19" t="s">
        <v>1180</v>
      </c>
      <c r="L294" t="s">
        <v>1580</v>
      </c>
      <c r="M294" t="s">
        <v>1215</v>
      </c>
      <c r="N294" t="s">
        <v>1216</v>
      </c>
      <c r="W294" s="19" t="s">
        <v>1180</v>
      </c>
      <c r="X294" t="s">
        <v>1580</v>
      </c>
      <c r="Y294" t="s">
        <v>1215</v>
      </c>
    </row>
    <row r="295" spans="2:25" x14ac:dyDescent="0.3">
      <c r="B295">
        <f t="shared" si="13"/>
        <v>1</v>
      </c>
      <c r="C295" t="s">
        <v>1180</v>
      </c>
      <c r="D295" t="s">
        <v>1186</v>
      </c>
      <c r="E295" t="s">
        <v>1187</v>
      </c>
      <c r="F295" t="s">
        <v>1188</v>
      </c>
      <c r="G295">
        <f t="shared" si="12"/>
        <v>1</v>
      </c>
      <c r="J295">
        <f t="shared" si="14"/>
        <v>1</v>
      </c>
      <c r="K295" s="19" t="s">
        <v>1180</v>
      </c>
      <c r="L295" t="s">
        <v>1582</v>
      </c>
      <c r="M295" t="s">
        <v>1187</v>
      </c>
      <c r="N295" t="s">
        <v>1188</v>
      </c>
      <c r="W295" s="19" t="s">
        <v>1180</v>
      </c>
      <c r="X295" t="s">
        <v>1582</v>
      </c>
      <c r="Y295" t="s">
        <v>1187</v>
      </c>
    </row>
    <row r="296" spans="2:25" x14ac:dyDescent="0.3">
      <c r="B296">
        <f t="shared" si="13"/>
        <v>1</v>
      </c>
      <c r="C296" t="s">
        <v>1240</v>
      </c>
      <c r="D296" t="s">
        <v>1287</v>
      </c>
      <c r="E296" t="s">
        <v>1288</v>
      </c>
      <c r="F296" t="s">
        <v>1289</v>
      </c>
      <c r="G296">
        <f t="shared" si="12"/>
        <v>1</v>
      </c>
      <c r="J296">
        <f t="shared" si="14"/>
        <v>1</v>
      </c>
      <c r="K296" s="19" t="s">
        <v>1240</v>
      </c>
      <c r="L296" t="s">
        <v>1593</v>
      </c>
      <c r="M296" t="s">
        <v>1288</v>
      </c>
      <c r="N296" t="s">
        <v>1289</v>
      </c>
      <c r="W296" s="19" t="s">
        <v>1240</v>
      </c>
      <c r="X296" t="s">
        <v>1593</v>
      </c>
      <c r="Y296" t="s">
        <v>1288</v>
      </c>
    </row>
    <row r="297" spans="2:25" x14ac:dyDescent="0.3">
      <c r="B297">
        <f t="shared" si="13"/>
        <v>1</v>
      </c>
      <c r="C297" t="s">
        <v>1134</v>
      </c>
      <c r="D297" t="s">
        <v>1175</v>
      </c>
      <c r="E297" t="s">
        <v>1176</v>
      </c>
      <c r="F297" t="s">
        <v>1177</v>
      </c>
      <c r="G297">
        <f t="shared" si="12"/>
        <v>1</v>
      </c>
      <c r="J297">
        <f t="shared" si="14"/>
        <v>1</v>
      </c>
      <c r="K297" s="19" t="s">
        <v>1134</v>
      </c>
      <c r="L297" t="s">
        <v>1576</v>
      </c>
      <c r="M297" t="s">
        <v>1176</v>
      </c>
      <c r="N297" t="s">
        <v>1177</v>
      </c>
      <c r="W297" s="19" t="s">
        <v>1134</v>
      </c>
      <c r="X297" t="s">
        <v>1576</v>
      </c>
      <c r="Y297" t="s">
        <v>1176</v>
      </c>
    </row>
    <row r="298" spans="2:25" x14ac:dyDescent="0.3">
      <c r="B298">
        <f t="shared" si="13"/>
        <v>1</v>
      </c>
      <c r="C298" t="s">
        <v>1134</v>
      </c>
      <c r="D298" t="s">
        <v>1140</v>
      </c>
      <c r="E298" t="s">
        <v>1141</v>
      </c>
      <c r="F298" t="s">
        <v>1142</v>
      </c>
      <c r="G298">
        <f t="shared" si="12"/>
        <v>1</v>
      </c>
      <c r="J298">
        <f t="shared" si="14"/>
        <v>1</v>
      </c>
      <c r="K298" s="19" t="s">
        <v>1134</v>
      </c>
      <c r="L298" t="s">
        <v>1566</v>
      </c>
      <c r="M298" t="s">
        <v>1141</v>
      </c>
      <c r="N298" t="s">
        <v>1142</v>
      </c>
      <c r="W298" s="19" t="s">
        <v>1134</v>
      </c>
      <c r="X298" t="s">
        <v>1566</v>
      </c>
      <c r="Y298" t="s">
        <v>1141</v>
      </c>
    </row>
    <row r="299" spans="2:25" x14ac:dyDescent="0.3">
      <c r="B299">
        <f t="shared" si="13"/>
        <v>1</v>
      </c>
      <c r="C299" t="s">
        <v>1134</v>
      </c>
      <c r="D299" t="s">
        <v>1160</v>
      </c>
      <c r="E299" t="s">
        <v>1161</v>
      </c>
      <c r="F299" t="s">
        <v>1162</v>
      </c>
      <c r="G299">
        <f t="shared" si="12"/>
        <v>1</v>
      </c>
      <c r="J299">
        <f t="shared" si="14"/>
        <v>1</v>
      </c>
      <c r="K299" s="19" t="s">
        <v>1134</v>
      </c>
      <c r="L299" t="s">
        <v>1573</v>
      </c>
      <c r="M299" t="s">
        <v>1161</v>
      </c>
      <c r="N299" t="s">
        <v>1162</v>
      </c>
      <c r="W299" s="19" t="s">
        <v>1134</v>
      </c>
      <c r="X299" t="s">
        <v>1573</v>
      </c>
      <c r="Y299" t="s">
        <v>1161</v>
      </c>
    </row>
    <row r="300" spans="2:25" x14ac:dyDescent="0.3">
      <c r="B300">
        <f t="shared" si="13"/>
        <v>2</v>
      </c>
      <c r="C300" t="s">
        <v>1134</v>
      </c>
      <c r="D300" t="s">
        <v>1145</v>
      </c>
      <c r="E300" t="s">
        <v>1146</v>
      </c>
      <c r="F300" t="s">
        <v>1147</v>
      </c>
      <c r="G300">
        <f t="shared" si="12"/>
        <v>1</v>
      </c>
      <c r="J300">
        <f t="shared" si="14"/>
        <v>2</v>
      </c>
      <c r="K300" s="19" t="s">
        <v>1134</v>
      </c>
      <c r="L300" t="s">
        <v>1567</v>
      </c>
      <c r="M300" t="s">
        <v>1568</v>
      </c>
      <c r="N300" t="s">
        <v>1147</v>
      </c>
      <c r="W300" s="19" t="s">
        <v>1134</v>
      </c>
      <c r="X300" t="s">
        <v>1567</v>
      </c>
      <c r="Y300" t="s">
        <v>1568</v>
      </c>
    </row>
    <row r="301" spans="2:25" x14ac:dyDescent="0.3">
      <c r="B301">
        <f t="shared" si="13"/>
        <v>2</v>
      </c>
      <c r="C301" t="s">
        <v>1180</v>
      </c>
      <c r="D301" t="s">
        <v>1205</v>
      </c>
      <c r="E301" t="s">
        <v>1146</v>
      </c>
      <c r="F301" t="s">
        <v>1147</v>
      </c>
      <c r="G301">
        <f t="shared" si="12"/>
        <v>1</v>
      </c>
      <c r="J301">
        <f t="shared" si="14"/>
        <v>2</v>
      </c>
      <c r="K301" s="19" t="s">
        <v>1180</v>
      </c>
      <c r="L301" t="s">
        <v>1567</v>
      </c>
      <c r="M301" t="s">
        <v>1568</v>
      </c>
      <c r="N301" t="s">
        <v>1147</v>
      </c>
      <c r="W301" s="19" t="s">
        <v>1180</v>
      </c>
      <c r="X301" t="s">
        <v>1567</v>
      </c>
      <c r="Y301" t="s">
        <v>1568</v>
      </c>
    </row>
    <row r="302" spans="2:25" x14ac:dyDescent="0.3">
      <c r="B302">
        <f t="shared" si="13"/>
        <v>1</v>
      </c>
      <c r="C302" t="s">
        <v>1134</v>
      </c>
      <c r="D302" t="s">
        <v>1157</v>
      </c>
      <c r="E302" t="s">
        <v>1158</v>
      </c>
      <c r="F302" t="s">
        <v>1159</v>
      </c>
      <c r="G302">
        <f t="shared" si="12"/>
        <v>1</v>
      </c>
      <c r="J302">
        <f t="shared" si="14"/>
        <v>1</v>
      </c>
      <c r="K302" s="19" t="s">
        <v>1134</v>
      </c>
      <c r="L302" t="s">
        <v>1572</v>
      </c>
      <c r="M302" t="s">
        <v>1158</v>
      </c>
      <c r="N302" t="s">
        <v>1159</v>
      </c>
      <c r="W302" s="19" t="s">
        <v>1134</v>
      </c>
      <c r="X302" t="s">
        <v>1572</v>
      </c>
      <c r="Y302" t="s">
        <v>1158</v>
      </c>
    </row>
    <row r="303" spans="2:25" x14ac:dyDescent="0.3">
      <c r="B303">
        <f t="shared" si="13"/>
        <v>1</v>
      </c>
      <c r="C303" t="s">
        <v>1134</v>
      </c>
      <c r="D303" t="s">
        <v>1153</v>
      </c>
      <c r="E303" t="s">
        <v>303</v>
      </c>
      <c r="F303" t="s">
        <v>1154</v>
      </c>
      <c r="G303">
        <f t="shared" si="12"/>
        <v>1</v>
      </c>
      <c r="J303">
        <f t="shared" si="14"/>
        <v>1</v>
      </c>
      <c r="K303" s="19" t="s">
        <v>1134</v>
      </c>
      <c r="L303" t="s">
        <v>1570</v>
      </c>
      <c r="M303" t="s">
        <v>1571</v>
      </c>
      <c r="N303" t="s">
        <v>1154</v>
      </c>
      <c r="W303" s="19" t="s">
        <v>1134</v>
      </c>
      <c r="X303" t="s">
        <v>1570</v>
      </c>
      <c r="Y303" t="s">
        <v>1571</v>
      </c>
    </row>
  </sheetData>
  <sortState xmlns:xlrd2="http://schemas.microsoft.com/office/spreadsheetml/2017/richdata2" ref="C300:F303">
    <sortCondition ref="F300:F303"/>
  </sortState>
  <phoneticPr fontId="7" type="noConversion"/>
  <conditionalFormatting sqref="C5:F5">
    <cfRule type="cellIs" dxfId="4" priority="1" operator="equal">
      <formula>"nan"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8D88-0626-4E86-8FC9-B5947E37E969}">
  <dimension ref="B1:AO308"/>
  <sheetViews>
    <sheetView topLeftCell="Y1" workbookViewId="0">
      <selection activeCell="Y1" sqref="Y1"/>
    </sheetView>
  </sheetViews>
  <sheetFormatPr defaultRowHeight="14.4" x14ac:dyDescent="0.3"/>
  <sheetData>
    <row r="1" spans="2:41" x14ac:dyDescent="0.3">
      <c r="Y1" t="s">
        <v>1675</v>
      </c>
    </row>
    <row r="3" spans="2:41" x14ac:dyDescent="0.3">
      <c r="F3" t="s">
        <v>1619</v>
      </c>
    </row>
    <row r="5" spans="2:41" x14ac:dyDescent="0.3">
      <c r="F5" t="s">
        <v>1620</v>
      </c>
      <c r="G5" t="e">
        <f>+G7+G8+G10</f>
        <v>#REF!</v>
      </c>
      <c r="H5">
        <f>+H7+H8+H10</f>
        <v>298</v>
      </c>
    </row>
    <row r="7" spans="2:41" x14ac:dyDescent="0.3">
      <c r="F7" t="s">
        <v>1621</v>
      </c>
      <c r="G7" t="e">
        <f>COUNTIF(#REF!,Estatisticas!F7)</f>
        <v>#REF!</v>
      </c>
      <c r="H7">
        <f>COUNTIF('ex2024'!$A$1:$A$318,Estatisticas!$C7)</f>
        <v>0</v>
      </c>
    </row>
    <row r="8" spans="2:41" x14ac:dyDescent="0.3">
      <c r="F8" t="s">
        <v>1622</v>
      </c>
      <c r="G8" t="e">
        <f>COUNTIF(#REF!,Estatisticas!F8)</f>
        <v>#REF!</v>
      </c>
      <c r="H8">
        <f>COUNTIF('ex2024'!$A$1:$A$318,Estatisticas!$C8)</f>
        <v>0</v>
      </c>
      <c r="K8">
        <v>301</v>
      </c>
      <c r="L8" t="s">
        <v>1623</v>
      </c>
      <c r="R8">
        <v>298</v>
      </c>
      <c r="S8" t="s">
        <v>1624</v>
      </c>
    </row>
    <row r="10" spans="2:41" ht="28.8" x14ac:dyDescent="0.3">
      <c r="B10">
        <f>IF(C10=C9,1,0)</f>
        <v>0</v>
      </c>
      <c r="C10" s="7" t="s">
        <v>0</v>
      </c>
      <c r="E10">
        <f>IF(F10=F9,1,0)</f>
        <v>0</v>
      </c>
      <c r="F10" s="10" t="s">
        <v>1625</v>
      </c>
      <c r="G10" t="e">
        <f>SUM(G11:G37)</f>
        <v>#REF!</v>
      </c>
      <c r="H10">
        <f>SUM(H11:H37)</f>
        <v>298</v>
      </c>
      <c r="L10" s="10" t="s">
        <v>1625</v>
      </c>
      <c r="M10" s="10" t="s">
        <v>1626</v>
      </c>
      <c r="N10" s="7" t="s">
        <v>1627</v>
      </c>
      <c r="O10" s="10" t="s">
        <v>3</v>
      </c>
      <c r="S10" s="3" t="s">
        <v>0</v>
      </c>
      <c r="T10" s="3" t="s">
        <v>1</v>
      </c>
      <c r="U10" s="3" t="s">
        <v>2</v>
      </c>
      <c r="V10" s="3" t="s">
        <v>3</v>
      </c>
      <c r="Z10" s="3" t="s">
        <v>0</v>
      </c>
      <c r="AA10" s="3" t="s">
        <v>1</v>
      </c>
      <c r="AB10" s="3" t="s">
        <v>2</v>
      </c>
      <c r="AC10" s="3" t="s">
        <v>3</v>
      </c>
      <c r="AD10" s="3" t="s">
        <v>4</v>
      </c>
      <c r="AE10" s="3" t="s">
        <v>5</v>
      </c>
      <c r="AF10" s="3" t="s">
        <v>6</v>
      </c>
      <c r="AG10" s="3" t="s">
        <v>7</v>
      </c>
      <c r="AH10" s="3" t="s">
        <v>8</v>
      </c>
      <c r="AI10" s="3" t="s">
        <v>9</v>
      </c>
      <c r="AJ10" s="3" t="s">
        <v>10</v>
      </c>
      <c r="AK10" s="3" t="s">
        <v>11</v>
      </c>
      <c r="AL10" s="26" t="s">
        <v>1628</v>
      </c>
      <c r="AM10" s="26" t="s">
        <v>1629</v>
      </c>
      <c r="AN10" s="26" t="s">
        <v>1630</v>
      </c>
      <c r="AO10" s="26" t="s">
        <v>1631</v>
      </c>
    </row>
    <row r="11" spans="2:41" x14ac:dyDescent="0.3">
      <c r="B11">
        <v>0</v>
      </c>
      <c r="C11" s="10" t="s">
        <v>42</v>
      </c>
      <c r="E11">
        <v>1</v>
      </c>
      <c r="F11" t="s">
        <v>1632</v>
      </c>
      <c r="G11" t="e">
        <f>COUNTIF(#REF!,Estatisticas!$F11)</f>
        <v>#REF!</v>
      </c>
      <c r="H11">
        <f>COUNTIF('ex2024'!$A$1:$A$318,Estatisticas!$C11)</f>
        <v>12</v>
      </c>
      <c r="K11">
        <f t="shared" ref="K11:K17" si="0">COUNTIF($V$11:$V$306,O11)</f>
        <v>0</v>
      </c>
      <c r="L11" t="s">
        <v>1633</v>
      </c>
      <c r="M11" t="s">
        <v>1634</v>
      </c>
      <c r="N11" t="s">
        <v>922</v>
      </c>
      <c r="O11" t="s">
        <v>923</v>
      </c>
      <c r="R11" t="str">
        <f>VLOOKUP(S11,$C$11:$F$37,4,FALSE)</f>
        <v>Distrito Federal</v>
      </c>
      <c r="S11" t="s">
        <v>330</v>
      </c>
      <c r="T11" t="s">
        <v>386</v>
      </c>
      <c r="U11" t="s">
        <v>387</v>
      </c>
      <c r="V11" t="s">
        <v>388</v>
      </c>
      <c r="W11">
        <v>0</v>
      </c>
      <c r="Z11" t="s">
        <v>42</v>
      </c>
      <c r="AA11" t="s">
        <v>56</v>
      </c>
      <c r="AB11" t="s">
        <v>57</v>
      </c>
      <c r="AC11" t="s">
        <v>58</v>
      </c>
      <c r="AD11" t="s">
        <v>46</v>
      </c>
      <c r="AE11" t="s">
        <v>59</v>
      </c>
      <c r="AF11" t="s">
        <v>60</v>
      </c>
      <c r="AG11" t="s">
        <v>49</v>
      </c>
      <c r="AH11" t="s">
        <v>50</v>
      </c>
      <c r="AI11" t="s">
        <v>51</v>
      </c>
      <c r="AJ11" t="s">
        <v>51</v>
      </c>
      <c r="AK11" t="s">
        <v>52</v>
      </c>
    </row>
    <row r="12" spans="2:41" x14ac:dyDescent="0.3">
      <c r="B12">
        <v>0</v>
      </c>
      <c r="C12" s="10" t="s">
        <v>109</v>
      </c>
      <c r="E12">
        <v>1</v>
      </c>
      <c r="F12" t="s">
        <v>1635</v>
      </c>
      <c r="G12" t="e">
        <f>COUNTIF(#REF!,Estatisticas!F12)</f>
        <v>#REF!</v>
      </c>
      <c r="H12">
        <f>COUNTIF('ex2024'!$A$1:$A$318,Estatisticas!$C12)</f>
        <v>9</v>
      </c>
      <c r="K12">
        <f t="shared" si="0"/>
        <v>0</v>
      </c>
      <c r="L12" t="s">
        <v>1636</v>
      </c>
      <c r="M12" s="23" t="s">
        <v>1637</v>
      </c>
      <c r="N12" s="24" t="s">
        <v>1638</v>
      </c>
      <c r="O12" s="24" t="s">
        <v>1639</v>
      </c>
      <c r="R12" t="str">
        <f>VLOOKUP(S12,$C$11:$F$37,4,FALSE)</f>
        <v>Rio Grande do Sul</v>
      </c>
      <c r="S12" t="s">
        <v>1134</v>
      </c>
      <c r="T12" t="s">
        <v>1145</v>
      </c>
      <c r="U12" t="s">
        <v>1146</v>
      </c>
      <c r="V12" t="s">
        <v>1147</v>
      </c>
      <c r="W12">
        <v>2</v>
      </c>
      <c r="Z12" t="s">
        <v>42</v>
      </c>
      <c r="AA12" t="s">
        <v>62</v>
      </c>
      <c r="AB12" t="s">
        <v>63</v>
      </c>
      <c r="AC12" t="s">
        <v>64</v>
      </c>
      <c r="AD12" t="s">
        <v>46</v>
      </c>
      <c r="AE12" t="s">
        <v>65</v>
      </c>
      <c r="AF12" t="s">
        <v>60</v>
      </c>
      <c r="AG12" t="s">
        <v>49</v>
      </c>
      <c r="AH12" t="s">
        <v>50</v>
      </c>
      <c r="AI12" t="s">
        <v>51</v>
      </c>
      <c r="AJ12" t="s">
        <v>51</v>
      </c>
      <c r="AK12" t="s">
        <v>52</v>
      </c>
    </row>
    <row r="13" spans="2:41" x14ac:dyDescent="0.3">
      <c r="B13">
        <v>0</v>
      </c>
      <c r="C13" s="10" t="s">
        <v>153</v>
      </c>
      <c r="F13" t="s">
        <v>1640</v>
      </c>
      <c r="G13" t="e">
        <f>COUNTIF(#REF!,Estatisticas!F13)</f>
        <v>#REF!</v>
      </c>
      <c r="H13">
        <f>COUNTIF('ex2024'!$A$1:$A$318,Estatisticas!$C13)</f>
        <v>8</v>
      </c>
      <c r="K13">
        <f t="shared" si="0"/>
        <v>0</v>
      </c>
      <c r="L13" t="s">
        <v>1636</v>
      </c>
      <c r="M13" s="23" t="s">
        <v>1641</v>
      </c>
      <c r="N13" s="24" t="s">
        <v>1642</v>
      </c>
      <c r="O13" s="24" t="s">
        <v>1643</v>
      </c>
      <c r="R13" t="str">
        <f>VLOOKUP(S13,$C$11:$F$37,4,FALSE)</f>
        <v>Santa Catarina</v>
      </c>
      <c r="S13" t="s">
        <v>1180</v>
      </c>
      <c r="T13" t="s">
        <v>1205</v>
      </c>
      <c r="U13" t="s">
        <v>1146</v>
      </c>
      <c r="V13" t="s">
        <v>1147</v>
      </c>
      <c r="W13">
        <v>2</v>
      </c>
      <c r="Z13" t="s">
        <v>275</v>
      </c>
      <c r="AA13" t="s">
        <v>321</v>
      </c>
      <c r="AB13" t="s">
        <v>322</v>
      </c>
      <c r="AC13" t="s">
        <v>323</v>
      </c>
      <c r="AD13" t="s">
        <v>46</v>
      </c>
      <c r="AE13" t="s">
        <v>240</v>
      </c>
      <c r="AF13" t="s">
        <v>60</v>
      </c>
      <c r="AG13" t="s">
        <v>49</v>
      </c>
      <c r="AH13" t="s">
        <v>50</v>
      </c>
      <c r="AI13" t="s">
        <v>51</v>
      </c>
      <c r="AJ13" t="s">
        <v>51</v>
      </c>
      <c r="AK13" s="11" t="s">
        <v>134</v>
      </c>
    </row>
    <row r="14" spans="2:41" x14ac:dyDescent="0.3">
      <c r="B14">
        <v>0</v>
      </c>
      <c r="C14" s="10" t="s">
        <v>195</v>
      </c>
      <c r="E14">
        <v>0</v>
      </c>
      <c r="F14" t="s">
        <v>1644</v>
      </c>
      <c r="G14" t="e">
        <f>COUNTIF(#REF!,Estatisticas!F14)</f>
        <v>#REF!</v>
      </c>
      <c r="H14">
        <f>COUNTIF('ex2024'!$A$1:$A$318,Estatisticas!$C14)</f>
        <v>3</v>
      </c>
      <c r="K14">
        <f t="shared" si="0"/>
        <v>0</v>
      </c>
      <c r="L14" t="s">
        <v>1636</v>
      </c>
      <c r="M14" s="23" t="s">
        <v>1645</v>
      </c>
      <c r="N14" s="24" t="s">
        <v>1646</v>
      </c>
      <c r="O14" s="24" t="s">
        <v>1647</v>
      </c>
      <c r="Z14" t="s">
        <v>473</v>
      </c>
      <c r="AA14" t="s">
        <v>537</v>
      </c>
      <c r="AB14" t="s">
        <v>538</v>
      </c>
      <c r="AC14" t="s">
        <v>539</v>
      </c>
      <c r="AD14" t="s">
        <v>70</v>
      </c>
      <c r="AE14" t="s">
        <v>47</v>
      </c>
      <c r="AF14" t="s">
        <v>48</v>
      </c>
      <c r="AG14" t="s">
        <v>76</v>
      </c>
      <c r="AH14" t="s">
        <v>50</v>
      </c>
      <c r="AI14" t="s">
        <v>51</v>
      </c>
      <c r="AJ14" t="s">
        <v>51</v>
      </c>
      <c r="AK14" s="11" t="s">
        <v>134</v>
      </c>
    </row>
    <row r="15" spans="2:41" x14ac:dyDescent="0.3">
      <c r="B15">
        <v>0</v>
      </c>
      <c r="C15" s="10" t="s">
        <v>210</v>
      </c>
      <c r="E15">
        <v>1</v>
      </c>
      <c r="F15" t="s">
        <v>1648</v>
      </c>
      <c r="G15" t="e">
        <f>COUNTIF(#REF!,Estatisticas!F15)</f>
        <v>#REF!</v>
      </c>
      <c r="H15">
        <f>COUNTIF('ex2024'!$A$1:$A$318,Estatisticas!$C15)</f>
        <v>13</v>
      </c>
      <c r="K15">
        <f t="shared" si="0"/>
        <v>0</v>
      </c>
      <c r="L15" t="s">
        <v>1636</v>
      </c>
      <c r="M15" s="23" t="s">
        <v>1649</v>
      </c>
      <c r="N15" s="24" t="s">
        <v>1650</v>
      </c>
      <c r="O15" s="24" t="s">
        <v>1651</v>
      </c>
      <c r="Z15" t="s">
        <v>887</v>
      </c>
      <c r="AA15" t="s">
        <v>901</v>
      </c>
      <c r="AB15" t="s">
        <v>902</v>
      </c>
      <c r="AC15" t="s">
        <v>903</v>
      </c>
      <c r="AD15" t="s">
        <v>46</v>
      </c>
      <c r="AE15" t="s">
        <v>107</v>
      </c>
      <c r="AF15" t="s">
        <v>60</v>
      </c>
      <c r="AG15" t="s">
        <v>49</v>
      </c>
      <c r="AH15" t="s">
        <v>50</v>
      </c>
      <c r="AI15" t="s">
        <v>51</v>
      </c>
      <c r="AJ15" t="s">
        <v>51</v>
      </c>
      <c r="AK15" s="11" t="s">
        <v>134</v>
      </c>
    </row>
    <row r="16" spans="2:41" x14ac:dyDescent="0.3">
      <c r="B16">
        <v>0</v>
      </c>
      <c r="C16" s="10" t="s">
        <v>275</v>
      </c>
      <c r="E16">
        <v>1</v>
      </c>
      <c r="F16" t="s">
        <v>1652</v>
      </c>
      <c r="G16" t="e">
        <f>COUNTIF(#REF!,Estatisticas!F16)</f>
        <v>#REF!</v>
      </c>
      <c r="H16">
        <f>COUNTIF('ex2024'!$A$1:$A$318,Estatisticas!$C16)</f>
        <v>12</v>
      </c>
      <c r="K16">
        <f t="shared" si="0"/>
        <v>2</v>
      </c>
      <c r="L16" t="s">
        <v>1653</v>
      </c>
      <c r="M16" t="s">
        <v>1654</v>
      </c>
      <c r="N16" t="s">
        <v>1146</v>
      </c>
      <c r="O16" t="s">
        <v>1147</v>
      </c>
      <c r="Z16" t="s">
        <v>966</v>
      </c>
      <c r="AA16" t="s">
        <v>1033</v>
      </c>
      <c r="AB16" t="s">
        <v>1034</v>
      </c>
      <c r="AC16" t="s">
        <v>1035</v>
      </c>
      <c r="AD16" t="s">
        <v>70</v>
      </c>
      <c r="AE16" t="s">
        <v>409</v>
      </c>
      <c r="AF16" t="s">
        <v>60</v>
      </c>
      <c r="AG16" t="s">
        <v>49</v>
      </c>
      <c r="AH16" t="s">
        <v>50</v>
      </c>
      <c r="AI16" t="s">
        <v>51</v>
      </c>
      <c r="AJ16" t="s">
        <v>51</v>
      </c>
      <c r="AK16" s="11" t="s">
        <v>134</v>
      </c>
    </row>
    <row r="17" spans="2:37" x14ac:dyDescent="0.3">
      <c r="B17">
        <v>0</v>
      </c>
      <c r="C17" s="10" t="s">
        <v>330</v>
      </c>
      <c r="E17">
        <v>1</v>
      </c>
      <c r="F17" t="s">
        <v>1655</v>
      </c>
      <c r="G17" t="e">
        <f>COUNTIF(#REF!,Estatisticas!F17)</f>
        <v>#REF!</v>
      </c>
      <c r="H17">
        <f>COUNTIF('ex2024'!$A$1:$A$318,Estatisticas!$C17)</f>
        <v>26</v>
      </c>
      <c r="K17">
        <f t="shared" si="0"/>
        <v>2</v>
      </c>
      <c r="L17" t="s">
        <v>1636</v>
      </c>
      <c r="M17" t="s">
        <v>1656</v>
      </c>
      <c r="N17" t="s">
        <v>1146</v>
      </c>
      <c r="O17" t="s">
        <v>1147</v>
      </c>
      <c r="Z17" t="s">
        <v>1086</v>
      </c>
      <c r="AA17" t="s">
        <v>1090</v>
      </c>
      <c r="AB17" t="s">
        <v>1091</v>
      </c>
      <c r="AC17" t="s">
        <v>1092</v>
      </c>
      <c r="AD17" t="s">
        <v>46</v>
      </c>
      <c r="AE17" t="s">
        <v>107</v>
      </c>
      <c r="AF17" t="s">
        <v>60</v>
      </c>
      <c r="AG17" t="s">
        <v>49</v>
      </c>
      <c r="AH17" t="s">
        <v>50</v>
      </c>
      <c r="AI17" t="s">
        <v>51</v>
      </c>
      <c r="AJ17" t="s">
        <v>51</v>
      </c>
      <c r="AK17" s="11" t="s">
        <v>134</v>
      </c>
    </row>
    <row r="18" spans="2:37" x14ac:dyDescent="0.3">
      <c r="B18">
        <v>0</v>
      </c>
      <c r="C18" s="10" t="s">
        <v>439</v>
      </c>
      <c r="E18">
        <v>1</v>
      </c>
      <c r="F18" t="s">
        <v>1657</v>
      </c>
      <c r="G18" t="e">
        <f>COUNTIF(#REF!,Estatisticas!F18)</f>
        <v>#REF!</v>
      </c>
      <c r="H18">
        <f>COUNTIF('ex2024'!$A$1:$A$318,Estatisticas!$C18)</f>
        <v>7</v>
      </c>
      <c r="Z18" t="s">
        <v>1134</v>
      </c>
      <c r="AA18" t="s">
        <v>1157</v>
      </c>
      <c r="AB18" t="s">
        <v>1158</v>
      </c>
      <c r="AC18" t="s">
        <v>1159</v>
      </c>
      <c r="AD18" t="s">
        <v>70</v>
      </c>
      <c r="AE18" t="s">
        <v>75</v>
      </c>
      <c r="AF18" t="s">
        <v>60</v>
      </c>
      <c r="AG18" t="s">
        <v>76</v>
      </c>
      <c r="AH18" t="s">
        <v>50</v>
      </c>
      <c r="AI18" t="s">
        <v>51</v>
      </c>
      <c r="AJ18" t="s">
        <v>51</v>
      </c>
      <c r="AK18" s="11" t="s">
        <v>134</v>
      </c>
    </row>
    <row r="19" spans="2:37" x14ac:dyDescent="0.3">
      <c r="B19">
        <v>0</v>
      </c>
      <c r="C19" s="10" t="s">
        <v>473</v>
      </c>
      <c r="E19">
        <v>1</v>
      </c>
      <c r="F19" t="s">
        <v>1658</v>
      </c>
      <c r="G19" t="e">
        <f>COUNTIF(#REF!,Estatisticas!F19)</f>
        <v>#REF!</v>
      </c>
      <c r="H19">
        <f>COUNTIF('ex2024'!$A$1:$A$318,Estatisticas!$C19)</f>
        <v>16</v>
      </c>
      <c r="Z19" t="s">
        <v>42</v>
      </c>
      <c r="AA19" t="s">
        <v>67</v>
      </c>
      <c r="AB19" t="s">
        <v>68</v>
      </c>
      <c r="AC19" t="s">
        <v>69</v>
      </c>
      <c r="AD19" t="s">
        <v>70</v>
      </c>
      <c r="AE19" t="s">
        <v>71</v>
      </c>
      <c r="AF19" t="s">
        <v>60</v>
      </c>
      <c r="AG19" t="s">
        <v>49</v>
      </c>
      <c r="AH19" t="s">
        <v>50</v>
      </c>
      <c r="AI19" t="s">
        <v>51</v>
      </c>
      <c r="AJ19" t="s">
        <v>51</v>
      </c>
      <c r="AK19" t="s">
        <v>52</v>
      </c>
    </row>
    <row r="20" spans="2:37" x14ac:dyDescent="0.3">
      <c r="B20">
        <v>0</v>
      </c>
      <c r="C20" s="10" t="s">
        <v>547</v>
      </c>
      <c r="E20">
        <v>1</v>
      </c>
      <c r="F20" t="s">
        <v>1659</v>
      </c>
      <c r="G20" t="e">
        <f>COUNTIF(#REF!,Estatisticas!F20)</f>
        <v>#REF!</v>
      </c>
      <c r="H20">
        <f>COUNTIF('ex2024'!$A$1:$A$318,Estatisticas!$C20)</f>
        <v>5</v>
      </c>
      <c r="Z20" t="s">
        <v>42</v>
      </c>
      <c r="AA20" t="s">
        <v>72</v>
      </c>
      <c r="AB20" t="s">
        <v>73</v>
      </c>
      <c r="AC20" t="s">
        <v>74</v>
      </c>
      <c r="AD20" t="s">
        <v>46</v>
      </c>
      <c r="AE20" t="s">
        <v>75</v>
      </c>
      <c r="AF20" t="s">
        <v>48</v>
      </c>
      <c r="AG20" t="s">
        <v>76</v>
      </c>
      <c r="AH20" t="s">
        <v>50</v>
      </c>
      <c r="AI20" t="s">
        <v>51</v>
      </c>
      <c r="AJ20" t="s">
        <v>51</v>
      </c>
      <c r="AK20" t="s">
        <v>52</v>
      </c>
    </row>
    <row r="21" spans="2:37" x14ac:dyDescent="0.3">
      <c r="B21">
        <v>0</v>
      </c>
      <c r="C21" s="10" t="s">
        <v>573</v>
      </c>
      <c r="F21" t="s">
        <v>1660</v>
      </c>
      <c r="G21" t="e">
        <f>COUNTIF(#REF!,Estatisticas!F21)</f>
        <v>#REF!</v>
      </c>
      <c r="H21">
        <f>COUNTIF('ex2024'!$A$1:$A$318,Estatisticas!$C21)</f>
        <v>15</v>
      </c>
      <c r="Z21" t="s">
        <v>42</v>
      </c>
      <c r="AA21" t="s">
        <v>82</v>
      </c>
      <c r="AB21" t="s">
        <v>83</v>
      </c>
      <c r="AC21" t="s">
        <v>84</v>
      </c>
      <c r="AD21" t="s">
        <v>46</v>
      </c>
      <c r="AE21" t="s">
        <v>75</v>
      </c>
      <c r="AF21" t="s">
        <v>48</v>
      </c>
      <c r="AG21" t="s">
        <v>49</v>
      </c>
      <c r="AH21" t="s">
        <v>50</v>
      </c>
      <c r="AI21" t="s">
        <v>51</v>
      </c>
      <c r="AJ21" t="s">
        <v>54</v>
      </c>
      <c r="AK21" t="s">
        <v>52</v>
      </c>
    </row>
    <row r="22" spans="2:37" x14ac:dyDescent="0.3">
      <c r="B22">
        <v>0</v>
      </c>
      <c r="C22" s="10" t="s">
        <v>647</v>
      </c>
      <c r="E22">
        <v>1</v>
      </c>
      <c r="F22" t="s">
        <v>1661</v>
      </c>
      <c r="G22" t="e">
        <f>COUNTIF(#REF!,Estatisticas!F22)</f>
        <v>#REF!</v>
      </c>
      <c r="H22">
        <f>COUNTIF('ex2024'!$A$1:$A$318,Estatisticas!$C22)</f>
        <v>6</v>
      </c>
      <c r="Z22" t="s">
        <v>42</v>
      </c>
      <c r="AA22" t="s">
        <v>86</v>
      </c>
      <c r="AB22" t="s">
        <v>87</v>
      </c>
      <c r="AC22" t="s">
        <v>88</v>
      </c>
      <c r="AD22" t="s">
        <v>46</v>
      </c>
      <c r="AE22" t="s">
        <v>65</v>
      </c>
      <c r="AF22" t="s">
        <v>48</v>
      </c>
      <c r="AG22" t="s">
        <v>76</v>
      </c>
      <c r="AH22" t="s">
        <v>50</v>
      </c>
      <c r="AI22" t="s">
        <v>51</v>
      </c>
      <c r="AJ22" t="s">
        <v>54</v>
      </c>
      <c r="AK22" t="s">
        <v>52</v>
      </c>
    </row>
    <row r="23" spans="2:37" x14ac:dyDescent="0.3">
      <c r="B23">
        <v>0</v>
      </c>
      <c r="C23" s="10" t="s">
        <v>670</v>
      </c>
      <c r="E23">
        <v>0</v>
      </c>
      <c r="F23" t="s">
        <v>1662</v>
      </c>
      <c r="G23" t="e">
        <f>COUNTIF(#REF!,Estatisticas!F23)</f>
        <v>#REF!</v>
      </c>
      <c r="H23">
        <f>COUNTIF('ex2024'!$A$1:$A$318,Estatisticas!$C23)</f>
        <v>11</v>
      </c>
      <c r="Z23" t="s">
        <v>109</v>
      </c>
      <c r="AA23" t="s">
        <v>110</v>
      </c>
      <c r="AB23" t="s">
        <v>111</v>
      </c>
      <c r="AC23" t="s">
        <v>112</v>
      </c>
      <c r="AD23" t="s">
        <v>46</v>
      </c>
      <c r="AE23" t="s">
        <v>71</v>
      </c>
      <c r="AF23" t="s">
        <v>60</v>
      </c>
      <c r="AG23" t="s">
        <v>49</v>
      </c>
      <c r="AH23" t="s">
        <v>50</v>
      </c>
      <c r="AI23" t="s">
        <v>51</v>
      </c>
      <c r="AJ23" t="s">
        <v>54</v>
      </c>
      <c r="AK23" t="s">
        <v>52</v>
      </c>
    </row>
    <row r="24" spans="2:37" x14ac:dyDescent="0.3">
      <c r="B24">
        <v>0</v>
      </c>
      <c r="C24" s="10" t="s">
        <v>715</v>
      </c>
      <c r="E24">
        <v>1</v>
      </c>
      <c r="F24" t="s">
        <v>1663</v>
      </c>
      <c r="G24" t="e">
        <f>COUNTIF(#REF!,Estatisticas!F24)</f>
        <v>#REF!</v>
      </c>
      <c r="H24">
        <f>COUNTIF('ex2024'!$A$1:$A$318,Estatisticas!$C24)</f>
        <v>10</v>
      </c>
      <c r="Z24" t="s">
        <v>109</v>
      </c>
      <c r="AA24" t="s">
        <v>130</v>
      </c>
      <c r="AB24" t="s">
        <v>131</v>
      </c>
      <c r="AC24" t="s">
        <v>132</v>
      </c>
      <c r="AD24" t="s">
        <v>46</v>
      </c>
      <c r="AE24" t="s">
        <v>133</v>
      </c>
      <c r="AF24" t="s">
        <v>48</v>
      </c>
      <c r="AG24" t="s">
        <v>49</v>
      </c>
      <c r="AH24" t="s">
        <v>50</v>
      </c>
      <c r="AI24" t="s">
        <v>51</v>
      </c>
      <c r="AJ24" t="s">
        <v>51</v>
      </c>
      <c r="AK24" t="s">
        <v>134</v>
      </c>
    </row>
    <row r="25" spans="2:37" x14ac:dyDescent="0.3">
      <c r="B25">
        <v>0</v>
      </c>
      <c r="C25" s="10" t="s">
        <v>756</v>
      </c>
      <c r="E25">
        <v>1</v>
      </c>
      <c r="F25" t="s">
        <v>1664</v>
      </c>
      <c r="G25" t="e">
        <f>COUNTIF(#REF!,Estatisticas!F25)</f>
        <v>#REF!</v>
      </c>
      <c r="H25">
        <f>COUNTIF('ex2024'!$A$1:$A$318,Estatisticas!$C25)</f>
        <v>15</v>
      </c>
      <c r="Z25" t="s">
        <v>42</v>
      </c>
      <c r="AA25" t="s">
        <v>95</v>
      </c>
      <c r="AB25" t="s">
        <v>96</v>
      </c>
      <c r="AC25" t="s">
        <v>97</v>
      </c>
      <c r="AD25" t="s">
        <v>70</v>
      </c>
      <c r="AE25" t="s">
        <v>65</v>
      </c>
      <c r="AF25" t="s">
        <v>48</v>
      </c>
      <c r="AG25" t="s">
        <v>76</v>
      </c>
      <c r="AH25" t="s">
        <v>50</v>
      </c>
      <c r="AI25" t="s">
        <v>51</v>
      </c>
      <c r="AJ25" t="s">
        <v>54</v>
      </c>
      <c r="AK25" t="s">
        <v>52</v>
      </c>
    </row>
    <row r="26" spans="2:37" x14ac:dyDescent="0.3">
      <c r="B26">
        <v>0</v>
      </c>
      <c r="C26" s="10" t="s">
        <v>814</v>
      </c>
      <c r="E26">
        <v>0</v>
      </c>
      <c r="F26" t="s">
        <v>1665</v>
      </c>
      <c r="G26" t="e">
        <f>COUNTIF(#REF!,Estatisticas!F26)</f>
        <v>#REF!</v>
      </c>
      <c r="H26">
        <f>COUNTIF('ex2024'!$A$1:$A$318,Estatisticas!$C26)</f>
        <v>15</v>
      </c>
      <c r="Z26" t="s">
        <v>42</v>
      </c>
      <c r="AA26" t="s">
        <v>104</v>
      </c>
      <c r="AB26" t="s">
        <v>105</v>
      </c>
      <c r="AC26" t="s">
        <v>106</v>
      </c>
      <c r="AD26" t="s">
        <v>46</v>
      </c>
      <c r="AE26" t="s">
        <v>107</v>
      </c>
      <c r="AF26" t="s">
        <v>60</v>
      </c>
      <c r="AG26" t="s">
        <v>76</v>
      </c>
      <c r="AH26" t="s">
        <v>50</v>
      </c>
      <c r="AI26" t="s">
        <v>51</v>
      </c>
      <c r="AJ26" t="s">
        <v>51</v>
      </c>
      <c r="AK26" t="s">
        <v>52</v>
      </c>
    </row>
    <row r="27" spans="2:37" x14ac:dyDescent="0.3">
      <c r="B27">
        <v>0</v>
      </c>
      <c r="C27" s="10" t="s">
        <v>887</v>
      </c>
      <c r="E27">
        <v>0</v>
      </c>
      <c r="F27" t="s">
        <v>1633</v>
      </c>
      <c r="G27" t="e">
        <f>COUNTIF(#REF!,Estatisticas!F27)</f>
        <v>#REF!</v>
      </c>
      <c r="H27">
        <f>COUNTIF('ex2024'!$A$1:$A$318,Estatisticas!$C27)</f>
        <v>11</v>
      </c>
      <c r="Z27" t="s">
        <v>109</v>
      </c>
      <c r="AA27" t="s">
        <v>147</v>
      </c>
      <c r="AB27" t="s">
        <v>148</v>
      </c>
      <c r="AC27" t="s">
        <v>149</v>
      </c>
      <c r="AD27" t="s">
        <v>46</v>
      </c>
      <c r="AE27" t="s">
        <v>150</v>
      </c>
      <c r="AF27" t="s">
        <v>60</v>
      </c>
      <c r="AG27" t="s">
        <v>49</v>
      </c>
      <c r="AH27" t="s">
        <v>50</v>
      </c>
      <c r="AI27" t="s">
        <v>51</v>
      </c>
      <c r="AJ27" t="s">
        <v>51</v>
      </c>
      <c r="AK27" t="s">
        <v>134</v>
      </c>
    </row>
    <row r="28" spans="2:37" x14ac:dyDescent="0.3">
      <c r="B28">
        <v>0</v>
      </c>
      <c r="C28" s="10" t="s">
        <v>932</v>
      </c>
      <c r="E28">
        <v>0</v>
      </c>
      <c r="F28" t="s">
        <v>1666</v>
      </c>
      <c r="G28" t="e">
        <f>COUNTIF(#REF!,Estatisticas!F28)</f>
        <v>#REF!</v>
      </c>
      <c r="H28">
        <f>COUNTIF('ex2024'!$A$1:$A$318,Estatisticas!$C28)</f>
        <v>8</v>
      </c>
      <c r="Z28" t="s">
        <v>109</v>
      </c>
      <c r="AA28" t="s">
        <v>142</v>
      </c>
      <c r="AB28" t="s">
        <v>143</v>
      </c>
      <c r="AC28" t="s">
        <v>144</v>
      </c>
      <c r="AD28" t="s">
        <v>46</v>
      </c>
      <c r="AE28" t="s">
        <v>107</v>
      </c>
      <c r="AF28" t="s">
        <v>60</v>
      </c>
      <c r="AG28" t="s">
        <v>49</v>
      </c>
      <c r="AH28" t="s">
        <v>50</v>
      </c>
      <c r="AI28" t="s">
        <v>51</v>
      </c>
      <c r="AJ28" t="s">
        <v>51</v>
      </c>
      <c r="AK28" t="s">
        <v>134</v>
      </c>
    </row>
    <row r="29" spans="2:37" x14ac:dyDescent="0.3">
      <c r="B29">
        <v>0</v>
      </c>
      <c r="C29" s="10" t="s">
        <v>966</v>
      </c>
      <c r="E29">
        <v>1</v>
      </c>
      <c r="F29" t="s">
        <v>1667</v>
      </c>
      <c r="G29" t="e">
        <f>COUNTIF(#REF!,Estatisticas!F29)</f>
        <v>#REF!</v>
      </c>
      <c r="H29">
        <f>COUNTIF('ex2024'!$A$1:$A$318,Estatisticas!$C29)</f>
        <v>22</v>
      </c>
      <c r="Z29" t="s">
        <v>109</v>
      </c>
      <c r="AA29" t="s">
        <v>136</v>
      </c>
      <c r="AB29" t="s">
        <v>137</v>
      </c>
      <c r="AC29" t="s">
        <v>138</v>
      </c>
      <c r="AD29" t="s">
        <v>46</v>
      </c>
      <c r="AE29" t="s">
        <v>139</v>
      </c>
      <c r="AF29" t="s">
        <v>60</v>
      </c>
      <c r="AG29" t="s">
        <v>49</v>
      </c>
      <c r="AH29" t="s">
        <v>50</v>
      </c>
      <c r="AI29" t="s">
        <v>51</v>
      </c>
      <c r="AJ29" t="s">
        <v>51</v>
      </c>
      <c r="AK29" t="s">
        <v>134</v>
      </c>
    </row>
    <row r="30" spans="2:37" x14ac:dyDescent="0.3">
      <c r="B30">
        <v>0</v>
      </c>
      <c r="C30" s="10" t="s">
        <v>1046</v>
      </c>
      <c r="E30">
        <v>0</v>
      </c>
      <c r="F30" t="s">
        <v>1668</v>
      </c>
      <c r="G30" t="e">
        <f>COUNTIF(#REF!,Estatisticas!F30)</f>
        <v>#REF!</v>
      </c>
      <c r="H30">
        <f>COUNTIF('ex2024'!$A$1:$A$318,Estatisticas!$C30)</f>
        <v>9</v>
      </c>
      <c r="Z30" t="s">
        <v>42</v>
      </c>
      <c r="AA30" t="s">
        <v>90</v>
      </c>
      <c r="AB30" t="s">
        <v>91</v>
      </c>
      <c r="AC30" t="s">
        <v>92</v>
      </c>
      <c r="AD30" t="s">
        <v>46</v>
      </c>
      <c r="AE30" t="s">
        <v>93</v>
      </c>
      <c r="AF30" t="s">
        <v>60</v>
      </c>
      <c r="AG30" t="s">
        <v>76</v>
      </c>
      <c r="AH30" t="s">
        <v>50</v>
      </c>
      <c r="AI30" t="s">
        <v>51</v>
      </c>
      <c r="AJ30" t="s">
        <v>51</v>
      </c>
      <c r="AK30" t="s">
        <v>52</v>
      </c>
    </row>
    <row r="31" spans="2:37" x14ac:dyDescent="0.3">
      <c r="B31">
        <v>0</v>
      </c>
      <c r="C31" s="10" t="s">
        <v>1086</v>
      </c>
      <c r="E31">
        <v>1</v>
      </c>
      <c r="F31" t="s">
        <v>1669</v>
      </c>
      <c r="G31" t="e">
        <f>COUNTIF(#REF!,Estatisticas!F31)</f>
        <v>#REF!</v>
      </c>
      <c r="H31">
        <f>COUNTIF('ex2024'!$A$1:$A$318,Estatisticas!$C31)</f>
        <v>7</v>
      </c>
      <c r="Z31" t="s">
        <v>42</v>
      </c>
      <c r="AA31" t="s">
        <v>78</v>
      </c>
      <c r="AB31" t="s">
        <v>79</v>
      </c>
      <c r="AC31" t="s">
        <v>80</v>
      </c>
      <c r="AD31" t="s">
        <v>46</v>
      </c>
      <c r="AE31" t="s">
        <v>65</v>
      </c>
      <c r="AF31" t="s">
        <v>60</v>
      </c>
      <c r="AG31" t="s">
        <v>49</v>
      </c>
      <c r="AH31" t="s">
        <v>50</v>
      </c>
      <c r="AI31" t="s">
        <v>51</v>
      </c>
      <c r="AJ31" t="s">
        <v>51</v>
      </c>
      <c r="AK31" t="s">
        <v>52</v>
      </c>
    </row>
    <row r="32" spans="2:37" x14ac:dyDescent="0.3">
      <c r="B32">
        <v>0</v>
      </c>
      <c r="C32" s="10" t="s">
        <v>1112</v>
      </c>
      <c r="E32">
        <v>1</v>
      </c>
      <c r="F32" t="s">
        <v>1670</v>
      </c>
      <c r="G32" t="e">
        <f>COUNTIF(#REF!,Estatisticas!F32)</f>
        <v>#REF!</v>
      </c>
      <c r="H32">
        <f>COUNTIF('ex2024'!$A$1:$A$318,Estatisticas!$C32)</f>
        <v>5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51</v>
      </c>
      <c r="AK32" t="s">
        <v>52</v>
      </c>
    </row>
    <row r="33" spans="2:37" x14ac:dyDescent="0.3">
      <c r="B33">
        <v>0</v>
      </c>
      <c r="C33" s="10" t="s">
        <v>1134</v>
      </c>
      <c r="E33">
        <v>0</v>
      </c>
      <c r="F33" t="s">
        <v>1653</v>
      </c>
      <c r="G33" t="e">
        <f>COUNTIF(#REF!,Estatisticas!F33)</f>
        <v>#REF!</v>
      </c>
      <c r="H33">
        <f>COUNTIF('ex2024'!$A$1:$A$318,Estatisticas!$C33)</f>
        <v>10</v>
      </c>
      <c r="Z33" t="s">
        <v>153</v>
      </c>
      <c r="AA33" t="s">
        <v>175</v>
      </c>
      <c r="AB33" t="s">
        <v>176</v>
      </c>
      <c r="AC33" t="s">
        <v>177</v>
      </c>
      <c r="AD33" t="s">
        <v>46</v>
      </c>
      <c r="AE33" t="s">
        <v>71</v>
      </c>
      <c r="AF33" t="s">
        <v>48</v>
      </c>
      <c r="AG33" t="s">
        <v>49</v>
      </c>
      <c r="AH33" t="s">
        <v>50</v>
      </c>
      <c r="AI33" t="s">
        <v>51</v>
      </c>
      <c r="AJ33" t="s">
        <v>51</v>
      </c>
      <c r="AK33" t="s">
        <v>134</v>
      </c>
    </row>
    <row r="34" spans="2:37" x14ac:dyDescent="0.3">
      <c r="B34">
        <v>0</v>
      </c>
      <c r="C34" s="10" t="s">
        <v>1180</v>
      </c>
      <c r="E34">
        <v>0</v>
      </c>
      <c r="F34" t="s">
        <v>1636</v>
      </c>
      <c r="G34" t="e">
        <f>COUNTIF(#REF!,Estatisticas!F34)</f>
        <v>#REF!</v>
      </c>
      <c r="H34">
        <f>COUNTIF('ex2024'!$A$1:$A$318,Estatisticas!$C34)</f>
        <v>16</v>
      </c>
      <c r="Z34" t="s">
        <v>42</v>
      </c>
      <c r="AA34" t="s">
        <v>99</v>
      </c>
      <c r="AB34" t="s">
        <v>100</v>
      </c>
      <c r="AC34" t="s">
        <v>101</v>
      </c>
      <c r="AD34" t="s">
        <v>46</v>
      </c>
      <c r="AE34" t="s">
        <v>102</v>
      </c>
      <c r="AF34" t="s">
        <v>48</v>
      </c>
      <c r="AG34" t="s">
        <v>76</v>
      </c>
      <c r="AH34" t="s">
        <v>50</v>
      </c>
      <c r="AI34" t="s">
        <v>51</v>
      </c>
      <c r="AJ34" t="s">
        <v>51</v>
      </c>
      <c r="AK34" t="s">
        <v>52</v>
      </c>
    </row>
    <row r="35" spans="2:37" x14ac:dyDescent="0.3">
      <c r="B35">
        <v>0</v>
      </c>
      <c r="C35" s="10" t="s">
        <v>1240</v>
      </c>
      <c r="E35">
        <v>1</v>
      </c>
      <c r="F35" t="s">
        <v>1671</v>
      </c>
      <c r="G35" t="e">
        <f>COUNTIF(#REF!,Estatisticas!F35)</f>
        <v>#REF!</v>
      </c>
      <c r="H35">
        <f>COUNTIF('ex2024'!$A$1:$A$318,Estatisticas!$C35)</f>
        <v>13</v>
      </c>
      <c r="Z35" t="s">
        <v>153</v>
      </c>
      <c r="AA35" t="s">
        <v>180</v>
      </c>
      <c r="AB35" t="s">
        <v>181</v>
      </c>
      <c r="AC35" t="s">
        <v>182</v>
      </c>
      <c r="AD35" t="s">
        <v>46</v>
      </c>
      <c r="AE35" t="s">
        <v>133</v>
      </c>
      <c r="AF35" t="s">
        <v>48</v>
      </c>
      <c r="AG35" t="s">
        <v>49</v>
      </c>
      <c r="AH35" t="s">
        <v>50</v>
      </c>
      <c r="AI35" t="s">
        <v>51</v>
      </c>
      <c r="AJ35" t="s">
        <v>51</v>
      </c>
      <c r="AK35" t="s">
        <v>134</v>
      </c>
    </row>
    <row r="36" spans="2:37" x14ac:dyDescent="0.3">
      <c r="B36">
        <v>0</v>
      </c>
      <c r="C36" s="10" t="s">
        <v>1292</v>
      </c>
      <c r="E36">
        <v>0</v>
      </c>
      <c r="F36" t="s">
        <v>1672</v>
      </c>
      <c r="G36" t="e">
        <f>COUNTIF(#REF!,Estatisticas!F36)</f>
        <v>#REF!</v>
      </c>
      <c r="H36">
        <f>COUNTIF('ex2024'!$A$1:$A$318,Estatisticas!$C36)</f>
        <v>11</v>
      </c>
      <c r="Z36" t="s">
        <v>109</v>
      </c>
      <c r="AA36" t="s">
        <v>122</v>
      </c>
      <c r="AB36" t="s">
        <v>123</v>
      </c>
      <c r="AC36" t="s">
        <v>124</v>
      </c>
      <c r="AD36" t="s">
        <v>70</v>
      </c>
      <c r="AE36" t="s">
        <v>71</v>
      </c>
      <c r="AF36" t="s">
        <v>60</v>
      </c>
      <c r="AG36" t="s">
        <v>49</v>
      </c>
      <c r="AH36" t="s">
        <v>50</v>
      </c>
      <c r="AI36" t="s">
        <v>51</v>
      </c>
      <c r="AJ36" t="s">
        <v>51</v>
      </c>
      <c r="AK36" t="s">
        <v>52</v>
      </c>
    </row>
    <row r="37" spans="2:37" x14ac:dyDescent="0.3">
      <c r="B37">
        <v>0</v>
      </c>
      <c r="C37" s="10" t="s">
        <v>1343</v>
      </c>
      <c r="E37">
        <v>0</v>
      </c>
      <c r="F37" t="s">
        <v>1673</v>
      </c>
      <c r="G37" t="e">
        <f>COUNTIF(#REF!,Estatisticas!F37)</f>
        <v>#REF!</v>
      </c>
      <c r="H37">
        <f>COUNTIF('ex2024'!$A$1:$A$318,Estatisticas!$C37)</f>
        <v>3</v>
      </c>
      <c r="Z37" t="s">
        <v>153</v>
      </c>
      <c r="AA37" t="s">
        <v>185</v>
      </c>
      <c r="AB37" t="s">
        <v>186</v>
      </c>
      <c r="AC37" t="s">
        <v>187</v>
      </c>
      <c r="AD37" t="s">
        <v>46</v>
      </c>
      <c r="AE37" t="s">
        <v>139</v>
      </c>
      <c r="AF37" t="s">
        <v>60</v>
      </c>
      <c r="AG37" t="s">
        <v>49</v>
      </c>
      <c r="AH37" t="s">
        <v>50</v>
      </c>
      <c r="AI37" t="s">
        <v>51</v>
      </c>
      <c r="AJ37" t="s">
        <v>51</v>
      </c>
      <c r="AK37" t="s">
        <v>134</v>
      </c>
    </row>
    <row r="38" spans="2:37" x14ac:dyDescent="0.3">
      <c r="Z38" t="s">
        <v>109</v>
      </c>
      <c r="AA38" t="s">
        <v>114</v>
      </c>
      <c r="AB38" t="s">
        <v>115</v>
      </c>
      <c r="AC38" t="s">
        <v>116</v>
      </c>
      <c r="AD38" t="s">
        <v>70</v>
      </c>
      <c r="AE38" t="s">
        <v>93</v>
      </c>
      <c r="AF38" t="s">
        <v>60</v>
      </c>
      <c r="AG38" t="s">
        <v>49</v>
      </c>
      <c r="AH38" t="s">
        <v>50</v>
      </c>
      <c r="AI38" t="s">
        <v>51</v>
      </c>
      <c r="AJ38" t="s">
        <v>51</v>
      </c>
      <c r="AK38" t="s">
        <v>52</v>
      </c>
    </row>
    <row r="39" spans="2:37" x14ac:dyDescent="0.3">
      <c r="Z39" t="s">
        <v>153</v>
      </c>
      <c r="AA39" t="s">
        <v>190</v>
      </c>
      <c r="AB39" t="s">
        <v>191</v>
      </c>
      <c r="AC39" t="s">
        <v>192</v>
      </c>
      <c r="AD39" t="s">
        <v>46</v>
      </c>
      <c r="AE39" t="s">
        <v>47</v>
      </c>
      <c r="AF39" t="s">
        <v>60</v>
      </c>
      <c r="AG39" t="s">
        <v>49</v>
      </c>
      <c r="AH39" t="s">
        <v>50</v>
      </c>
      <c r="AI39" t="s">
        <v>51</v>
      </c>
      <c r="AJ39" t="s">
        <v>51</v>
      </c>
      <c r="AK39" t="s">
        <v>134</v>
      </c>
    </row>
    <row r="40" spans="2:37" x14ac:dyDescent="0.3">
      <c r="E40">
        <v>0</v>
      </c>
      <c r="G40" t="e">
        <f>COUNTIF(#REF!,Estatisticas!F40)</f>
        <v>#REF!</v>
      </c>
      <c r="Z40" t="s">
        <v>109</v>
      </c>
      <c r="AA40" t="s">
        <v>118</v>
      </c>
      <c r="AB40" t="s">
        <v>119</v>
      </c>
      <c r="AC40" t="s">
        <v>120</v>
      </c>
      <c r="AD40" t="s">
        <v>70</v>
      </c>
      <c r="AE40" t="s">
        <v>121</v>
      </c>
      <c r="AF40" t="s">
        <v>60</v>
      </c>
      <c r="AG40" t="s">
        <v>49</v>
      </c>
      <c r="AH40" t="s">
        <v>50</v>
      </c>
      <c r="AI40" t="s">
        <v>51</v>
      </c>
      <c r="AJ40" t="s">
        <v>51</v>
      </c>
      <c r="AK40" t="s">
        <v>52</v>
      </c>
    </row>
    <row r="41" spans="2:37" x14ac:dyDescent="0.3">
      <c r="Z41" t="s">
        <v>195</v>
      </c>
      <c r="AA41" t="s">
        <v>205</v>
      </c>
      <c r="AB41" t="s">
        <v>206</v>
      </c>
      <c r="AC41" t="s">
        <v>207</v>
      </c>
      <c r="AD41" t="s">
        <v>46</v>
      </c>
      <c r="AE41" t="s">
        <v>139</v>
      </c>
      <c r="AF41" t="s">
        <v>60</v>
      </c>
      <c r="AG41" t="s">
        <v>49</v>
      </c>
      <c r="AH41" t="s">
        <v>50</v>
      </c>
      <c r="AI41" t="s">
        <v>51</v>
      </c>
      <c r="AJ41" t="s">
        <v>51</v>
      </c>
      <c r="AK41" t="s">
        <v>134</v>
      </c>
    </row>
    <row r="42" spans="2:37" x14ac:dyDescent="0.3">
      <c r="Z42" t="s">
        <v>195</v>
      </c>
      <c r="AA42" t="s">
        <v>201</v>
      </c>
      <c r="AB42" t="s">
        <v>202</v>
      </c>
      <c r="AC42" t="s">
        <v>203</v>
      </c>
      <c r="AD42" t="s">
        <v>46</v>
      </c>
      <c r="AE42" t="s">
        <v>71</v>
      </c>
      <c r="AF42" t="s">
        <v>48</v>
      </c>
      <c r="AG42" t="s">
        <v>49</v>
      </c>
      <c r="AH42" t="s">
        <v>50</v>
      </c>
      <c r="AI42" t="s">
        <v>51</v>
      </c>
      <c r="AJ42" t="s">
        <v>51</v>
      </c>
      <c r="AK42" t="s">
        <v>134</v>
      </c>
    </row>
    <row r="43" spans="2:37" x14ac:dyDescent="0.3">
      <c r="Z43" t="s">
        <v>210</v>
      </c>
      <c r="AA43" t="s">
        <v>242</v>
      </c>
      <c r="AB43" t="s">
        <v>243</v>
      </c>
      <c r="AC43" t="s">
        <v>244</v>
      </c>
      <c r="AD43" t="s">
        <v>46</v>
      </c>
      <c r="AE43" t="s">
        <v>139</v>
      </c>
      <c r="AF43" t="s">
        <v>60</v>
      </c>
      <c r="AG43" t="s">
        <v>49</v>
      </c>
      <c r="AH43" t="s">
        <v>50</v>
      </c>
      <c r="AI43" t="s">
        <v>51</v>
      </c>
      <c r="AJ43" t="s">
        <v>51</v>
      </c>
      <c r="AK43" t="s">
        <v>134</v>
      </c>
    </row>
    <row r="44" spans="2:37" x14ac:dyDescent="0.3">
      <c r="Z44" t="s">
        <v>210</v>
      </c>
      <c r="AA44" t="s">
        <v>247</v>
      </c>
      <c r="AB44" t="s">
        <v>248</v>
      </c>
      <c r="AC44" t="s">
        <v>249</v>
      </c>
      <c r="AD44" t="s">
        <v>46</v>
      </c>
      <c r="AE44" t="s">
        <v>133</v>
      </c>
      <c r="AF44" t="s">
        <v>60</v>
      </c>
      <c r="AG44" t="s">
        <v>49</v>
      </c>
      <c r="AH44" t="s">
        <v>50</v>
      </c>
      <c r="AI44" t="s">
        <v>51</v>
      </c>
      <c r="AJ44" t="s">
        <v>51</v>
      </c>
      <c r="AK44" t="s">
        <v>134</v>
      </c>
    </row>
    <row r="45" spans="2:37" x14ac:dyDescent="0.3">
      <c r="Z45" t="s">
        <v>109</v>
      </c>
      <c r="AA45" t="s">
        <v>126</v>
      </c>
      <c r="AB45" t="s">
        <v>127</v>
      </c>
      <c r="AC45" t="s">
        <v>128</v>
      </c>
      <c r="AD45" t="s">
        <v>70</v>
      </c>
      <c r="AE45" t="s">
        <v>59</v>
      </c>
      <c r="AF45" t="s">
        <v>60</v>
      </c>
      <c r="AG45" t="s">
        <v>49</v>
      </c>
      <c r="AH45" t="s">
        <v>50</v>
      </c>
      <c r="AI45" t="s">
        <v>51</v>
      </c>
      <c r="AJ45" t="s">
        <v>51</v>
      </c>
      <c r="AK45" t="s">
        <v>52</v>
      </c>
    </row>
    <row r="46" spans="2:37" x14ac:dyDescent="0.3">
      <c r="Z46" t="s">
        <v>153</v>
      </c>
      <c r="AA46" t="s">
        <v>154</v>
      </c>
      <c r="AB46" t="s">
        <v>155</v>
      </c>
      <c r="AC46" t="s">
        <v>156</v>
      </c>
      <c r="AD46" t="s">
        <v>46</v>
      </c>
      <c r="AE46" t="s">
        <v>65</v>
      </c>
      <c r="AF46" t="s">
        <v>48</v>
      </c>
      <c r="AG46" t="s">
        <v>49</v>
      </c>
      <c r="AH46" t="s">
        <v>50</v>
      </c>
      <c r="AI46" t="s">
        <v>51</v>
      </c>
      <c r="AJ46" t="s">
        <v>51</v>
      </c>
      <c r="AK46" t="s">
        <v>52</v>
      </c>
    </row>
    <row r="47" spans="2:37" x14ac:dyDescent="0.3">
      <c r="Z47" t="s">
        <v>153</v>
      </c>
      <c r="AA47" t="s">
        <v>159</v>
      </c>
      <c r="AB47" t="s">
        <v>160</v>
      </c>
      <c r="AC47" t="s">
        <v>161</v>
      </c>
      <c r="AD47" t="s">
        <v>46</v>
      </c>
      <c r="AE47" t="s">
        <v>162</v>
      </c>
      <c r="AF47" t="s">
        <v>48</v>
      </c>
      <c r="AG47" t="s">
        <v>76</v>
      </c>
      <c r="AH47" t="s">
        <v>50</v>
      </c>
      <c r="AI47" t="s">
        <v>51</v>
      </c>
      <c r="AJ47" t="s">
        <v>51</v>
      </c>
      <c r="AK47" t="s">
        <v>52</v>
      </c>
    </row>
    <row r="48" spans="2:37" x14ac:dyDescent="0.3">
      <c r="Z48" t="s">
        <v>153</v>
      </c>
      <c r="AA48" t="s">
        <v>165</v>
      </c>
      <c r="AB48" t="s">
        <v>166</v>
      </c>
      <c r="AC48" t="s">
        <v>167</v>
      </c>
      <c r="AD48" t="s">
        <v>46</v>
      </c>
      <c r="AE48" t="s">
        <v>65</v>
      </c>
      <c r="AF48" t="s">
        <v>60</v>
      </c>
      <c r="AG48" t="s">
        <v>49</v>
      </c>
      <c r="AH48" t="s">
        <v>50</v>
      </c>
      <c r="AI48" t="s">
        <v>51</v>
      </c>
      <c r="AJ48" t="s">
        <v>51</v>
      </c>
      <c r="AK48" t="s">
        <v>52</v>
      </c>
    </row>
    <row r="49" spans="14:37" x14ac:dyDescent="0.3">
      <c r="Z49" t="s">
        <v>210</v>
      </c>
      <c r="AA49" t="s">
        <v>261</v>
      </c>
      <c r="AB49" t="s">
        <v>262</v>
      </c>
      <c r="AC49" t="s">
        <v>263</v>
      </c>
      <c r="AD49" t="s">
        <v>46</v>
      </c>
      <c r="AE49" t="s">
        <v>107</v>
      </c>
      <c r="AF49" t="s">
        <v>60</v>
      </c>
      <c r="AG49" t="s">
        <v>49</v>
      </c>
      <c r="AH49" t="s">
        <v>50</v>
      </c>
      <c r="AI49" t="s">
        <v>51</v>
      </c>
      <c r="AJ49" t="s">
        <v>51</v>
      </c>
      <c r="AK49" t="s">
        <v>134</v>
      </c>
    </row>
    <row r="50" spans="14:37" x14ac:dyDescent="0.3">
      <c r="Z50" t="s">
        <v>210</v>
      </c>
      <c r="AA50" t="s">
        <v>252</v>
      </c>
      <c r="AB50" t="s">
        <v>253</v>
      </c>
      <c r="AC50" t="s">
        <v>254</v>
      </c>
      <c r="AD50" t="s">
        <v>46</v>
      </c>
      <c r="AE50" t="s">
        <v>71</v>
      </c>
      <c r="AF50" t="s">
        <v>60</v>
      </c>
      <c r="AG50" t="s">
        <v>49</v>
      </c>
      <c r="AH50" t="s">
        <v>50</v>
      </c>
      <c r="AI50" t="s">
        <v>51</v>
      </c>
      <c r="AJ50" t="s">
        <v>51</v>
      </c>
      <c r="AK50" t="s">
        <v>134</v>
      </c>
    </row>
    <row r="51" spans="14:37" x14ac:dyDescent="0.3">
      <c r="Z51" t="s">
        <v>153</v>
      </c>
      <c r="AA51" t="s">
        <v>170</v>
      </c>
      <c r="AB51" t="s">
        <v>171</v>
      </c>
      <c r="AC51" t="s">
        <v>172</v>
      </c>
      <c r="AD51" t="s">
        <v>46</v>
      </c>
      <c r="AE51" t="s">
        <v>107</v>
      </c>
      <c r="AF51" t="s">
        <v>60</v>
      </c>
      <c r="AG51" t="s">
        <v>49</v>
      </c>
      <c r="AH51" t="s">
        <v>50</v>
      </c>
      <c r="AI51" t="s">
        <v>51</v>
      </c>
      <c r="AJ51" t="s">
        <v>51</v>
      </c>
      <c r="AK51" t="s">
        <v>52</v>
      </c>
    </row>
    <row r="52" spans="14:37" x14ac:dyDescent="0.3">
      <c r="Z52" t="s">
        <v>195</v>
      </c>
      <c r="AA52" t="s">
        <v>196</v>
      </c>
      <c r="AB52" t="s">
        <v>197</v>
      </c>
      <c r="AC52" t="s">
        <v>198</v>
      </c>
      <c r="AD52" t="s">
        <v>46</v>
      </c>
      <c r="AE52" t="s">
        <v>107</v>
      </c>
      <c r="AF52" t="s">
        <v>60</v>
      </c>
      <c r="AG52" t="s">
        <v>49</v>
      </c>
      <c r="AH52" t="s">
        <v>50</v>
      </c>
      <c r="AI52" t="s">
        <v>51</v>
      </c>
      <c r="AJ52" t="s">
        <v>51</v>
      </c>
      <c r="AK52" t="s">
        <v>52</v>
      </c>
    </row>
    <row r="53" spans="14:37" x14ac:dyDescent="0.3">
      <c r="Z53" t="s">
        <v>210</v>
      </c>
      <c r="AA53" t="s">
        <v>257</v>
      </c>
      <c r="AB53" t="s">
        <v>258</v>
      </c>
      <c r="AC53" t="s">
        <v>259</v>
      </c>
      <c r="AD53" t="s">
        <v>46</v>
      </c>
      <c r="AE53" t="s">
        <v>47</v>
      </c>
      <c r="AF53" t="s">
        <v>48</v>
      </c>
      <c r="AG53" t="s">
        <v>76</v>
      </c>
      <c r="AH53" t="s">
        <v>50</v>
      </c>
      <c r="AI53" t="s">
        <v>51</v>
      </c>
      <c r="AJ53" t="s">
        <v>51</v>
      </c>
      <c r="AK53" t="s">
        <v>134</v>
      </c>
    </row>
    <row r="54" spans="14:37" x14ac:dyDescent="0.3">
      <c r="Z54" t="s">
        <v>210</v>
      </c>
      <c r="AA54" t="s">
        <v>266</v>
      </c>
      <c r="AB54" t="s">
        <v>267</v>
      </c>
      <c r="AC54" t="s">
        <v>268</v>
      </c>
      <c r="AD54" t="s">
        <v>46</v>
      </c>
      <c r="AE54" t="s">
        <v>47</v>
      </c>
      <c r="AF54" t="s">
        <v>60</v>
      </c>
      <c r="AG54" t="s">
        <v>49</v>
      </c>
      <c r="AH54" t="s">
        <v>50</v>
      </c>
      <c r="AI54" t="s">
        <v>51</v>
      </c>
      <c r="AJ54" t="s">
        <v>51</v>
      </c>
      <c r="AK54" t="s">
        <v>134</v>
      </c>
    </row>
    <row r="55" spans="14:37" x14ac:dyDescent="0.3">
      <c r="Z55" t="s">
        <v>210</v>
      </c>
      <c r="AA55" t="s">
        <v>271</v>
      </c>
      <c r="AB55" t="s">
        <v>272</v>
      </c>
      <c r="AC55" t="s">
        <v>273</v>
      </c>
      <c r="AD55" t="s">
        <v>70</v>
      </c>
      <c r="AE55" t="s">
        <v>93</v>
      </c>
      <c r="AF55" t="s">
        <v>60</v>
      </c>
      <c r="AG55" t="s">
        <v>49</v>
      </c>
      <c r="AH55" t="s">
        <v>50</v>
      </c>
      <c r="AI55" t="s">
        <v>51</v>
      </c>
      <c r="AJ55" t="s">
        <v>51</v>
      </c>
      <c r="AK55" t="s">
        <v>134</v>
      </c>
    </row>
    <row r="56" spans="14:37" x14ac:dyDescent="0.3">
      <c r="Z56" t="s">
        <v>275</v>
      </c>
      <c r="AA56" t="s">
        <v>288</v>
      </c>
      <c r="AB56" t="s">
        <v>289</v>
      </c>
      <c r="AC56" t="s">
        <v>290</v>
      </c>
      <c r="AD56" t="s">
        <v>46</v>
      </c>
      <c r="AE56" t="s">
        <v>65</v>
      </c>
      <c r="AF56" t="s">
        <v>60</v>
      </c>
      <c r="AG56" t="s">
        <v>49</v>
      </c>
      <c r="AH56" t="s">
        <v>50</v>
      </c>
      <c r="AI56" t="s">
        <v>51</v>
      </c>
      <c r="AJ56" t="s">
        <v>51</v>
      </c>
      <c r="AK56" t="s">
        <v>134</v>
      </c>
    </row>
    <row r="57" spans="14:37" x14ac:dyDescent="0.3">
      <c r="Z57" t="s">
        <v>275</v>
      </c>
      <c r="AA57" t="s">
        <v>292</v>
      </c>
      <c r="AB57" t="s">
        <v>293</v>
      </c>
      <c r="AC57" t="s">
        <v>294</v>
      </c>
      <c r="AD57" t="s">
        <v>46</v>
      </c>
      <c r="AE57" t="s">
        <v>107</v>
      </c>
      <c r="AF57" t="s">
        <v>60</v>
      </c>
      <c r="AG57" t="s">
        <v>49</v>
      </c>
      <c r="AH57" t="s">
        <v>50</v>
      </c>
      <c r="AI57" t="s">
        <v>51</v>
      </c>
      <c r="AJ57" t="s">
        <v>51</v>
      </c>
      <c r="AK57" t="s">
        <v>134</v>
      </c>
    </row>
    <row r="58" spans="14:37" x14ac:dyDescent="0.3">
      <c r="Z58" t="s">
        <v>275</v>
      </c>
      <c r="AA58" t="s">
        <v>297</v>
      </c>
      <c r="AB58" t="s">
        <v>298</v>
      </c>
      <c r="AC58" t="s">
        <v>299</v>
      </c>
      <c r="AD58" t="s">
        <v>46</v>
      </c>
      <c r="AE58" t="s">
        <v>133</v>
      </c>
      <c r="AF58" t="s">
        <v>60</v>
      </c>
      <c r="AG58" t="s">
        <v>49</v>
      </c>
      <c r="AH58" t="s">
        <v>50</v>
      </c>
      <c r="AI58" t="s">
        <v>51</v>
      </c>
      <c r="AJ58" t="s">
        <v>51</v>
      </c>
      <c r="AK58" t="s">
        <v>134</v>
      </c>
    </row>
    <row r="59" spans="14:37" x14ac:dyDescent="0.3">
      <c r="Z59" t="s">
        <v>275</v>
      </c>
      <c r="AA59" t="s">
        <v>302</v>
      </c>
      <c r="AB59" t="s">
        <v>303</v>
      </c>
      <c r="AC59" t="s">
        <v>304</v>
      </c>
      <c r="AD59" t="s">
        <v>46</v>
      </c>
      <c r="AE59" t="s">
        <v>75</v>
      </c>
      <c r="AF59" t="s">
        <v>60</v>
      </c>
      <c r="AG59" t="s">
        <v>49</v>
      </c>
      <c r="AH59" t="s">
        <v>50</v>
      </c>
      <c r="AI59" t="s">
        <v>51</v>
      </c>
      <c r="AJ59" t="s">
        <v>51</v>
      </c>
      <c r="AK59" t="s">
        <v>134</v>
      </c>
    </row>
    <row r="60" spans="14:37" x14ac:dyDescent="0.3">
      <c r="Z60" t="s">
        <v>275</v>
      </c>
      <c r="AA60" t="s">
        <v>306</v>
      </c>
      <c r="AB60" t="s">
        <v>307</v>
      </c>
      <c r="AC60" t="s">
        <v>308</v>
      </c>
      <c r="AD60" t="s">
        <v>46</v>
      </c>
      <c r="AE60" t="s">
        <v>139</v>
      </c>
      <c r="AF60" t="s">
        <v>60</v>
      </c>
      <c r="AG60" t="s">
        <v>49</v>
      </c>
      <c r="AH60" t="s">
        <v>50</v>
      </c>
      <c r="AI60" t="s">
        <v>51</v>
      </c>
      <c r="AJ60" t="s">
        <v>51</v>
      </c>
      <c r="AK60" t="s">
        <v>134</v>
      </c>
    </row>
    <row r="61" spans="14:37" x14ac:dyDescent="0.3">
      <c r="N61" s="22"/>
      <c r="Z61" t="s">
        <v>275</v>
      </c>
      <c r="AA61" t="s">
        <v>316</v>
      </c>
      <c r="AB61" t="s">
        <v>317</v>
      </c>
      <c r="AC61" t="s">
        <v>318</v>
      </c>
      <c r="AD61" t="s">
        <v>46</v>
      </c>
      <c r="AE61" t="s">
        <v>107</v>
      </c>
      <c r="AF61" t="s">
        <v>60</v>
      </c>
      <c r="AG61" t="s">
        <v>49</v>
      </c>
      <c r="AH61" t="s">
        <v>50</v>
      </c>
      <c r="AI61" t="s">
        <v>51</v>
      </c>
      <c r="AJ61" t="s">
        <v>51</v>
      </c>
      <c r="AK61" t="s">
        <v>134</v>
      </c>
    </row>
    <row r="62" spans="14:37" x14ac:dyDescent="0.3">
      <c r="N62" s="22"/>
      <c r="Z62" t="s">
        <v>210</v>
      </c>
      <c r="AA62" t="s">
        <v>211</v>
      </c>
      <c r="AB62" t="s">
        <v>212</v>
      </c>
      <c r="AC62" t="s">
        <v>213</v>
      </c>
      <c r="AD62" t="s">
        <v>46</v>
      </c>
      <c r="AE62" t="s">
        <v>75</v>
      </c>
      <c r="AF62" t="s">
        <v>60</v>
      </c>
      <c r="AG62" t="s">
        <v>49</v>
      </c>
      <c r="AH62" t="s">
        <v>50</v>
      </c>
      <c r="AI62" t="s">
        <v>51</v>
      </c>
      <c r="AJ62" t="s">
        <v>51</v>
      </c>
      <c r="AK62" t="s">
        <v>52</v>
      </c>
    </row>
    <row r="63" spans="14:37" x14ac:dyDescent="0.3">
      <c r="N63" s="22"/>
      <c r="Z63" t="s">
        <v>275</v>
      </c>
      <c r="AA63" t="s">
        <v>311</v>
      </c>
      <c r="AB63" t="s">
        <v>312</v>
      </c>
      <c r="AC63" t="s">
        <v>313</v>
      </c>
      <c r="AD63" t="s">
        <v>46</v>
      </c>
      <c r="AE63" t="s">
        <v>314</v>
      </c>
      <c r="AF63" t="s">
        <v>60</v>
      </c>
      <c r="AG63" t="s">
        <v>49</v>
      </c>
      <c r="AH63" t="s">
        <v>50</v>
      </c>
      <c r="AI63" t="s">
        <v>51</v>
      </c>
      <c r="AJ63" t="s">
        <v>51</v>
      </c>
      <c r="AK63" t="s">
        <v>134</v>
      </c>
    </row>
    <row r="64" spans="14:37" x14ac:dyDescent="0.3">
      <c r="N64" s="22"/>
      <c r="Z64" t="s">
        <v>210</v>
      </c>
      <c r="AA64" t="s">
        <v>221</v>
      </c>
      <c r="AB64" t="s">
        <v>222</v>
      </c>
      <c r="AC64" t="s">
        <v>223</v>
      </c>
      <c r="AD64" t="s">
        <v>46</v>
      </c>
      <c r="AE64" t="s">
        <v>224</v>
      </c>
      <c r="AF64" t="s">
        <v>60</v>
      </c>
      <c r="AG64" t="s">
        <v>49</v>
      </c>
      <c r="AH64" t="s">
        <v>50</v>
      </c>
      <c r="AI64" t="s">
        <v>51</v>
      </c>
      <c r="AJ64" t="s">
        <v>51</v>
      </c>
      <c r="AK64" t="s">
        <v>52</v>
      </c>
    </row>
    <row r="65" spans="14:37" x14ac:dyDescent="0.3">
      <c r="N65" s="22"/>
      <c r="Z65" t="s">
        <v>210</v>
      </c>
      <c r="AA65" t="s">
        <v>227</v>
      </c>
      <c r="AB65" t="s">
        <v>228</v>
      </c>
      <c r="AC65" t="s">
        <v>229</v>
      </c>
      <c r="AD65" t="s">
        <v>46</v>
      </c>
      <c r="AE65" t="s">
        <v>107</v>
      </c>
      <c r="AF65" t="s">
        <v>60</v>
      </c>
      <c r="AG65" t="s">
        <v>49</v>
      </c>
      <c r="AH65" t="s">
        <v>50</v>
      </c>
      <c r="AI65" t="s">
        <v>51</v>
      </c>
      <c r="AJ65" t="s">
        <v>51</v>
      </c>
      <c r="AK65" t="s">
        <v>52</v>
      </c>
    </row>
    <row r="66" spans="14:37" x14ac:dyDescent="0.3">
      <c r="N66" s="22"/>
      <c r="Z66" t="s">
        <v>210</v>
      </c>
      <c r="AA66" t="s">
        <v>232</v>
      </c>
      <c r="AB66" t="s">
        <v>233</v>
      </c>
      <c r="AC66" t="s">
        <v>234</v>
      </c>
      <c r="AD66" t="s">
        <v>46</v>
      </c>
      <c r="AE66" t="s">
        <v>93</v>
      </c>
      <c r="AF66" t="s">
        <v>48</v>
      </c>
      <c r="AG66" t="s">
        <v>76</v>
      </c>
      <c r="AH66" t="s">
        <v>50</v>
      </c>
      <c r="AI66" t="s">
        <v>51</v>
      </c>
      <c r="AJ66" t="s">
        <v>51</v>
      </c>
      <c r="AK66" t="s">
        <v>52</v>
      </c>
    </row>
    <row r="67" spans="14:37" x14ac:dyDescent="0.3">
      <c r="N67" s="22"/>
      <c r="Z67" t="s">
        <v>275</v>
      </c>
      <c r="AA67" t="s">
        <v>326</v>
      </c>
      <c r="AB67" t="s">
        <v>327</v>
      </c>
      <c r="AC67" t="s">
        <v>328</v>
      </c>
      <c r="AD67" t="s">
        <v>46</v>
      </c>
      <c r="AE67" t="s">
        <v>65</v>
      </c>
      <c r="AF67" t="s">
        <v>60</v>
      </c>
      <c r="AG67" t="s">
        <v>49</v>
      </c>
      <c r="AH67" t="s">
        <v>50</v>
      </c>
      <c r="AI67" t="s">
        <v>51</v>
      </c>
      <c r="AJ67" t="s">
        <v>54</v>
      </c>
      <c r="AK67" t="s">
        <v>134</v>
      </c>
    </row>
    <row r="68" spans="14:37" x14ac:dyDescent="0.3">
      <c r="Z68" t="s">
        <v>330</v>
      </c>
      <c r="AA68" t="s">
        <v>370</v>
      </c>
      <c r="AB68" t="s">
        <v>371</v>
      </c>
      <c r="AC68" t="s">
        <v>372</v>
      </c>
      <c r="AD68" t="s">
        <v>46</v>
      </c>
      <c r="AE68" t="s">
        <v>71</v>
      </c>
      <c r="AF68" t="s">
        <v>60</v>
      </c>
      <c r="AG68" t="s">
        <v>49</v>
      </c>
      <c r="AH68" t="s">
        <v>373</v>
      </c>
      <c r="AI68" t="s">
        <v>54</v>
      </c>
      <c r="AJ68" t="s">
        <v>51</v>
      </c>
      <c r="AK68" t="s">
        <v>134</v>
      </c>
    </row>
    <row r="69" spans="14:37" x14ac:dyDescent="0.3">
      <c r="Z69" t="s">
        <v>330</v>
      </c>
      <c r="AA69" t="s">
        <v>392</v>
      </c>
      <c r="AB69" t="s">
        <v>393</v>
      </c>
      <c r="AC69" t="s">
        <v>394</v>
      </c>
      <c r="AD69" t="s">
        <v>46</v>
      </c>
      <c r="AE69" t="s">
        <v>71</v>
      </c>
      <c r="AF69" t="s">
        <v>60</v>
      </c>
      <c r="AG69" t="s">
        <v>49</v>
      </c>
      <c r="AH69" t="s">
        <v>50</v>
      </c>
      <c r="AI69" t="s">
        <v>51</v>
      </c>
      <c r="AJ69" t="s">
        <v>54</v>
      </c>
      <c r="AK69" t="s">
        <v>134</v>
      </c>
    </row>
    <row r="70" spans="14:37" x14ac:dyDescent="0.3">
      <c r="Z70" t="s">
        <v>330</v>
      </c>
      <c r="AA70" t="s">
        <v>383</v>
      </c>
      <c r="AB70" t="s">
        <v>384</v>
      </c>
      <c r="AC70" t="s">
        <v>385</v>
      </c>
      <c r="AD70" t="s">
        <v>46</v>
      </c>
      <c r="AE70" t="s">
        <v>71</v>
      </c>
      <c r="AF70" t="s">
        <v>60</v>
      </c>
      <c r="AG70" t="s">
        <v>49</v>
      </c>
      <c r="AH70" t="s">
        <v>50</v>
      </c>
      <c r="AI70" t="s">
        <v>51</v>
      </c>
      <c r="AJ70" t="s">
        <v>54</v>
      </c>
      <c r="AK70" t="s">
        <v>134</v>
      </c>
    </row>
    <row r="71" spans="14:37" x14ac:dyDescent="0.3">
      <c r="N71" s="22"/>
      <c r="Z71" t="s">
        <v>330</v>
      </c>
      <c r="AA71" t="s">
        <v>379</v>
      </c>
      <c r="AB71" t="s">
        <v>380</v>
      </c>
      <c r="AC71" t="s">
        <v>381</v>
      </c>
      <c r="AD71" t="s">
        <v>46</v>
      </c>
      <c r="AE71" t="s">
        <v>71</v>
      </c>
      <c r="AF71" t="s">
        <v>60</v>
      </c>
      <c r="AG71" t="s">
        <v>49</v>
      </c>
      <c r="AH71" t="s">
        <v>50</v>
      </c>
      <c r="AI71" t="s">
        <v>51</v>
      </c>
      <c r="AJ71" t="s">
        <v>54</v>
      </c>
      <c r="AK71" t="s">
        <v>134</v>
      </c>
    </row>
    <row r="72" spans="14:37" x14ac:dyDescent="0.3">
      <c r="Z72" t="s">
        <v>330</v>
      </c>
      <c r="AA72" t="s">
        <v>389</v>
      </c>
      <c r="AB72" t="s">
        <v>389</v>
      </c>
      <c r="AC72" t="s">
        <v>390</v>
      </c>
      <c r="AD72" t="s">
        <v>46</v>
      </c>
      <c r="AE72" t="s">
        <v>71</v>
      </c>
      <c r="AF72" t="s">
        <v>60</v>
      </c>
      <c r="AG72" t="s">
        <v>49</v>
      </c>
      <c r="AH72" t="s">
        <v>50</v>
      </c>
      <c r="AI72" t="s">
        <v>51</v>
      </c>
      <c r="AJ72" t="s">
        <v>54</v>
      </c>
      <c r="AK72" t="s">
        <v>134</v>
      </c>
    </row>
    <row r="73" spans="14:37" x14ac:dyDescent="0.3">
      <c r="Z73" t="s">
        <v>330</v>
      </c>
      <c r="AA73" t="s">
        <v>402</v>
      </c>
      <c r="AB73" t="s">
        <v>403</v>
      </c>
      <c r="AC73" t="s">
        <v>404</v>
      </c>
      <c r="AD73" t="s">
        <v>46</v>
      </c>
      <c r="AE73" t="s">
        <v>75</v>
      </c>
      <c r="AF73" t="s">
        <v>60</v>
      </c>
      <c r="AG73" t="s">
        <v>49</v>
      </c>
      <c r="AH73" t="s">
        <v>50</v>
      </c>
      <c r="AI73" t="s">
        <v>51</v>
      </c>
      <c r="AJ73" t="s">
        <v>51</v>
      </c>
      <c r="AK73" t="s">
        <v>134</v>
      </c>
    </row>
    <row r="74" spans="14:37" x14ac:dyDescent="0.3">
      <c r="Z74" t="s">
        <v>210</v>
      </c>
      <c r="AA74" t="s">
        <v>216</v>
      </c>
      <c r="AB74" t="s">
        <v>217</v>
      </c>
      <c r="AC74" t="s">
        <v>218</v>
      </c>
      <c r="AD74" t="s">
        <v>46</v>
      </c>
      <c r="AE74" t="s">
        <v>65</v>
      </c>
      <c r="AF74" t="s">
        <v>48</v>
      </c>
      <c r="AG74" t="s">
        <v>49</v>
      </c>
      <c r="AH74" t="s">
        <v>50</v>
      </c>
      <c r="AI74" t="s">
        <v>51</v>
      </c>
      <c r="AJ74" t="s">
        <v>51</v>
      </c>
      <c r="AK74" t="s">
        <v>52</v>
      </c>
    </row>
    <row r="75" spans="14:37" x14ac:dyDescent="0.3">
      <c r="Z75" t="s">
        <v>330</v>
      </c>
      <c r="AA75" t="s">
        <v>397</v>
      </c>
      <c r="AB75" t="s">
        <v>398</v>
      </c>
      <c r="AC75" t="s">
        <v>399</v>
      </c>
      <c r="AD75" t="s">
        <v>46</v>
      </c>
      <c r="AE75" t="s">
        <v>107</v>
      </c>
      <c r="AF75" t="s">
        <v>60</v>
      </c>
      <c r="AG75" t="s">
        <v>49</v>
      </c>
      <c r="AH75" t="s">
        <v>50</v>
      </c>
      <c r="AI75" t="s">
        <v>51</v>
      </c>
      <c r="AJ75" t="s">
        <v>51</v>
      </c>
      <c r="AK75" t="s">
        <v>134</v>
      </c>
    </row>
    <row r="76" spans="14:37" x14ac:dyDescent="0.3">
      <c r="Z76" t="s">
        <v>330</v>
      </c>
      <c r="AA76" t="s">
        <v>406</v>
      </c>
      <c r="AB76" t="s">
        <v>407</v>
      </c>
      <c r="AC76" t="s">
        <v>408</v>
      </c>
      <c r="AD76" t="s">
        <v>46</v>
      </c>
      <c r="AE76" t="s">
        <v>409</v>
      </c>
      <c r="AF76" t="s">
        <v>60</v>
      </c>
      <c r="AG76" t="s">
        <v>49</v>
      </c>
      <c r="AH76" t="s">
        <v>373</v>
      </c>
      <c r="AI76" t="s">
        <v>54</v>
      </c>
      <c r="AJ76" t="s">
        <v>51</v>
      </c>
      <c r="AK76" t="s">
        <v>134</v>
      </c>
    </row>
    <row r="77" spans="14:37" x14ac:dyDescent="0.3">
      <c r="Z77" t="s">
        <v>330</v>
      </c>
      <c r="AA77" t="s">
        <v>424</v>
      </c>
      <c r="AB77" t="s">
        <v>425</v>
      </c>
      <c r="AC77" t="s">
        <v>426</v>
      </c>
      <c r="AD77" t="s">
        <v>46</v>
      </c>
      <c r="AE77" t="s">
        <v>139</v>
      </c>
      <c r="AF77" t="s">
        <v>60</v>
      </c>
      <c r="AG77" t="s">
        <v>49</v>
      </c>
      <c r="AH77" t="s">
        <v>50</v>
      </c>
      <c r="AI77" t="s">
        <v>51</v>
      </c>
      <c r="AJ77" t="s">
        <v>51</v>
      </c>
      <c r="AK77" t="s">
        <v>134</v>
      </c>
    </row>
    <row r="78" spans="14:37" x14ac:dyDescent="0.3">
      <c r="Z78" t="s">
        <v>330</v>
      </c>
      <c r="AA78" t="s">
        <v>420</v>
      </c>
      <c r="AB78" t="s">
        <v>421</v>
      </c>
      <c r="AC78" t="s">
        <v>422</v>
      </c>
      <c r="AD78" t="s">
        <v>46</v>
      </c>
      <c r="AE78" t="s">
        <v>409</v>
      </c>
      <c r="AF78" t="s">
        <v>60</v>
      </c>
      <c r="AG78" t="s">
        <v>49</v>
      </c>
      <c r="AH78" t="s">
        <v>50</v>
      </c>
      <c r="AI78" t="s">
        <v>51</v>
      </c>
      <c r="AJ78" t="s">
        <v>54</v>
      </c>
      <c r="AK78" t="s">
        <v>134</v>
      </c>
    </row>
    <row r="79" spans="14:37" x14ac:dyDescent="0.3">
      <c r="Z79" t="s">
        <v>330</v>
      </c>
      <c r="AA79" t="s">
        <v>412</v>
      </c>
      <c r="AB79" t="s">
        <v>413</v>
      </c>
      <c r="AC79" t="s">
        <v>414</v>
      </c>
      <c r="AD79" t="s">
        <v>46</v>
      </c>
      <c r="AE79" t="s">
        <v>409</v>
      </c>
      <c r="AF79" t="s">
        <v>60</v>
      </c>
      <c r="AG79" t="s">
        <v>49</v>
      </c>
      <c r="AH79" t="s">
        <v>50</v>
      </c>
      <c r="AI79" t="s">
        <v>51</v>
      </c>
      <c r="AJ79" t="s">
        <v>54</v>
      </c>
      <c r="AK79" t="s">
        <v>134</v>
      </c>
    </row>
    <row r="80" spans="14:37" x14ac:dyDescent="0.3">
      <c r="Z80" t="s">
        <v>330</v>
      </c>
      <c r="AA80" t="s">
        <v>416</v>
      </c>
      <c r="AB80" t="s">
        <v>417</v>
      </c>
      <c r="AC80" t="s">
        <v>418</v>
      </c>
      <c r="AD80" t="s">
        <v>46</v>
      </c>
      <c r="AE80" t="s">
        <v>409</v>
      </c>
      <c r="AF80" t="s">
        <v>60</v>
      </c>
      <c r="AG80" t="s">
        <v>49</v>
      </c>
      <c r="AH80" t="s">
        <v>50</v>
      </c>
      <c r="AI80" t="s">
        <v>51</v>
      </c>
      <c r="AJ80" t="s">
        <v>54</v>
      </c>
      <c r="AK80" t="s">
        <v>134</v>
      </c>
    </row>
    <row r="81" spans="26:37" x14ac:dyDescent="0.3">
      <c r="Z81" t="s">
        <v>330</v>
      </c>
      <c r="AA81" t="s">
        <v>427</v>
      </c>
      <c r="AB81" t="s">
        <v>428</v>
      </c>
      <c r="AC81" t="s">
        <v>429</v>
      </c>
      <c r="AD81" t="s">
        <v>46</v>
      </c>
      <c r="AE81" t="s">
        <v>409</v>
      </c>
      <c r="AF81" t="s">
        <v>60</v>
      </c>
      <c r="AG81" t="s">
        <v>49</v>
      </c>
      <c r="AH81" t="s">
        <v>50</v>
      </c>
      <c r="AI81" t="s">
        <v>51</v>
      </c>
      <c r="AJ81" t="s">
        <v>54</v>
      </c>
      <c r="AK81" t="s">
        <v>134</v>
      </c>
    </row>
    <row r="82" spans="26:37" x14ac:dyDescent="0.3">
      <c r="Z82" t="s">
        <v>210</v>
      </c>
      <c r="AA82" t="s">
        <v>237</v>
      </c>
      <c r="AB82" t="s">
        <v>238</v>
      </c>
      <c r="AC82" t="s">
        <v>239</v>
      </c>
      <c r="AD82" t="s">
        <v>46</v>
      </c>
      <c r="AE82" t="s">
        <v>240</v>
      </c>
      <c r="AF82" t="s">
        <v>48</v>
      </c>
      <c r="AG82" t="s">
        <v>49</v>
      </c>
      <c r="AH82" t="s">
        <v>50</v>
      </c>
      <c r="AI82" t="s">
        <v>51</v>
      </c>
      <c r="AJ82" t="s">
        <v>51</v>
      </c>
      <c r="AK82" t="s">
        <v>52</v>
      </c>
    </row>
    <row r="83" spans="26:37" x14ac:dyDescent="0.3">
      <c r="Z83" t="s">
        <v>275</v>
      </c>
      <c r="AA83" t="s">
        <v>276</v>
      </c>
      <c r="AB83" t="s">
        <v>91</v>
      </c>
      <c r="AC83" t="s">
        <v>277</v>
      </c>
      <c r="AD83" t="s">
        <v>70</v>
      </c>
      <c r="AE83" t="s">
        <v>93</v>
      </c>
      <c r="AF83" t="s">
        <v>60</v>
      </c>
      <c r="AG83" t="s">
        <v>49</v>
      </c>
      <c r="AH83" t="s">
        <v>50</v>
      </c>
      <c r="AI83" t="s">
        <v>51</v>
      </c>
      <c r="AJ83" t="s">
        <v>51</v>
      </c>
      <c r="AK83" t="s">
        <v>52</v>
      </c>
    </row>
    <row r="84" spans="26:37" x14ac:dyDescent="0.3">
      <c r="Z84" t="s">
        <v>275</v>
      </c>
      <c r="AA84" t="s">
        <v>279</v>
      </c>
      <c r="AB84" t="s">
        <v>280</v>
      </c>
      <c r="AC84" t="s">
        <v>281</v>
      </c>
      <c r="AD84" t="s">
        <v>46</v>
      </c>
      <c r="AE84" t="s">
        <v>102</v>
      </c>
      <c r="AF84" t="s">
        <v>48</v>
      </c>
      <c r="AG84" t="s">
        <v>76</v>
      </c>
      <c r="AH84" t="s">
        <v>50</v>
      </c>
      <c r="AI84" t="s">
        <v>51</v>
      </c>
      <c r="AJ84" t="s">
        <v>51</v>
      </c>
      <c r="AK84" t="s">
        <v>52</v>
      </c>
    </row>
    <row r="85" spans="26:37" x14ac:dyDescent="0.3">
      <c r="Z85" t="s">
        <v>275</v>
      </c>
      <c r="AA85" t="s">
        <v>283</v>
      </c>
      <c r="AB85" t="s">
        <v>284</v>
      </c>
      <c r="AC85" t="s">
        <v>285</v>
      </c>
      <c r="AD85" t="s">
        <v>46</v>
      </c>
      <c r="AE85" t="s">
        <v>47</v>
      </c>
      <c r="AF85" t="s">
        <v>48</v>
      </c>
      <c r="AG85" t="s">
        <v>49</v>
      </c>
      <c r="AH85" t="s">
        <v>50</v>
      </c>
      <c r="AI85" t="s">
        <v>51</v>
      </c>
      <c r="AJ85" t="s">
        <v>51</v>
      </c>
      <c r="AK85" t="s">
        <v>52</v>
      </c>
    </row>
    <row r="86" spans="26:37" x14ac:dyDescent="0.3">
      <c r="Z86" t="s">
        <v>330</v>
      </c>
      <c r="AA86" t="s">
        <v>431</v>
      </c>
      <c r="AB86" t="s">
        <v>431</v>
      </c>
      <c r="AC86" t="s">
        <v>432</v>
      </c>
      <c r="AD86" t="s">
        <v>70</v>
      </c>
      <c r="AE86" t="s">
        <v>65</v>
      </c>
      <c r="AF86" t="s">
        <v>60</v>
      </c>
      <c r="AG86" t="s">
        <v>49</v>
      </c>
      <c r="AH86" t="s">
        <v>50</v>
      </c>
      <c r="AI86" t="s">
        <v>51</v>
      </c>
      <c r="AJ86" t="s">
        <v>51</v>
      </c>
      <c r="AK86" t="s">
        <v>134</v>
      </c>
    </row>
    <row r="87" spans="26:37" x14ac:dyDescent="0.3">
      <c r="Z87" t="s">
        <v>330</v>
      </c>
      <c r="AA87" t="s">
        <v>331</v>
      </c>
      <c r="AB87" t="s">
        <v>332</v>
      </c>
      <c r="AC87" t="s">
        <v>333</v>
      </c>
      <c r="AD87" t="s">
        <v>46</v>
      </c>
      <c r="AE87" t="s">
        <v>133</v>
      </c>
      <c r="AF87" t="s">
        <v>48</v>
      </c>
      <c r="AG87" t="s">
        <v>49</v>
      </c>
      <c r="AH87" t="s">
        <v>50</v>
      </c>
      <c r="AI87" t="s">
        <v>51</v>
      </c>
      <c r="AJ87" t="s">
        <v>54</v>
      </c>
      <c r="AK87" t="s">
        <v>52</v>
      </c>
    </row>
    <row r="88" spans="26:37" x14ac:dyDescent="0.3">
      <c r="Z88" t="s">
        <v>330</v>
      </c>
      <c r="AA88" t="s">
        <v>334</v>
      </c>
      <c r="AB88" t="s">
        <v>335</v>
      </c>
      <c r="AC88" t="s">
        <v>336</v>
      </c>
      <c r="AD88" t="s">
        <v>46</v>
      </c>
      <c r="AE88" t="s">
        <v>93</v>
      </c>
      <c r="AF88" t="s">
        <v>48</v>
      </c>
      <c r="AG88" t="s">
        <v>76</v>
      </c>
      <c r="AH88" t="s">
        <v>50</v>
      </c>
      <c r="AI88" t="s">
        <v>51</v>
      </c>
      <c r="AJ88" t="s">
        <v>51</v>
      </c>
      <c r="AK88" t="s">
        <v>52</v>
      </c>
    </row>
    <row r="89" spans="26:37" x14ac:dyDescent="0.3">
      <c r="Z89" t="s">
        <v>330</v>
      </c>
      <c r="AA89" t="s">
        <v>434</v>
      </c>
      <c r="AB89" t="s">
        <v>435</v>
      </c>
      <c r="AC89" t="s">
        <v>436</v>
      </c>
      <c r="AD89" t="s">
        <v>46</v>
      </c>
      <c r="AE89" t="s">
        <v>93</v>
      </c>
      <c r="AF89" t="s">
        <v>48</v>
      </c>
      <c r="AG89" t="s">
        <v>49</v>
      </c>
      <c r="AH89" t="s">
        <v>50</v>
      </c>
      <c r="AI89" t="s">
        <v>51</v>
      </c>
      <c r="AJ89" t="s">
        <v>51</v>
      </c>
      <c r="AK89" t="s">
        <v>134</v>
      </c>
    </row>
    <row r="90" spans="26:37" x14ac:dyDescent="0.3">
      <c r="Z90" t="s">
        <v>330</v>
      </c>
      <c r="AA90" t="s">
        <v>376</v>
      </c>
      <c r="AB90" t="s">
        <v>377</v>
      </c>
      <c r="AC90" t="s">
        <v>378</v>
      </c>
      <c r="AD90" t="s">
        <v>46</v>
      </c>
      <c r="AE90" t="s">
        <v>71</v>
      </c>
      <c r="AF90" t="s">
        <v>60</v>
      </c>
      <c r="AG90" t="s">
        <v>49</v>
      </c>
      <c r="AH90" t="s">
        <v>50</v>
      </c>
      <c r="AI90" t="s">
        <v>51</v>
      </c>
      <c r="AJ90" t="s">
        <v>54</v>
      </c>
      <c r="AK90" t="s">
        <v>134</v>
      </c>
    </row>
    <row r="91" spans="26:37" x14ac:dyDescent="0.3">
      <c r="Z91" t="s">
        <v>330</v>
      </c>
      <c r="AA91" t="s">
        <v>365</v>
      </c>
      <c r="AB91" t="s">
        <v>366</v>
      </c>
      <c r="AC91" t="s">
        <v>367</v>
      </c>
      <c r="AD91" t="s">
        <v>46</v>
      </c>
      <c r="AE91" t="s">
        <v>65</v>
      </c>
      <c r="AF91" t="s">
        <v>48</v>
      </c>
      <c r="AG91" t="s">
        <v>49</v>
      </c>
      <c r="AH91" t="s">
        <v>50</v>
      </c>
      <c r="AI91" t="s">
        <v>51</v>
      </c>
      <c r="AJ91" t="s">
        <v>54</v>
      </c>
      <c r="AK91" t="s">
        <v>134</v>
      </c>
    </row>
    <row r="92" spans="26:37" x14ac:dyDescent="0.3">
      <c r="Z92" t="s">
        <v>330</v>
      </c>
      <c r="AA92" t="s">
        <v>343</v>
      </c>
      <c r="AB92" t="s">
        <v>344</v>
      </c>
      <c r="AC92" t="s">
        <v>345</v>
      </c>
      <c r="AD92" t="s">
        <v>46</v>
      </c>
      <c r="AE92" t="s">
        <v>65</v>
      </c>
      <c r="AF92" t="s">
        <v>60</v>
      </c>
      <c r="AG92" t="s">
        <v>49</v>
      </c>
      <c r="AH92" t="s">
        <v>50</v>
      </c>
      <c r="AI92" t="s">
        <v>51</v>
      </c>
      <c r="AJ92" t="s">
        <v>54</v>
      </c>
      <c r="AK92" t="s">
        <v>52</v>
      </c>
    </row>
    <row r="93" spans="26:37" x14ac:dyDescent="0.3">
      <c r="Z93" t="s">
        <v>330</v>
      </c>
      <c r="AA93" t="s">
        <v>386</v>
      </c>
      <c r="AB93" t="s">
        <v>387</v>
      </c>
      <c r="AC93" t="s">
        <v>388</v>
      </c>
      <c r="AD93" t="s">
        <v>46</v>
      </c>
      <c r="AE93" t="s">
        <v>71</v>
      </c>
      <c r="AF93" t="s">
        <v>48</v>
      </c>
      <c r="AG93" t="s">
        <v>49</v>
      </c>
      <c r="AH93" t="s">
        <v>50</v>
      </c>
      <c r="AI93" t="s">
        <v>51</v>
      </c>
      <c r="AJ93" t="s">
        <v>54</v>
      </c>
      <c r="AK93" t="s">
        <v>134</v>
      </c>
    </row>
    <row r="94" spans="26:37" x14ac:dyDescent="0.3">
      <c r="Z94" t="s">
        <v>439</v>
      </c>
      <c r="AA94" t="s">
        <v>440</v>
      </c>
      <c r="AB94" t="s">
        <v>303</v>
      </c>
      <c r="AC94" t="s">
        <v>441</v>
      </c>
      <c r="AD94" t="s">
        <v>46</v>
      </c>
      <c r="AE94" t="s">
        <v>75</v>
      </c>
      <c r="AF94" t="s">
        <v>60</v>
      </c>
      <c r="AG94" t="s">
        <v>49</v>
      </c>
      <c r="AH94" t="s">
        <v>50</v>
      </c>
      <c r="AI94" t="s">
        <v>51</v>
      </c>
      <c r="AJ94" t="s">
        <v>51</v>
      </c>
      <c r="AK94" t="s">
        <v>52</v>
      </c>
    </row>
    <row r="95" spans="26:37" x14ac:dyDescent="0.3">
      <c r="Z95" t="s">
        <v>439</v>
      </c>
      <c r="AA95" t="s">
        <v>464</v>
      </c>
      <c r="AB95" t="s">
        <v>91</v>
      </c>
      <c r="AC95" t="s">
        <v>465</v>
      </c>
      <c r="AD95" t="s">
        <v>70</v>
      </c>
      <c r="AE95" t="s">
        <v>93</v>
      </c>
      <c r="AF95" t="s">
        <v>60</v>
      </c>
      <c r="AG95" t="s">
        <v>49</v>
      </c>
      <c r="AH95" t="s">
        <v>50</v>
      </c>
      <c r="AI95" t="s">
        <v>51</v>
      </c>
      <c r="AJ95" t="s">
        <v>51</v>
      </c>
      <c r="AK95" t="s">
        <v>134</v>
      </c>
    </row>
    <row r="96" spans="26:37" x14ac:dyDescent="0.3">
      <c r="Z96" t="s">
        <v>439</v>
      </c>
      <c r="AA96" t="s">
        <v>449</v>
      </c>
      <c r="AB96" t="s">
        <v>450</v>
      </c>
      <c r="AC96" t="s">
        <v>451</v>
      </c>
      <c r="AD96" t="s">
        <v>46</v>
      </c>
      <c r="AE96" t="s">
        <v>71</v>
      </c>
      <c r="AF96" t="s">
        <v>60</v>
      </c>
      <c r="AG96" t="s">
        <v>49</v>
      </c>
      <c r="AH96" t="s">
        <v>373</v>
      </c>
      <c r="AI96" t="s">
        <v>54</v>
      </c>
      <c r="AJ96" t="s">
        <v>51</v>
      </c>
      <c r="AK96" t="s">
        <v>134</v>
      </c>
    </row>
    <row r="97" spans="26:37" x14ac:dyDescent="0.3">
      <c r="Z97" t="s">
        <v>439</v>
      </c>
      <c r="AA97" t="s">
        <v>444</v>
      </c>
      <c r="AB97" t="s">
        <v>445</v>
      </c>
      <c r="AC97" t="s">
        <v>446</v>
      </c>
      <c r="AD97" t="s">
        <v>46</v>
      </c>
      <c r="AE97" t="s">
        <v>71</v>
      </c>
      <c r="AF97" t="s">
        <v>60</v>
      </c>
      <c r="AG97" t="s">
        <v>49</v>
      </c>
      <c r="AH97" t="s">
        <v>50</v>
      </c>
      <c r="AI97" t="s">
        <v>51</v>
      </c>
      <c r="AJ97" t="s">
        <v>51</v>
      </c>
      <c r="AK97" t="s">
        <v>134</v>
      </c>
    </row>
    <row r="98" spans="26:37" x14ac:dyDescent="0.3">
      <c r="Z98" t="s">
        <v>439</v>
      </c>
      <c r="AA98" t="s">
        <v>454</v>
      </c>
      <c r="AB98" t="s">
        <v>455</v>
      </c>
      <c r="AC98" t="s">
        <v>456</v>
      </c>
      <c r="AD98" t="s">
        <v>46</v>
      </c>
      <c r="AE98" t="s">
        <v>107</v>
      </c>
      <c r="AF98" t="s">
        <v>60</v>
      </c>
      <c r="AG98" t="s">
        <v>49</v>
      </c>
      <c r="AH98" t="s">
        <v>50</v>
      </c>
      <c r="AI98" t="s">
        <v>51</v>
      </c>
      <c r="AJ98" t="s">
        <v>51</v>
      </c>
      <c r="AK98" t="s">
        <v>134</v>
      </c>
    </row>
    <row r="99" spans="26:37" x14ac:dyDescent="0.3">
      <c r="Z99" t="s">
        <v>439</v>
      </c>
      <c r="AA99" t="s">
        <v>459</v>
      </c>
      <c r="AB99" t="s">
        <v>460</v>
      </c>
      <c r="AC99" t="s">
        <v>461</v>
      </c>
      <c r="AD99" t="s">
        <v>46</v>
      </c>
      <c r="AE99" t="s">
        <v>240</v>
      </c>
      <c r="AF99" t="s">
        <v>48</v>
      </c>
      <c r="AG99" t="s">
        <v>49</v>
      </c>
      <c r="AH99" t="s">
        <v>50</v>
      </c>
      <c r="AI99" t="s">
        <v>51</v>
      </c>
      <c r="AJ99" t="s">
        <v>51</v>
      </c>
      <c r="AK99" t="s">
        <v>134</v>
      </c>
    </row>
    <row r="100" spans="26:37" x14ac:dyDescent="0.3">
      <c r="Z100" t="s">
        <v>439</v>
      </c>
      <c r="AA100" t="s">
        <v>468</v>
      </c>
      <c r="AB100" t="s">
        <v>469</v>
      </c>
      <c r="AC100" t="s">
        <v>470</v>
      </c>
      <c r="AD100" t="s">
        <v>46</v>
      </c>
      <c r="AE100" t="s">
        <v>150</v>
      </c>
      <c r="AF100" t="s">
        <v>48</v>
      </c>
      <c r="AG100" t="s">
        <v>363</v>
      </c>
      <c r="AH100" t="s">
        <v>50</v>
      </c>
      <c r="AI100" t="s">
        <v>51</v>
      </c>
      <c r="AJ100" t="s">
        <v>51</v>
      </c>
      <c r="AK100" t="s">
        <v>134</v>
      </c>
    </row>
    <row r="101" spans="26:37" x14ac:dyDescent="0.3">
      <c r="Z101" t="s">
        <v>330</v>
      </c>
      <c r="AA101" t="s">
        <v>338</v>
      </c>
      <c r="AB101" t="s">
        <v>339</v>
      </c>
      <c r="AC101" t="s">
        <v>340</v>
      </c>
      <c r="AD101" t="s">
        <v>46</v>
      </c>
      <c r="AE101" t="s">
        <v>102</v>
      </c>
      <c r="AF101" t="s">
        <v>48</v>
      </c>
      <c r="AG101" t="s">
        <v>76</v>
      </c>
      <c r="AH101" t="s">
        <v>50</v>
      </c>
      <c r="AI101" t="s">
        <v>51</v>
      </c>
      <c r="AJ101" t="s">
        <v>51</v>
      </c>
      <c r="AK101" t="s">
        <v>52</v>
      </c>
    </row>
    <row r="102" spans="26:37" x14ac:dyDescent="0.3">
      <c r="Z102" t="s">
        <v>473</v>
      </c>
      <c r="AA102" t="s">
        <v>524</v>
      </c>
      <c r="AB102" t="s">
        <v>525</v>
      </c>
      <c r="AC102" t="s">
        <v>526</v>
      </c>
      <c r="AD102" t="s">
        <v>46</v>
      </c>
      <c r="AE102" t="s">
        <v>139</v>
      </c>
      <c r="AF102" t="s">
        <v>60</v>
      </c>
      <c r="AG102" t="s">
        <v>49</v>
      </c>
      <c r="AH102" t="s">
        <v>50</v>
      </c>
      <c r="AI102" t="s">
        <v>51</v>
      </c>
      <c r="AJ102" t="s">
        <v>51</v>
      </c>
      <c r="AK102" t="s">
        <v>134</v>
      </c>
    </row>
    <row r="103" spans="26:37" x14ac:dyDescent="0.3">
      <c r="Z103" t="s">
        <v>473</v>
      </c>
      <c r="AA103" t="s">
        <v>501</v>
      </c>
      <c r="AB103" t="s">
        <v>502</v>
      </c>
      <c r="AC103" t="s">
        <v>503</v>
      </c>
      <c r="AD103" t="s">
        <v>46</v>
      </c>
      <c r="AE103" t="s">
        <v>409</v>
      </c>
      <c r="AF103" t="s">
        <v>60</v>
      </c>
      <c r="AG103" t="s">
        <v>49</v>
      </c>
      <c r="AH103" t="s">
        <v>373</v>
      </c>
      <c r="AI103" t="s">
        <v>54</v>
      </c>
      <c r="AJ103" t="s">
        <v>51</v>
      </c>
      <c r="AK103" t="s">
        <v>134</v>
      </c>
    </row>
    <row r="104" spans="26:37" x14ac:dyDescent="0.3">
      <c r="Z104" t="s">
        <v>330</v>
      </c>
      <c r="AA104" t="s">
        <v>347</v>
      </c>
      <c r="AB104" t="s">
        <v>348</v>
      </c>
      <c r="AC104" t="s">
        <v>349</v>
      </c>
      <c r="AD104" t="s">
        <v>46</v>
      </c>
      <c r="AE104" t="s">
        <v>240</v>
      </c>
      <c r="AF104" t="s">
        <v>48</v>
      </c>
      <c r="AG104" t="s">
        <v>76</v>
      </c>
      <c r="AH104" t="s">
        <v>50</v>
      </c>
      <c r="AI104" t="s">
        <v>51</v>
      </c>
      <c r="AJ104" t="s">
        <v>51</v>
      </c>
      <c r="AK104" t="s">
        <v>52</v>
      </c>
    </row>
    <row r="105" spans="26:37" x14ac:dyDescent="0.3">
      <c r="Z105" t="s">
        <v>473</v>
      </c>
      <c r="AA105" t="s">
        <v>519</v>
      </c>
      <c r="AB105" t="s">
        <v>520</v>
      </c>
      <c r="AC105" t="s">
        <v>521</v>
      </c>
      <c r="AD105" t="s">
        <v>46</v>
      </c>
      <c r="AE105" t="s">
        <v>71</v>
      </c>
      <c r="AF105" t="s">
        <v>60</v>
      </c>
      <c r="AG105" t="s">
        <v>49</v>
      </c>
      <c r="AH105" t="s">
        <v>50</v>
      </c>
      <c r="AI105" t="s">
        <v>51</v>
      </c>
      <c r="AJ105" t="s">
        <v>51</v>
      </c>
      <c r="AK105" t="s">
        <v>134</v>
      </c>
    </row>
    <row r="106" spans="26:37" x14ac:dyDescent="0.3">
      <c r="Z106" t="s">
        <v>473</v>
      </c>
      <c r="AA106" t="s">
        <v>493</v>
      </c>
      <c r="AB106" t="s">
        <v>494</v>
      </c>
      <c r="AC106" t="s">
        <v>495</v>
      </c>
      <c r="AD106" t="s">
        <v>70</v>
      </c>
      <c r="AE106" t="s">
        <v>71</v>
      </c>
      <c r="AF106" t="s">
        <v>48</v>
      </c>
      <c r="AG106" t="s">
        <v>76</v>
      </c>
      <c r="AH106" t="s">
        <v>50</v>
      </c>
      <c r="AI106" t="s">
        <v>51</v>
      </c>
      <c r="AJ106" t="s">
        <v>51</v>
      </c>
      <c r="AK106" t="s">
        <v>134</v>
      </c>
    </row>
    <row r="107" spans="26:37" x14ac:dyDescent="0.3">
      <c r="Z107" t="s">
        <v>330</v>
      </c>
      <c r="AA107" t="s">
        <v>352</v>
      </c>
      <c r="AB107" t="s">
        <v>353</v>
      </c>
      <c r="AC107" t="s">
        <v>354</v>
      </c>
      <c r="AD107" t="s">
        <v>46</v>
      </c>
      <c r="AE107" t="s">
        <v>93</v>
      </c>
      <c r="AF107" t="s">
        <v>48</v>
      </c>
      <c r="AG107" t="s">
        <v>49</v>
      </c>
      <c r="AH107" t="s">
        <v>50</v>
      </c>
      <c r="AI107" t="s">
        <v>51</v>
      </c>
      <c r="AJ107" t="s">
        <v>51</v>
      </c>
      <c r="AK107" t="s">
        <v>52</v>
      </c>
    </row>
    <row r="108" spans="26:37" x14ac:dyDescent="0.3">
      <c r="Z108" t="s">
        <v>330</v>
      </c>
      <c r="AA108" t="s">
        <v>356</v>
      </c>
      <c r="AB108" t="s">
        <v>357</v>
      </c>
      <c r="AC108" t="s">
        <v>358</v>
      </c>
      <c r="AD108" t="s">
        <v>70</v>
      </c>
      <c r="AE108" t="s">
        <v>107</v>
      </c>
      <c r="AF108" t="s">
        <v>48</v>
      </c>
      <c r="AG108" t="s">
        <v>49</v>
      </c>
      <c r="AH108" t="s">
        <v>50</v>
      </c>
      <c r="AI108" t="s">
        <v>51</v>
      </c>
      <c r="AJ108" t="s">
        <v>51</v>
      </c>
      <c r="AK108" t="s">
        <v>52</v>
      </c>
    </row>
    <row r="109" spans="26:37" x14ac:dyDescent="0.3">
      <c r="Z109" t="s">
        <v>473</v>
      </c>
      <c r="AA109" t="s">
        <v>496</v>
      </c>
      <c r="AB109" t="s">
        <v>497</v>
      </c>
      <c r="AC109" t="s">
        <v>498</v>
      </c>
      <c r="AD109" t="s">
        <v>46</v>
      </c>
      <c r="AE109" t="s">
        <v>75</v>
      </c>
      <c r="AF109" t="s">
        <v>60</v>
      </c>
      <c r="AG109" t="s">
        <v>49</v>
      </c>
      <c r="AH109" t="s">
        <v>50</v>
      </c>
      <c r="AI109" t="s">
        <v>51</v>
      </c>
      <c r="AJ109" t="s">
        <v>51</v>
      </c>
      <c r="AK109" t="s">
        <v>134</v>
      </c>
    </row>
    <row r="110" spans="26:37" x14ac:dyDescent="0.3">
      <c r="Z110" t="s">
        <v>473</v>
      </c>
      <c r="AA110" t="s">
        <v>510</v>
      </c>
      <c r="AB110" t="s">
        <v>511</v>
      </c>
      <c r="AC110" t="s">
        <v>512</v>
      </c>
      <c r="AD110" t="s">
        <v>46</v>
      </c>
      <c r="AE110" t="s">
        <v>65</v>
      </c>
      <c r="AF110" t="s">
        <v>60</v>
      </c>
      <c r="AG110" t="s">
        <v>49</v>
      </c>
      <c r="AH110" t="s">
        <v>50</v>
      </c>
      <c r="AI110" t="s">
        <v>51</v>
      </c>
      <c r="AJ110" t="s">
        <v>51</v>
      </c>
      <c r="AK110" t="s">
        <v>134</v>
      </c>
    </row>
    <row r="111" spans="26:37" x14ac:dyDescent="0.3">
      <c r="Z111" t="s">
        <v>330</v>
      </c>
      <c r="AA111" t="s">
        <v>360</v>
      </c>
      <c r="AB111" t="s">
        <v>361</v>
      </c>
      <c r="AC111" t="s">
        <v>362</v>
      </c>
      <c r="AD111" t="s">
        <v>46</v>
      </c>
      <c r="AE111" t="s">
        <v>240</v>
      </c>
      <c r="AF111" t="s">
        <v>48</v>
      </c>
      <c r="AG111" t="s">
        <v>363</v>
      </c>
      <c r="AH111" t="s">
        <v>50</v>
      </c>
      <c r="AI111" t="s">
        <v>51</v>
      </c>
      <c r="AJ111" t="s">
        <v>51</v>
      </c>
      <c r="AK111" t="s">
        <v>52</v>
      </c>
    </row>
    <row r="112" spans="26:37" x14ac:dyDescent="0.3">
      <c r="Z112" t="s">
        <v>473</v>
      </c>
      <c r="AA112" t="s">
        <v>542</v>
      </c>
      <c r="AB112" t="s">
        <v>543</v>
      </c>
      <c r="AC112" t="s">
        <v>544</v>
      </c>
      <c r="AD112" t="s">
        <v>46</v>
      </c>
      <c r="AE112" t="s">
        <v>107</v>
      </c>
      <c r="AF112" t="s">
        <v>60</v>
      </c>
      <c r="AG112" t="s">
        <v>49</v>
      </c>
      <c r="AH112" t="s">
        <v>373</v>
      </c>
      <c r="AI112" t="s">
        <v>51</v>
      </c>
      <c r="AJ112" t="s">
        <v>51</v>
      </c>
      <c r="AK112" t="s">
        <v>134</v>
      </c>
    </row>
    <row r="113" spans="26:37" x14ac:dyDescent="0.3">
      <c r="Z113" t="s">
        <v>473</v>
      </c>
      <c r="AA113" t="s">
        <v>528</v>
      </c>
      <c r="AB113" t="s">
        <v>529</v>
      </c>
      <c r="AC113" t="s">
        <v>530</v>
      </c>
      <c r="AD113" t="s">
        <v>46</v>
      </c>
      <c r="AE113" t="s">
        <v>133</v>
      </c>
      <c r="AF113" t="s">
        <v>60</v>
      </c>
      <c r="AG113" t="s">
        <v>49</v>
      </c>
      <c r="AH113" t="s">
        <v>50</v>
      </c>
      <c r="AI113" t="s">
        <v>51</v>
      </c>
      <c r="AJ113" t="s">
        <v>51</v>
      </c>
      <c r="AK113" t="s">
        <v>134</v>
      </c>
    </row>
    <row r="114" spans="26:37" x14ac:dyDescent="0.3">
      <c r="Z114" t="s">
        <v>473</v>
      </c>
      <c r="AA114" t="s">
        <v>533</v>
      </c>
      <c r="AB114" t="s">
        <v>534</v>
      </c>
      <c r="AC114" t="s">
        <v>535</v>
      </c>
      <c r="AD114" t="s">
        <v>46</v>
      </c>
      <c r="AE114" t="s">
        <v>409</v>
      </c>
      <c r="AF114" t="s">
        <v>60</v>
      </c>
      <c r="AG114" t="s">
        <v>49</v>
      </c>
      <c r="AH114" t="s">
        <v>50</v>
      </c>
      <c r="AI114" t="s">
        <v>51</v>
      </c>
      <c r="AJ114" t="s">
        <v>54</v>
      </c>
      <c r="AK114" t="s">
        <v>134</v>
      </c>
    </row>
    <row r="115" spans="26:37" x14ac:dyDescent="0.3">
      <c r="Z115" t="s">
        <v>473</v>
      </c>
      <c r="AA115" t="s">
        <v>515</v>
      </c>
      <c r="AB115" t="s">
        <v>516</v>
      </c>
      <c r="AC115" t="s">
        <v>517</v>
      </c>
      <c r="AD115" t="s">
        <v>46</v>
      </c>
      <c r="AE115" t="s">
        <v>409</v>
      </c>
      <c r="AF115" t="s">
        <v>60</v>
      </c>
      <c r="AG115" t="s">
        <v>49</v>
      </c>
      <c r="AH115" t="s">
        <v>50</v>
      </c>
      <c r="AI115" t="s">
        <v>51</v>
      </c>
      <c r="AJ115" t="s">
        <v>54</v>
      </c>
      <c r="AK115" t="s">
        <v>134</v>
      </c>
    </row>
    <row r="116" spans="26:37" x14ac:dyDescent="0.3">
      <c r="Z116" t="s">
        <v>473</v>
      </c>
      <c r="AA116" t="s">
        <v>505</v>
      </c>
      <c r="AB116" t="s">
        <v>506</v>
      </c>
      <c r="AC116" t="s">
        <v>507</v>
      </c>
      <c r="AD116" t="s">
        <v>46</v>
      </c>
      <c r="AE116" t="s">
        <v>240</v>
      </c>
      <c r="AF116" t="s">
        <v>48</v>
      </c>
      <c r="AG116" t="s">
        <v>76</v>
      </c>
      <c r="AH116" t="s">
        <v>50</v>
      </c>
      <c r="AI116" t="s">
        <v>51</v>
      </c>
      <c r="AJ116" t="s">
        <v>51</v>
      </c>
      <c r="AK116" t="s">
        <v>134</v>
      </c>
    </row>
    <row r="117" spans="26:37" x14ac:dyDescent="0.3">
      <c r="Z117" t="s">
        <v>547</v>
      </c>
      <c r="AA117" t="s">
        <v>548</v>
      </c>
      <c r="AB117" t="s">
        <v>549</v>
      </c>
      <c r="AC117" t="s">
        <v>550</v>
      </c>
      <c r="AD117" t="s">
        <v>46</v>
      </c>
      <c r="AE117" t="s">
        <v>107</v>
      </c>
      <c r="AF117" t="s">
        <v>60</v>
      </c>
      <c r="AG117" t="s">
        <v>76</v>
      </c>
      <c r="AH117" t="s">
        <v>50</v>
      </c>
      <c r="AI117" t="s">
        <v>51</v>
      </c>
      <c r="AJ117" t="s">
        <v>51</v>
      </c>
      <c r="AK117" t="s">
        <v>134</v>
      </c>
    </row>
    <row r="118" spans="26:37" x14ac:dyDescent="0.3">
      <c r="Z118" t="s">
        <v>547</v>
      </c>
      <c r="AA118" t="s">
        <v>553</v>
      </c>
      <c r="AB118" t="s">
        <v>554</v>
      </c>
      <c r="AC118" t="s">
        <v>555</v>
      </c>
      <c r="AD118" t="s">
        <v>46</v>
      </c>
      <c r="AE118" t="s">
        <v>314</v>
      </c>
      <c r="AF118" t="s">
        <v>48</v>
      </c>
      <c r="AG118" t="s">
        <v>76</v>
      </c>
      <c r="AH118" t="s">
        <v>50</v>
      </c>
      <c r="AI118" t="s">
        <v>51</v>
      </c>
      <c r="AJ118" t="s">
        <v>51</v>
      </c>
      <c r="AK118" t="s">
        <v>134</v>
      </c>
    </row>
    <row r="119" spans="26:37" x14ac:dyDescent="0.3">
      <c r="Z119" t="s">
        <v>547</v>
      </c>
      <c r="AA119" t="s">
        <v>563</v>
      </c>
      <c r="AB119" t="s">
        <v>564</v>
      </c>
      <c r="AC119" t="s">
        <v>565</v>
      </c>
      <c r="AD119" t="s">
        <v>46</v>
      </c>
      <c r="AE119" t="s">
        <v>139</v>
      </c>
      <c r="AF119" t="s">
        <v>60</v>
      </c>
      <c r="AG119" t="s">
        <v>49</v>
      </c>
      <c r="AH119" t="s">
        <v>50</v>
      </c>
      <c r="AI119" t="s">
        <v>51</v>
      </c>
      <c r="AJ119" t="s">
        <v>51</v>
      </c>
      <c r="AK119" t="s">
        <v>134</v>
      </c>
    </row>
    <row r="120" spans="26:37" x14ac:dyDescent="0.3">
      <c r="Z120" t="s">
        <v>547</v>
      </c>
      <c r="AA120" t="s">
        <v>558</v>
      </c>
      <c r="AB120" t="s">
        <v>559</v>
      </c>
      <c r="AC120" t="s">
        <v>560</v>
      </c>
      <c r="AD120" t="s">
        <v>46</v>
      </c>
      <c r="AE120" t="s">
        <v>121</v>
      </c>
      <c r="AF120" t="s">
        <v>48</v>
      </c>
      <c r="AG120" t="s">
        <v>76</v>
      </c>
      <c r="AH120" t="s">
        <v>50</v>
      </c>
      <c r="AI120" t="s">
        <v>51</v>
      </c>
      <c r="AJ120" t="s">
        <v>51</v>
      </c>
      <c r="AK120" t="s">
        <v>134</v>
      </c>
    </row>
    <row r="121" spans="26:37" x14ac:dyDescent="0.3">
      <c r="Z121" t="s">
        <v>547</v>
      </c>
      <c r="AA121" t="s">
        <v>568</v>
      </c>
      <c r="AB121" t="s">
        <v>569</v>
      </c>
      <c r="AC121" t="s">
        <v>570</v>
      </c>
      <c r="AD121" t="s">
        <v>46</v>
      </c>
      <c r="AE121" t="s">
        <v>133</v>
      </c>
      <c r="AF121" t="s">
        <v>60</v>
      </c>
      <c r="AG121" t="s">
        <v>49</v>
      </c>
      <c r="AH121" t="s">
        <v>50</v>
      </c>
      <c r="AI121" t="s">
        <v>51</v>
      </c>
      <c r="AJ121" t="s">
        <v>51</v>
      </c>
      <c r="AK121" t="s">
        <v>134</v>
      </c>
    </row>
    <row r="122" spans="26:37" x14ac:dyDescent="0.3">
      <c r="Z122" t="s">
        <v>573</v>
      </c>
      <c r="AA122" t="s">
        <v>589</v>
      </c>
      <c r="AB122" t="s">
        <v>590</v>
      </c>
      <c r="AC122" t="s">
        <v>591</v>
      </c>
      <c r="AD122" t="s">
        <v>46</v>
      </c>
      <c r="AE122" t="s">
        <v>71</v>
      </c>
      <c r="AF122" t="s">
        <v>48</v>
      </c>
      <c r="AG122" t="s">
        <v>49</v>
      </c>
      <c r="AH122" t="s">
        <v>50</v>
      </c>
      <c r="AI122" t="s">
        <v>51</v>
      </c>
      <c r="AJ122" t="s">
        <v>51</v>
      </c>
      <c r="AK122" t="s">
        <v>134</v>
      </c>
    </row>
    <row r="123" spans="26:37" x14ac:dyDescent="0.3">
      <c r="Z123" t="s">
        <v>573</v>
      </c>
      <c r="AA123" t="s">
        <v>594</v>
      </c>
      <c r="AB123" t="s">
        <v>595</v>
      </c>
      <c r="AC123" t="s">
        <v>596</v>
      </c>
      <c r="AD123" t="s">
        <v>46</v>
      </c>
      <c r="AE123" t="s">
        <v>409</v>
      </c>
      <c r="AF123" t="s">
        <v>60</v>
      </c>
      <c r="AG123" t="s">
        <v>49</v>
      </c>
      <c r="AH123" t="s">
        <v>373</v>
      </c>
      <c r="AI123" t="s">
        <v>54</v>
      </c>
      <c r="AJ123" t="s">
        <v>51</v>
      </c>
      <c r="AK123" t="s">
        <v>134</v>
      </c>
    </row>
    <row r="124" spans="26:37" x14ac:dyDescent="0.3">
      <c r="Z124" t="s">
        <v>573</v>
      </c>
      <c r="AA124" t="s">
        <v>599</v>
      </c>
      <c r="AB124" t="s">
        <v>600</v>
      </c>
      <c r="AC124" t="s">
        <v>601</v>
      </c>
      <c r="AD124" t="s">
        <v>46</v>
      </c>
      <c r="AE124" t="s">
        <v>65</v>
      </c>
      <c r="AF124" t="s">
        <v>48</v>
      </c>
      <c r="AG124" t="s">
        <v>49</v>
      </c>
      <c r="AH124" t="s">
        <v>50</v>
      </c>
      <c r="AI124" t="s">
        <v>51</v>
      </c>
      <c r="AJ124" t="s">
        <v>51</v>
      </c>
      <c r="AK124" t="s">
        <v>134</v>
      </c>
    </row>
    <row r="125" spans="26:37" x14ac:dyDescent="0.3">
      <c r="Z125" t="s">
        <v>573</v>
      </c>
      <c r="AA125" t="s">
        <v>604</v>
      </c>
      <c r="AB125" t="s">
        <v>605</v>
      </c>
      <c r="AC125" t="s">
        <v>606</v>
      </c>
      <c r="AD125" t="s">
        <v>46</v>
      </c>
      <c r="AE125" t="s">
        <v>65</v>
      </c>
      <c r="AF125" t="s">
        <v>60</v>
      </c>
      <c r="AG125" t="s">
        <v>49</v>
      </c>
      <c r="AH125" t="s">
        <v>50</v>
      </c>
      <c r="AI125" t="s">
        <v>51</v>
      </c>
      <c r="AJ125" t="s">
        <v>54</v>
      </c>
      <c r="AK125" t="s">
        <v>134</v>
      </c>
    </row>
    <row r="126" spans="26:37" x14ac:dyDescent="0.3">
      <c r="Z126" t="s">
        <v>573</v>
      </c>
      <c r="AA126" t="s">
        <v>608</v>
      </c>
      <c r="AB126" t="s">
        <v>609</v>
      </c>
      <c r="AC126" t="s">
        <v>610</v>
      </c>
      <c r="AD126" t="s">
        <v>46</v>
      </c>
      <c r="AE126" t="s">
        <v>93</v>
      </c>
      <c r="AF126" t="s">
        <v>60</v>
      </c>
      <c r="AG126" t="s">
        <v>49</v>
      </c>
      <c r="AH126" t="s">
        <v>50</v>
      </c>
      <c r="AI126" t="s">
        <v>51</v>
      </c>
      <c r="AJ126" t="s">
        <v>51</v>
      </c>
      <c r="AK126" t="s">
        <v>134</v>
      </c>
    </row>
    <row r="127" spans="26:37" x14ac:dyDescent="0.3">
      <c r="Z127" t="s">
        <v>573</v>
      </c>
      <c r="AA127" t="s">
        <v>618</v>
      </c>
      <c r="AB127" t="s">
        <v>619</v>
      </c>
      <c r="AC127" t="s">
        <v>620</v>
      </c>
      <c r="AD127" t="s">
        <v>46</v>
      </c>
      <c r="AE127" t="s">
        <v>107</v>
      </c>
      <c r="AF127" t="s">
        <v>60</v>
      </c>
      <c r="AG127" t="s">
        <v>49</v>
      </c>
      <c r="AH127" t="s">
        <v>373</v>
      </c>
      <c r="AI127" t="s">
        <v>54</v>
      </c>
      <c r="AJ127" t="s">
        <v>51</v>
      </c>
      <c r="AK127" t="s">
        <v>134</v>
      </c>
    </row>
    <row r="128" spans="26:37" x14ac:dyDescent="0.3">
      <c r="Z128" t="s">
        <v>573</v>
      </c>
      <c r="AA128" t="s">
        <v>613</v>
      </c>
      <c r="AB128" t="s">
        <v>614</v>
      </c>
      <c r="AC128" t="s">
        <v>615</v>
      </c>
      <c r="AD128" t="s">
        <v>46</v>
      </c>
      <c r="AE128" t="s">
        <v>107</v>
      </c>
      <c r="AF128" t="s">
        <v>60</v>
      </c>
      <c r="AG128" t="s">
        <v>49</v>
      </c>
      <c r="AH128" t="s">
        <v>50</v>
      </c>
      <c r="AI128" t="s">
        <v>51</v>
      </c>
      <c r="AJ128" t="s">
        <v>54</v>
      </c>
      <c r="AK128" t="s">
        <v>134</v>
      </c>
    </row>
    <row r="129" spans="26:37" x14ac:dyDescent="0.3">
      <c r="Z129" t="s">
        <v>473</v>
      </c>
      <c r="AA129" t="s">
        <v>474</v>
      </c>
      <c r="AB129" t="s">
        <v>475</v>
      </c>
      <c r="AC129" t="s">
        <v>476</v>
      </c>
      <c r="AD129" t="s">
        <v>46</v>
      </c>
      <c r="AE129" t="s">
        <v>93</v>
      </c>
      <c r="AF129" t="s">
        <v>60</v>
      </c>
      <c r="AG129" t="s">
        <v>49</v>
      </c>
      <c r="AH129" t="s">
        <v>50</v>
      </c>
      <c r="AI129" t="s">
        <v>51</v>
      </c>
      <c r="AJ129" t="s">
        <v>51</v>
      </c>
      <c r="AK129" t="s">
        <v>52</v>
      </c>
    </row>
    <row r="130" spans="26:37" x14ac:dyDescent="0.3">
      <c r="Z130" t="s">
        <v>473</v>
      </c>
      <c r="AA130" t="s">
        <v>484</v>
      </c>
      <c r="AB130" t="s">
        <v>485</v>
      </c>
      <c r="AC130" t="s">
        <v>486</v>
      </c>
      <c r="AD130" t="s">
        <v>46</v>
      </c>
      <c r="AE130" t="s">
        <v>121</v>
      </c>
      <c r="AF130" t="s">
        <v>60</v>
      </c>
      <c r="AG130" t="s">
        <v>49</v>
      </c>
      <c r="AH130" t="s">
        <v>50</v>
      </c>
      <c r="AI130" t="s">
        <v>51</v>
      </c>
      <c r="AJ130" t="s">
        <v>51</v>
      </c>
      <c r="AK130" t="s">
        <v>52</v>
      </c>
    </row>
    <row r="131" spans="26:37" x14ac:dyDescent="0.3">
      <c r="Z131" t="s">
        <v>473</v>
      </c>
      <c r="AA131" t="s">
        <v>479</v>
      </c>
      <c r="AB131" t="s">
        <v>480</v>
      </c>
      <c r="AC131" t="s">
        <v>481</v>
      </c>
      <c r="AD131" t="s">
        <v>46</v>
      </c>
      <c r="AE131" t="s">
        <v>150</v>
      </c>
      <c r="AF131" t="s">
        <v>60</v>
      </c>
      <c r="AG131" t="s">
        <v>49</v>
      </c>
      <c r="AH131" t="s">
        <v>50</v>
      </c>
      <c r="AI131" t="s">
        <v>51</v>
      </c>
      <c r="AJ131" t="s">
        <v>51</v>
      </c>
      <c r="AK131" t="s">
        <v>52</v>
      </c>
    </row>
    <row r="132" spans="26:37" x14ac:dyDescent="0.3">
      <c r="Z132" t="s">
        <v>573</v>
      </c>
      <c r="AA132" t="s">
        <v>623</v>
      </c>
      <c r="AB132" t="s">
        <v>624</v>
      </c>
      <c r="AC132" t="s">
        <v>625</v>
      </c>
      <c r="AD132" t="s">
        <v>46</v>
      </c>
      <c r="AE132" t="s">
        <v>139</v>
      </c>
      <c r="AF132" t="s">
        <v>60</v>
      </c>
      <c r="AG132" t="s">
        <v>49</v>
      </c>
      <c r="AH132" t="s">
        <v>373</v>
      </c>
      <c r="AI132" t="s">
        <v>51</v>
      </c>
      <c r="AJ132" t="s">
        <v>54</v>
      </c>
      <c r="AK132" t="s">
        <v>134</v>
      </c>
    </row>
    <row r="133" spans="26:37" x14ac:dyDescent="0.3">
      <c r="Z133" t="s">
        <v>573</v>
      </c>
      <c r="AA133" t="s">
        <v>628</v>
      </c>
      <c r="AB133" t="s">
        <v>629</v>
      </c>
      <c r="AC133" t="s">
        <v>630</v>
      </c>
      <c r="AD133" t="s">
        <v>46</v>
      </c>
      <c r="AE133" t="s">
        <v>240</v>
      </c>
      <c r="AF133" t="s">
        <v>48</v>
      </c>
      <c r="AG133" t="s">
        <v>49</v>
      </c>
      <c r="AH133" t="s">
        <v>50</v>
      </c>
      <c r="AI133" t="s">
        <v>51</v>
      </c>
      <c r="AJ133" t="s">
        <v>51</v>
      </c>
      <c r="AK133" t="s">
        <v>134</v>
      </c>
    </row>
    <row r="134" spans="26:37" x14ac:dyDescent="0.3">
      <c r="Z134" t="s">
        <v>573</v>
      </c>
      <c r="AA134" t="s">
        <v>632</v>
      </c>
      <c r="AB134" t="s">
        <v>633</v>
      </c>
      <c r="AC134" t="s">
        <v>634</v>
      </c>
      <c r="AD134" t="s">
        <v>46</v>
      </c>
      <c r="AE134" t="s">
        <v>133</v>
      </c>
      <c r="AF134" t="s">
        <v>60</v>
      </c>
      <c r="AG134" t="s">
        <v>49</v>
      </c>
      <c r="AH134" t="s">
        <v>50</v>
      </c>
      <c r="AI134" t="s">
        <v>51</v>
      </c>
      <c r="AJ134" t="s">
        <v>51</v>
      </c>
      <c r="AK134" t="s">
        <v>134</v>
      </c>
    </row>
    <row r="135" spans="26:37" x14ac:dyDescent="0.3">
      <c r="Z135" t="s">
        <v>573</v>
      </c>
      <c r="AA135" t="s">
        <v>637</v>
      </c>
      <c r="AB135" t="s">
        <v>638</v>
      </c>
      <c r="AC135" t="s">
        <v>639</v>
      </c>
      <c r="AD135" t="s">
        <v>46</v>
      </c>
      <c r="AE135" t="s">
        <v>133</v>
      </c>
      <c r="AF135" t="s">
        <v>48</v>
      </c>
      <c r="AG135" t="s">
        <v>49</v>
      </c>
      <c r="AH135" t="s">
        <v>50</v>
      </c>
      <c r="AI135" t="s">
        <v>51</v>
      </c>
      <c r="AJ135" t="s">
        <v>51</v>
      </c>
      <c r="AK135" t="s">
        <v>134</v>
      </c>
    </row>
    <row r="136" spans="26:37" x14ac:dyDescent="0.3">
      <c r="Z136" t="s">
        <v>573</v>
      </c>
      <c r="AA136" t="s">
        <v>642</v>
      </c>
      <c r="AB136" t="s">
        <v>643</v>
      </c>
      <c r="AC136" t="s">
        <v>644</v>
      </c>
      <c r="AD136" t="s">
        <v>46</v>
      </c>
      <c r="AE136" t="s">
        <v>47</v>
      </c>
      <c r="AF136" t="s">
        <v>60</v>
      </c>
      <c r="AG136" t="s">
        <v>49</v>
      </c>
      <c r="AH136" t="s">
        <v>50</v>
      </c>
      <c r="AI136" t="s">
        <v>51</v>
      </c>
      <c r="AJ136" t="s">
        <v>51</v>
      </c>
      <c r="AK136" t="s">
        <v>134</v>
      </c>
    </row>
    <row r="137" spans="26:37" x14ac:dyDescent="0.3">
      <c r="Z137" t="s">
        <v>647</v>
      </c>
      <c r="AA137" t="s">
        <v>648</v>
      </c>
      <c r="AB137" t="s">
        <v>649</v>
      </c>
      <c r="AC137" t="s">
        <v>650</v>
      </c>
      <c r="AD137" t="s">
        <v>70</v>
      </c>
      <c r="AE137" t="s">
        <v>75</v>
      </c>
      <c r="AF137" t="s">
        <v>48</v>
      </c>
      <c r="AG137" t="s">
        <v>76</v>
      </c>
      <c r="AH137" t="s">
        <v>50</v>
      </c>
      <c r="AI137" t="s">
        <v>51</v>
      </c>
      <c r="AJ137" t="s">
        <v>51</v>
      </c>
      <c r="AK137" t="s">
        <v>52</v>
      </c>
    </row>
    <row r="138" spans="26:37" x14ac:dyDescent="0.3">
      <c r="Z138" t="s">
        <v>647</v>
      </c>
      <c r="AA138" t="s">
        <v>651</v>
      </c>
      <c r="AB138" t="s">
        <v>652</v>
      </c>
      <c r="AC138" t="s">
        <v>653</v>
      </c>
      <c r="AD138" t="s">
        <v>46</v>
      </c>
      <c r="AE138" t="s">
        <v>224</v>
      </c>
      <c r="AF138" t="s">
        <v>48</v>
      </c>
      <c r="AG138" t="s">
        <v>76</v>
      </c>
      <c r="AH138" t="s">
        <v>50</v>
      </c>
      <c r="AI138" t="s">
        <v>51</v>
      </c>
      <c r="AJ138" t="s">
        <v>51</v>
      </c>
      <c r="AK138" t="s">
        <v>52</v>
      </c>
    </row>
    <row r="139" spans="26:37" x14ac:dyDescent="0.3">
      <c r="Z139" t="s">
        <v>647</v>
      </c>
      <c r="AA139" t="s">
        <v>665</v>
      </c>
      <c r="AB139" t="s">
        <v>666</v>
      </c>
      <c r="AC139" t="s">
        <v>667</v>
      </c>
      <c r="AD139" t="s">
        <v>46</v>
      </c>
      <c r="AE139" t="s">
        <v>107</v>
      </c>
      <c r="AF139" t="s">
        <v>60</v>
      </c>
      <c r="AG139" t="s">
        <v>49</v>
      </c>
      <c r="AH139" t="s">
        <v>50</v>
      </c>
      <c r="AI139" t="s">
        <v>51</v>
      </c>
      <c r="AJ139" t="s">
        <v>51</v>
      </c>
      <c r="AK139" t="s">
        <v>134</v>
      </c>
    </row>
    <row r="140" spans="26:37" x14ac:dyDescent="0.3">
      <c r="Z140" t="s">
        <v>647</v>
      </c>
      <c r="AA140" t="s">
        <v>655</v>
      </c>
      <c r="AB140" t="s">
        <v>303</v>
      </c>
      <c r="AC140" t="s">
        <v>656</v>
      </c>
      <c r="AD140" t="s">
        <v>46</v>
      </c>
      <c r="AE140" t="s">
        <v>75</v>
      </c>
      <c r="AF140" t="s">
        <v>60</v>
      </c>
      <c r="AG140" t="s">
        <v>49</v>
      </c>
      <c r="AH140" t="s">
        <v>50</v>
      </c>
      <c r="AI140" t="s">
        <v>51</v>
      </c>
      <c r="AJ140" t="s">
        <v>51</v>
      </c>
      <c r="AK140" t="s">
        <v>134</v>
      </c>
    </row>
    <row r="141" spans="26:37" x14ac:dyDescent="0.3">
      <c r="Z141" t="s">
        <v>647</v>
      </c>
      <c r="AA141" t="s">
        <v>658</v>
      </c>
      <c r="AB141" t="s">
        <v>659</v>
      </c>
      <c r="AC141" t="s">
        <v>660</v>
      </c>
      <c r="AD141" t="s">
        <v>46</v>
      </c>
      <c r="AE141" t="s">
        <v>71</v>
      </c>
      <c r="AF141" t="s">
        <v>48</v>
      </c>
      <c r="AG141" t="s">
        <v>76</v>
      </c>
      <c r="AH141" t="s">
        <v>50</v>
      </c>
      <c r="AI141" t="s">
        <v>51</v>
      </c>
      <c r="AJ141" t="s">
        <v>51</v>
      </c>
      <c r="AK141" t="s">
        <v>134</v>
      </c>
    </row>
    <row r="142" spans="26:37" x14ac:dyDescent="0.3">
      <c r="Z142" t="s">
        <v>647</v>
      </c>
      <c r="AA142" t="s">
        <v>661</v>
      </c>
      <c r="AB142" t="s">
        <v>662</v>
      </c>
      <c r="AC142" t="s">
        <v>663</v>
      </c>
      <c r="AD142" t="s">
        <v>46</v>
      </c>
      <c r="AE142" t="s">
        <v>139</v>
      </c>
      <c r="AF142" t="s">
        <v>60</v>
      </c>
      <c r="AG142" t="s">
        <v>49</v>
      </c>
      <c r="AH142" t="s">
        <v>50</v>
      </c>
      <c r="AI142" t="s">
        <v>51</v>
      </c>
      <c r="AJ142" t="s">
        <v>51</v>
      </c>
      <c r="AK142" t="s">
        <v>134</v>
      </c>
    </row>
    <row r="143" spans="26:37" x14ac:dyDescent="0.3">
      <c r="Z143" t="s">
        <v>473</v>
      </c>
      <c r="AA143" t="s">
        <v>488</v>
      </c>
      <c r="AB143" t="s">
        <v>489</v>
      </c>
      <c r="AC143" t="s">
        <v>490</v>
      </c>
      <c r="AD143" t="s">
        <v>46</v>
      </c>
      <c r="AE143" t="s">
        <v>240</v>
      </c>
      <c r="AF143" t="s">
        <v>60</v>
      </c>
      <c r="AG143" t="s">
        <v>49</v>
      </c>
      <c r="AH143" t="s">
        <v>50</v>
      </c>
      <c r="AI143" t="s">
        <v>51</v>
      </c>
      <c r="AJ143" t="s">
        <v>51</v>
      </c>
      <c r="AK143" t="s">
        <v>52</v>
      </c>
    </row>
    <row r="144" spans="26:37" x14ac:dyDescent="0.3">
      <c r="Z144" t="s">
        <v>573</v>
      </c>
      <c r="AA144" t="s">
        <v>574</v>
      </c>
      <c r="AB144" t="s">
        <v>575</v>
      </c>
      <c r="AC144" t="s">
        <v>576</v>
      </c>
      <c r="AD144" t="s">
        <v>46</v>
      </c>
      <c r="AE144" t="s">
        <v>102</v>
      </c>
      <c r="AF144" t="s">
        <v>48</v>
      </c>
      <c r="AG144" t="s">
        <v>363</v>
      </c>
      <c r="AH144" t="s">
        <v>50</v>
      </c>
      <c r="AI144" t="s">
        <v>51</v>
      </c>
      <c r="AJ144" t="s">
        <v>51</v>
      </c>
      <c r="AK144" t="s">
        <v>52</v>
      </c>
    </row>
    <row r="145" spans="26:37" x14ac:dyDescent="0.3">
      <c r="Z145" t="s">
        <v>670</v>
      </c>
      <c r="AA145" t="s">
        <v>707</v>
      </c>
      <c r="AB145" t="s">
        <v>708</v>
      </c>
      <c r="AC145" t="s">
        <v>709</v>
      </c>
      <c r="AD145" t="s">
        <v>46</v>
      </c>
      <c r="AE145" t="s">
        <v>71</v>
      </c>
      <c r="AF145" t="s">
        <v>60</v>
      </c>
      <c r="AG145" t="s">
        <v>49</v>
      </c>
      <c r="AH145" t="s">
        <v>50</v>
      </c>
      <c r="AI145" t="s">
        <v>51</v>
      </c>
      <c r="AJ145" t="s">
        <v>51</v>
      </c>
      <c r="AK145" t="s">
        <v>134</v>
      </c>
    </row>
    <row r="146" spans="26:37" x14ac:dyDescent="0.3">
      <c r="Z146" t="s">
        <v>573</v>
      </c>
      <c r="AA146" t="s">
        <v>579</v>
      </c>
      <c r="AB146" t="s">
        <v>580</v>
      </c>
      <c r="AC146" t="s">
        <v>581</v>
      </c>
      <c r="AD146" t="s">
        <v>46</v>
      </c>
      <c r="AE146" t="s">
        <v>150</v>
      </c>
      <c r="AF146" t="s">
        <v>48</v>
      </c>
      <c r="AG146" t="s">
        <v>363</v>
      </c>
      <c r="AH146" t="s">
        <v>50</v>
      </c>
      <c r="AI146" t="s">
        <v>51</v>
      </c>
      <c r="AJ146" t="s">
        <v>51</v>
      </c>
      <c r="AK146" t="s">
        <v>52</v>
      </c>
    </row>
    <row r="147" spans="26:37" x14ac:dyDescent="0.3">
      <c r="Z147" t="s">
        <v>573</v>
      </c>
      <c r="AA147" t="s">
        <v>584</v>
      </c>
      <c r="AB147" t="s">
        <v>585</v>
      </c>
      <c r="AC147" t="s">
        <v>586</v>
      </c>
      <c r="AD147" t="s">
        <v>46</v>
      </c>
      <c r="AE147" t="s">
        <v>102</v>
      </c>
      <c r="AF147" t="s">
        <v>48</v>
      </c>
      <c r="AG147" t="s">
        <v>363</v>
      </c>
      <c r="AH147" t="s">
        <v>50</v>
      </c>
      <c r="AI147" t="s">
        <v>51</v>
      </c>
      <c r="AJ147" t="s">
        <v>51</v>
      </c>
      <c r="AK147" t="s">
        <v>52</v>
      </c>
    </row>
    <row r="148" spans="26:37" x14ac:dyDescent="0.3">
      <c r="Z148" t="s">
        <v>670</v>
      </c>
      <c r="AA148" t="s">
        <v>680</v>
      </c>
      <c r="AB148" t="s">
        <v>681</v>
      </c>
      <c r="AC148" t="s">
        <v>682</v>
      </c>
      <c r="AD148" t="s">
        <v>46</v>
      </c>
      <c r="AE148" t="s">
        <v>139</v>
      </c>
      <c r="AF148" t="s">
        <v>60</v>
      </c>
      <c r="AG148" t="s">
        <v>49</v>
      </c>
      <c r="AH148" t="s">
        <v>50</v>
      </c>
      <c r="AI148" t="s">
        <v>51</v>
      </c>
      <c r="AJ148" t="s">
        <v>51</v>
      </c>
      <c r="AK148" t="s">
        <v>52</v>
      </c>
    </row>
    <row r="149" spans="26:37" x14ac:dyDescent="0.3">
      <c r="Z149" t="s">
        <v>670</v>
      </c>
      <c r="AA149" t="s">
        <v>695</v>
      </c>
      <c r="AB149" t="s">
        <v>696</v>
      </c>
      <c r="AC149" t="s">
        <v>697</v>
      </c>
      <c r="AD149" t="s">
        <v>46</v>
      </c>
      <c r="AE149" t="s">
        <v>47</v>
      </c>
      <c r="AF149" t="s">
        <v>48</v>
      </c>
      <c r="AG149" t="s">
        <v>76</v>
      </c>
      <c r="AH149" t="s">
        <v>50</v>
      </c>
      <c r="AI149" t="s">
        <v>51</v>
      </c>
      <c r="AJ149" t="s">
        <v>51</v>
      </c>
      <c r="AK149" t="s">
        <v>52</v>
      </c>
    </row>
    <row r="150" spans="26:37" x14ac:dyDescent="0.3">
      <c r="Z150" t="s">
        <v>670</v>
      </c>
      <c r="AA150" t="s">
        <v>692</v>
      </c>
      <c r="AB150" t="s">
        <v>693</v>
      </c>
      <c r="AC150" t="s">
        <v>694</v>
      </c>
      <c r="AD150" t="s">
        <v>46</v>
      </c>
      <c r="AE150" t="s">
        <v>162</v>
      </c>
      <c r="AF150" t="s">
        <v>60</v>
      </c>
      <c r="AG150" t="s">
        <v>49</v>
      </c>
      <c r="AH150" t="s">
        <v>50</v>
      </c>
      <c r="AI150" t="s">
        <v>51</v>
      </c>
      <c r="AJ150" t="s">
        <v>54</v>
      </c>
      <c r="AK150" t="s">
        <v>52</v>
      </c>
    </row>
    <row r="151" spans="26:37" x14ac:dyDescent="0.3">
      <c r="Z151" t="s">
        <v>670</v>
      </c>
      <c r="AA151" t="s">
        <v>704</v>
      </c>
      <c r="AB151" t="s">
        <v>705</v>
      </c>
      <c r="AC151" t="s">
        <v>706</v>
      </c>
      <c r="AD151" t="s">
        <v>46</v>
      </c>
      <c r="AE151" t="s">
        <v>314</v>
      </c>
      <c r="AF151" t="s">
        <v>60</v>
      </c>
      <c r="AG151" t="s">
        <v>49</v>
      </c>
      <c r="AH151" t="s">
        <v>50</v>
      </c>
      <c r="AI151" t="s">
        <v>51</v>
      </c>
      <c r="AJ151" t="s">
        <v>54</v>
      </c>
      <c r="AK151" t="s">
        <v>52</v>
      </c>
    </row>
    <row r="152" spans="26:37" x14ac:dyDescent="0.3">
      <c r="Z152" t="s">
        <v>670</v>
      </c>
      <c r="AA152" t="s">
        <v>689</v>
      </c>
      <c r="AB152" t="s">
        <v>690</v>
      </c>
      <c r="AC152" t="s">
        <v>691</v>
      </c>
      <c r="AD152" t="s">
        <v>46</v>
      </c>
      <c r="AE152" t="s">
        <v>65</v>
      </c>
      <c r="AF152" t="s">
        <v>60</v>
      </c>
      <c r="AG152" t="s">
        <v>49</v>
      </c>
      <c r="AH152" t="s">
        <v>50</v>
      </c>
      <c r="AI152" t="s">
        <v>51</v>
      </c>
      <c r="AJ152" t="s">
        <v>54</v>
      </c>
      <c r="AK152" t="s">
        <v>52</v>
      </c>
    </row>
    <row r="153" spans="26:37" x14ac:dyDescent="0.3">
      <c r="Z153" t="s">
        <v>670</v>
      </c>
      <c r="AA153" t="s">
        <v>711</v>
      </c>
      <c r="AB153" t="s">
        <v>712</v>
      </c>
      <c r="AC153" t="s">
        <v>713</v>
      </c>
      <c r="AD153" t="s">
        <v>46</v>
      </c>
      <c r="AE153" t="s">
        <v>59</v>
      </c>
      <c r="AF153" t="s">
        <v>60</v>
      </c>
      <c r="AG153" t="s">
        <v>49</v>
      </c>
      <c r="AH153" t="s">
        <v>50</v>
      </c>
      <c r="AI153" t="s">
        <v>51</v>
      </c>
      <c r="AJ153" t="s">
        <v>54</v>
      </c>
      <c r="AK153" t="s">
        <v>134</v>
      </c>
    </row>
    <row r="154" spans="26:37" x14ac:dyDescent="0.3">
      <c r="Z154" t="s">
        <v>715</v>
      </c>
      <c r="AA154" t="s">
        <v>738</v>
      </c>
      <c r="AB154" t="s">
        <v>739</v>
      </c>
      <c r="AC154" t="s">
        <v>740</v>
      </c>
      <c r="AD154" t="s">
        <v>46</v>
      </c>
      <c r="AE154" t="s">
        <v>71</v>
      </c>
      <c r="AF154" t="s">
        <v>60</v>
      </c>
      <c r="AG154" t="s">
        <v>49</v>
      </c>
      <c r="AH154" t="s">
        <v>373</v>
      </c>
      <c r="AI154" t="s">
        <v>54</v>
      </c>
      <c r="AJ154" t="s">
        <v>51</v>
      </c>
      <c r="AK154" t="s">
        <v>134</v>
      </c>
    </row>
    <row r="155" spans="26:37" x14ac:dyDescent="0.3">
      <c r="Z155" t="s">
        <v>715</v>
      </c>
      <c r="AA155" t="s">
        <v>743</v>
      </c>
      <c r="AB155" t="s">
        <v>744</v>
      </c>
      <c r="AC155" t="s">
        <v>745</v>
      </c>
      <c r="AD155" t="s">
        <v>46</v>
      </c>
      <c r="AE155" t="s">
        <v>65</v>
      </c>
      <c r="AF155" t="s">
        <v>60</v>
      </c>
      <c r="AG155" t="s">
        <v>49</v>
      </c>
      <c r="AH155" t="s">
        <v>50</v>
      </c>
      <c r="AI155" t="s">
        <v>51</v>
      </c>
      <c r="AJ155" t="s">
        <v>54</v>
      </c>
      <c r="AK155" t="s">
        <v>134</v>
      </c>
    </row>
    <row r="156" spans="26:37" x14ac:dyDescent="0.3">
      <c r="Z156" t="s">
        <v>670</v>
      </c>
      <c r="AA156" t="s">
        <v>700</v>
      </c>
      <c r="AB156" t="s">
        <v>701</v>
      </c>
      <c r="AC156" t="s">
        <v>702</v>
      </c>
      <c r="AD156" t="s">
        <v>70</v>
      </c>
      <c r="AE156" t="s">
        <v>107</v>
      </c>
      <c r="AF156" t="s">
        <v>60</v>
      </c>
      <c r="AG156" t="s">
        <v>363</v>
      </c>
      <c r="AH156" t="s">
        <v>373</v>
      </c>
      <c r="AI156" t="s">
        <v>51</v>
      </c>
      <c r="AJ156" t="s">
        <v>51</v>
      </c>
      <c r="AK156" t="s">
        <v>52</v>
      </c>
    </row>
    <row r="157" spans="26:37" x14ac:dyDescent="0.3">
      <c r="Z157" t="s">
        <v>715</v>
      </c>
      <c r="AA157" t="s">
        <v>746</v>
      </c>
      <c r="AB157" t="s">
        <v>747</v>
      </c>
      <c r="AC157" t="s">
        <v>748</v>
      </c>
      <c r="AD157" t="s">
        <v>46</v>
      </c>
      <c r="AE157" t="s">
        <v>107</v>
      </c>
      <c r="AF157" t="s">
        <v>60</v>
      </c>
      <c r="AG157" t="s">
        <v>49</v>
      </c>
      <c r="AH157" t="s">
        <v>50</v>
      </c>
      <c r="AI157" t="s">
        <v>51</v>
      </c>
      <c r="AJ157" t="s">
        <v>51</v>
      </c>
      <c r="AK157" t="s">
        <v>134</v>
      </c>
    </row>
    <row r="158" spans="26:37" x14ac:dyDescent="0.3">
      <c r="Z158" t="s">
        <v>670</v>
      </c>
      <c r="AA158" t="s">
        <v>676</v>
      </c>
      <c r="AB158" t="s">
        <v>677</v>
      </c>
      <c r="AC158" t="s">
        <v>678</v>
      </c>
      <c r="AD158" t="s">
        <v>70</v>
      </c>
      <c r="AE158" t="s">
        <v>224</v>
      </c>
      <c r="AF158" t="s">
        <v>60</v>
      </c>
      <c r="AG158" t="s">
        <v>76</v>
      </c>
      <c r="AH158" t="s">
        <v>50</v>
      </c>
      <c r="AI158" t="s">
        <v>51</v>
      </c>
      <c r="AJ158" t="s">
        <v>51</v>
      </c>
      <c r="AK158" t="s">
        <v>52</v>
      </c>
    </row>
    <row r="159" spans="26:37" x14ac:dyDescent="0.3">
      <c r="Z159" t="s">
        <v>670</v>
      </c>
      <c r="AA159" t="s">
        <v>671</v>
      </c>
      <c r="AB159" t="s">
        <v>672</v>
      </c>
      <c r="AC159" t="s">
        <v>673</v>
      </c>
      <c r="AD159" t="s">
        <v>46</v>
      </c>
      <c r="AE159" t="s">
        <v>102</v>
      </c>
      <c r="AF159" t="s">
        <v>48</v>
      </c>
      <c r="AG159" t="s">
        <v>76</v>
      </c>
      <c r="AH159" t="s">
        <v>50</v>
      </c>
      <c r="AI159" t="s">
        <v>51</v>
      </c>
      <c r="AJ159" t="s">
        <v>51</v>
      </c>
      <c r="AK159" t="s">
        <v>52</v>
      </c>
    </row>
    <row r="160" spans="26:37" x14ac:dyDescent="0.3">
      <c r="Z160" t="s">
        <v>670</v>
      </c>
      <c r="AA160" t="s">
        <v>684</v>
      </c>
      <c r="AB160" t="s">
        <v>685</v>
      </c>
      <c r="AC160" t="s">
        <v>686</v>
      </c>
      <c r="AD160" t="s">
        <v>46</v>
      </c>
      <c r="AE160" t="s">
        <v>133</v>
      </c>
      <c r="AF160" t="s">
        <v>60</v>
      </c>
      <c r="AG160" t="s">
        <v>49</v>
      </c>
      <c r="AH160" t="s">
        <v>50</v>
      </c>
      <c r="AI160" t="s">
        <v>51</v>
      </c>
      <c r="AJ160" t="s">
        <v>51</v>
      </c>
      <c r="AK160" t="s">
        <v>52</v>
      </c>
    </row>
    <row r="161" spans="26:37" x14ac:dyDescent="0.3">
      <c r="Z161" t="s">
        <v>715</v>
      </c>
      <c r="AA161" t="s">
        <v>719</v>
      </c>
      <c r="AB161" t="s">
        <v>720</v>
      </c>
      <c r="AC161" t="s">
        <v>721</v>
      </c>
      <c r="AD161" t="s">
        <v>46</v>
      </c>
      <c r="AE161" t="s">
        <v>65</v>
      </c>
      <c r="AF161" t="s">
        <v>60</v>
      </c>
      <c r="AG161" t="s">
        <v>49</v>
      </c>
      <c r="AH161" t="s">
        <v>50</v>
      </c>
      <c r="AI161" t="s">
        <v>51</v>
      </c>
      <c r="AJ161" t="s">
        <v>51</v>
      </c>
      <c r="AK161" t="s">
        <v>52</v>
      </c>
    </row>
    <row r="162" spans="26:37" x14ac:dyDescent="0.3">
      <c r="Z162" t="s">
        <v>715</v>
      </c>
      <c r="AA162" t="s">
        <v>751</v>
      </c>
      <c r="AB162" t="s">
        <v>752</v>
      </c>
      <c r="AC162" t="s">
        <v>753</v>
      </c>
      <c r="AD162" t="s">
        <v>46</v>
      </c>
      <c r="AE162" t="s">
        <v>139</v>
      </c>
      <c r="AF162" t="s">
        <v>60</v>
      </c>
      <c r="AG162" t="s">
        <v>76</v>
      </c>
      <c r="AH162" t="s">
        <v>50</v>
      </c>
      <c r="AI162" t="s">
        <v>51</v>
      </c>
      <c r="AJ162" t="s">
        <v>51</v>
      </c>
      <c r="AK162" t="s">
        <v>134</v>
      </c>
    </row>
    <row r="163" spans="26:37" x14ac:dyDescent="0.3">
      <c r="Z163" t="s">
        <v>715</v>
      </c>
      <c r="AA163" t="s">
        <v>716</v>
      </c>
      <c r="AB163" t="s">
        <v>303</v>
      </c>
      <c r="AC163" t="s">
        <v>717</v>
      </c>
      <c r="AD163" t="s">
        <v>46</v>
      </c>
      <c r="AE163" t="s">
        <v>75</v>
      </c>
      <c r="AF163" t="s">
        <v>60</v>
      </c>
      <c r="AG163" t="s">
        <v>49</v>
      </c>
      <c r="AH163" t="s">
        <v>50</v>
      </c>
      <c r="AI163" t="s">
        <v>51</v>
      </c>
      <c r="AJ163" t="s">
        <v>54</v>
      </c>
      <c r="AK163" t="s">
        <v>52</v>
      </c>
    </row>
    <row r="164" spans="26:37" x14ac:dyDescent="0.3">
      <c r="Z164" t="s">
        <v>756</v>
      </c>
      <c r="AA164" t="s">
        <v>809</v>
      </c>
      <c r="AB164" t="s">
        <v>810</v>
      </c>
      <c r="AC164" t="s">
        <v>811</v>
      </c>
      <c r="AD164" t="s">
        <v>46</v>
      </c>
      <c r="AE164" t="s">
        <v>139</v>
      </c>
      <c r="AF164" t="s">
        <v>60</v>
      </c>
      <c r="AG164" t="s">
        <v>49</v>
      </c>
      <c r="AH164" t="s">
        <v>50</v>
      </c>
      <c r="AI164" t="s">
        <v>51</v>
      </c>
      <c r="AJ164" t="s">
        <v>51</v>
      </c>
      <c r="AK164" t="s">
        <v>134</v>
      </c>
    </row>
    <row r="165" spans="26:37" x14ac:dyDescent="0.3">
      <c r="Z165" t="s">
        <v>756</v>
      </c>
      <c r="AA165" t="s">
        <v>792</v>
      </c>
      <c r="AB165" t="s">
        <v>793</v>
      </c>
      <c r="AC165" t="s">
        <v>794</v>
      </c>
      <c r="AD165" t="s">
        <v>46</v>
      </c>
      <c r="AE165" t="s">
        <v>107</v>
      </c>
      <c r="AF165" t="s">
        <v>60</v>
      </c>
      <c r="AG165" t="s">
        <v>49</v>
      </c>
      <c r="AH165" t="s">
        <v>50</v>
      </c>
      <c r="AI165" t="s">
        <v>51</v>
      </c>
      <c r="AJ165" t="s">
        <v>51</v>
      </c>
      <c r="AK165" t="s">
        <v>134</v>
      </c>
    </row>
    <row r="166" spans="26:37" x14ac:dyDescent="0.3">
      <c r="Z166" t="s">
        <v>756</v>
      </c>
      <c r="AA166" t="s">
        <v>797</v>
      </c>
      <c r="AB166" t="s">
        <v>798</v>
      </c>
      <c r="AC166" t="s">
        <v>799</v>
      </c>
      <c r="AD166" t="s">
        <v>46</v>
      </c>
      <c r="AE166" t="s">
        <v>47</v>
      </c>
      <c r="AF166" t="s">
        <v>60</v>
      </c>
      <c r="AG166" t="s">
        <v>363</v>
      </c>
      <c r="AH166" t="s">
        <v>50</v>
      </c>
      <c r="AI166" t="s">
        <v>51</v>
      </c>
      <c r="AJ166" t="s">
        <v>51</v>
      </c>
      <c r="AK166" t="s">
        <v>134</v>
      </c>
    </row>
    <row r="167" spans="26:37" x14ac:dyDescent="0.3">
      <c r="Z167" t="s">
        <v>756</v>
      </c>
      <c r="AA167" t="s">
        <v>770</v>
      </c>
      <c r="AB167" t="s">
        <v>771</v>
      </c>
      <c r="AC167" t="s">
        <v>772</v>
      </c>
      <c r="AD167" t="s">
        <v>70</v>
      </c>
      <c r="AE167" t="s">
        <v>102</v>
      </c>
      <c r="AF167" t="s">
        <v>48</v>
      </c>
      <c r="AG167" t="s">
        <v>76</v>
      </c>
      <c r="AH167" t="s">
        <v>50</v>
      </c>
      <c r="AI167" t="s">
        <v>51</v>
      </c>
      <c r="AJ167" t="s">
        <v>51</v>
      </c>
      <c r="AK167" t="s">
        <v>52</v>
      </c>
    </row>
    <row r="168" spans="26:37" x14ac:dyDescent="0.3">
      <c r="Z168" t="s">
        <v>756</v>
      </c>
      <c r="AA168" t="s">
        <v>768</v>
      </c>
      <c r="AB168" t="s">
        <v>100</v>
      </c>
      <c r="AC168" t="s">
        <v>769</v>
      </c>
      <c r="AD168" t="s">
        <v>70</v>
      </c>
      <c r="AE168" t="s">
        <v>102</v>
      </c>
      <c r="AF168" t="s">
        <v>48</v>
      </c>
      <c r="AG168" t="s">
        <v>76</v>
      </c>
      <c r="AH168" t="s">
        <v>50</v>
      </c>
      <c r="AI168" t="s">
        <v>51</v>
      </c>
      <c r="AJ168" t="s">
        <v>51</v>
      </c>
      <c r="AK168" t="s">
        <v>52</v>
      </c>
    </row>
    <row r="169" spans="26:37" x14ac:dyDescent="0.3">
      <c r="Z169" t="s">
        <v>756</v>
      </c>
      <c r="AA169" t="s">
        <v>805</v>
      </c>
      <c r="AB169" t="s">
        <v>806</v>
      </c>
      <c r="AC169" t="s">
        <v>807</v>
      </c>
      <c r="AD169" t="s">
        <v>46</v>
      </c>
      <c r="AE169" t="s">
        <v>150</v>
      </c>
      <c r="AF169" t="s">
        <v>48</v>
      </c>
      <c r="AG169" t="s">
        <v>49</v>
      </c>
      <c r="AH169" t="s">
        <v>50</v>
      </c>
      <c r="AI169" t="s">
        <v>51</v>
      </c>
      <c r="AJ169" t="s">
        <v>51</v>
      </c>
      <c r="AK169" t="s">
        <v>134</v>
      </c>
    </row>
    <row r="170" spans="26:37" x14ac:dyDescent="0.3">
      <c r="Z170" t="s">
        <v>715</v>
      </c>
      <c r="AA170" t="s">
        <v>724</v>
      </c>
      <c r="AB170" t="s">
        <v>91</v>
      </c>
      <c r="AC170" t="s">
        <v>725</v>
      </c>
      <c r="AD170" t="s">
        <v>46</v>
      </c>
      <c r="AE170" t="s">
        <v>93</v>
      </c>
      <c r="AF170" t="s">
        <v>60</v>
      </c>
      <c r="AG170" t="s">
        <v>49</v>
      </c>
      <c r="AH170" t="s">
        <v>50</v>
      </c>
      <c r="AI170" t="s">
        <v>51</v>
      </c>
      <c r="AJ170" t="s">
        <v>51</v>
      </c>
      <c r="AK170" t="s">
        <v>52</v>
      </c>
    </row>
    <row r="171" spans="26:37" x14ac:dyDescent="0.3">
      <c r="Z171" t="s">
        <v>715</v>
      </c>
      <c r="AA171" t="s">
        <v>728</v>
      </c>
      <c r="AB171" t="s">
        <v>729</v>
      </c>
      <c r="AC171" t="s">
        <v>730</v>
      </c>
      <c r="AD171" t="s">
        <v>46</v>
      </c>
      <c r="AE171" t="s">
        <v>314</v>
      </c>
      <c r="AF171" t="s">
        <v>48</v>
      </c>
      <c r="AG171" t="s">
        <v>76</v>
      </c>
      <c r="AH171" t="s">
        <v>50</v>
      </c>
      <c r="AI171" t="s">
        <v>51</v>
      </c>
      <c r="AJ171" t="s">
        <v>51</v>
      </c>
      <c r="AK171" t="s">
        <v>52</v>
      </c>
    </row>
    <row r="172" spans="26:37" x14ac:dyDescent="0.3">
      <c r="Z172" t="s">
        <v>715</v>
      </c>
      <c r="AA172" t="s">
        <v>731</v>
      </c>
      <c r="AB172" t="s">
        <v>100</v>
      </c>
      <c r="AC172" t="s">
        <v>732</v>
      </c>
      <c r="AD172" t="s">
        <v>46</v>
      </c>
      <c r="AE172" t="s">
        <v>102</v>
      </c>
      <c r="AF172" t="s">
        <v>48</v>
      </c>
      <c r="AG172" t="s">
        <v>76</v>
      </c>
      <c r="AH172" t="s">
        <v>50</v>
      </c>
      <c r="AI172" t="s">
        <v>51</v>
      </c>
      <c r="AJ172" t="s">
        <v>51</v>
      </c>
      <c r="AK172" t="s">
        <v>52</v>
      </c>
    </row>
    <row r="173" spans="26:37" x14ac:dyDescent="0.3">
      <c r="Z173" t="s">
        <v>756</v>
      </c>
      <c r="AA173" t="s">
        <v>773</v>
      </c>
      <c r="AB173" t="s">
        <v>672</v>
      </c>
      <c r="AC173" t="s">
        <v>774</v>
      </c>
      <c r="AD173" t="s">
        <v>46</v>
      </c>
      <c r="AE173" t="s">
        <v>102</v>
      </c>
      <c r="AF173" t="s">
        <v>48</v>
      </c>
      <c r="AG173" t="s">
        <v>76</v>
      </c>
      <c r="AH173" t="s">
        <v>50</v>
      </c>
      <c r="AI173" t="s">
        <v>51</v>
      </c>
      <c r="AJ173" t="s">
        <v>51</v>
      </c>
      <c r="AK173" t="s">
        <v>52</v>
      </c>
    </row>
    <row r="174" spans="26:37" x14ac:dyDescent="0.3">
      <c r="Z174" t="s">
        <v>756</v>
      </c>
      <c r="AA174" t="s">
        <v>801</v>
      </c>
      <c r="AB174" t="s">
        <v>802</v>
      </c>
      <c r="AC174" t="s">
        <v>803</v>
      </c>
      <c r="AD174" t="s">
        <v>46</v>
      </c>
      <c r="AE174" t="s">
        <v>314</v>
      </c>
      <c r="AF174" t="s">
        <v>60</v>
      </c>
      <c r="AG174" t="s">
        <v>49</v>
      </c>
      <c r="AH174" t="s">
        <v>50</v>
      </c>
      <c r="AI174" t="s">
        <v>51</v>
      </c>
      <c r="AJ174" t="s">
        <v>51</v>
      </c>
      <c r="AK174" t="s">
        <v>134</v>
      </c>
    </row>
    <row r="175" spans="26:37" x14ac:dyDescent="0.3">
      <c r="Z175" t="s">
        <v>715</v>
      </c>
      <c r="AA175" t="s">
        <v>735</v>
      </c>
      <c r="AB175" t="s">
        <v>736</v>
      </c>
      <c r="AC175" t="s">
        <v>737</v>
      </c>
      <c r="AD175" t="s">
        <v>46</v>
      </c>
      <c r="AE175" t="s">
        <v>47</v>
      </c>
      <c r="AF175" t="s">
        <v>48</v>
      </c>
      <c r="AG175" t="s">
        <v>49</v>
      </c>
      <c r="AH175" t="s">
        <v>50</v>
      </c>
      <c r="AI175" t="s">
        <v>51</v>
      </c>
      <c r="AJ175" t="s">
        <v>51</v>
      </c>
      <c r="AK175" t="s">
        <v>52</v>
      </c>
    </row>
    <row r="176" spans="26:37" x14ac:dyDescent="0.3">
      <c r="Z176" t="s">
        <v>756</v>
      </c>
      <c r="AA176" t="s">
        <v>757</v>
      </c>
      <c r="AB176" t="s">
        <v>758</v>
      </c>
      <c r="AC176" t="s">
        <v>759</v>
      </c>
      <c r="AD176" t="s">
        <v>70</v>
      </c>
      <c r="AE176" t="s">
        <v>224</v>
      </c>
      <c r="AF176" t="s">
        <v>60</v>
      </c>
      <c r="AG176" t="s">
        <v>76</v>
      </c>
      <c r="AH176" t="s">
        <v>50</v>
      </c>
      <c r="AI176" t="s">
        <v>51</v>
      </c>
      <c r="AJ176" t="s">
        <v>51</v>
      </c>
      <c r="AK176" t="s">
        <v>52</v>
      </c>
    </row>
    <row r="177" spans="26:37" x14ac:dyDescent="0.3">
      <c r="Z177" t="s">
        <v>756</v>
      </c>
      <c r="AA177" t="s">
        <v>784</v>
      </c>
      <c r="AB177" t="s">
        <v>785</v>
      </c>
      <c r="AC177" t="s">
        <v>786</v>
      </c>
      <c r="AD177" t="s">
        <v>46</v>
      </c>
      <c r="AE177" t="s">
        <v>162</v>
      </c>
      <c r="AF177" t="s">
        <v>60</v>
      </c>
      <c r="AG177" t="s">
        <v>49</v>
      </c>
      <c r="AH177" t="s">
        <v>50</v>
      </c>
      <c r="AI177" t="s">
        <v>51</v>
      </c>
      <c r="AJ177" t="s">
        <v>51</v>
      </c>
      <c r="AK177" t="s">
        <v>52</v>
      </c>
    </row>
    <row r="178" spans="26:37" x14ac:dyDescent="0.3">
      <c r="Z178" t="s">
        <v>756</v>
      </c>
      <c r="AA178" t="s">
        <v>789</v>
      </c>
      <c r="AB178" t="s">
        <v>790</v>
      </c>
      <c r="AC178" t="s">
        <v>791</v>
      </c>
      <c r="AD178" t="s">
        <v>46</v>
      </c>
      <c r="AE178" t="s">
        <v>162</v>
      </c>
      <c r="AF178" t="s">
        <v>60</v>
      </c>
      <c r="AG178" t="s">
        <v>49</v>
      </c>
      <c r="AH178" t="s">
        <v>50</v>
      </c>
      <c r="AI178" t="s">
        <v>51</v>
      </c>
      <c r="AJ178" t="s">
        <v>54</v>
      </c>
      <c r="AK178" t="s">
        <v>52</v>
      </c>
    </row>
    <row r="179" spans="26:37" x14ac:dyDescent="0.3">
      <c r="Z179" t="s">
        <v>814</v>
      </c>
      <c r="AA179" t="s">
        <v>848</v>
      </c>
      <c r="AB179" t="s">
        <v>849</v>
      </c>
      <c r="AC179" t="s">
        <v>850</v>
      </c>
      <c r="AD179" t="s">
        <v>46</v>
      </c>
      <c r="AE179" t="s">
        <v>65</v>
      </c>
      <c r="AF179" t="s">
        <v>60</v>
      </c>
      <c r="AG179" t="s">
        <v>49</v>
      </c>
      <c r="AH179" t="s">
        <v>50</v>
      </c>
      <c r="AI179" t="s">
        <v>51</v>
      </c>
      <c r="AJ179" t="s">
        <v>51</v>
      </c>
      <c r="AK179" t="s">
        <v>134</v>
      </c>
    </row>
    <row r="180" spans="26:37" x14ac:dyDescent="0.3">
      <c r="Z180" t="s">
        <v>814</v>
      </c>
      <c r="AA180" t="s">
        <v>853</v>
      </c>
      <c r="AB180" t="s">
        <v>854</v>
      </c>
      <c r="AC180" t="s">
        <v>855</v>
      </c>
      <c r="AD180" t="s">
        <v>46</v>
      </c>
      <c r="AE180" t="s">
        <v>71</v>
      </c>
      <c r="AF180" t="s">
        <v>60</v>
      </c>
      <c r="AG180" t="s">
        <v>49</v>
      </c>
      <c r="AH180" t="s">
        <v>50</v>
      </c>
      <c r="AI180" t="s">
        <v>51</v>
      </c>
      <c r="AJ180" t="s">
        <v>51</v>
      </c>
      <c r="AK180" t="s">
        <v>134</v>
      </c>
    </row>
    <row r="181" spans="26:37" x14ac:dyDescent="0.3">
      <c r="Z181" t="s">
        <v>756</v>
      </c>
      <c r="AA181" t="s">
        <v>777</v>
      </c>
      <c r="AB181" t="s">
        <v>778</v>
      </c>
      <c r="AC181" t="s">
        <v>779</v>
      </c>
      <c r="AD181" t="s">
        <v>70</v>
      </c>
      <c r="AE181" t="s">
        <v>75</v>
      </c>
      <c r="AF181" t="s">
        <v>48</v>
      </c>
      <c r="AG181" t="s">
        <v>76</v>
      </c>
      <c r="AH181" t="s">
        <v>50</v>
      </c>
      <c r="AI181" t="s">
        <v>51</v>
      </c>
      <c r="AJ181" t="s">
        <v>54</v>
      </c>
      <c r="AK181" t="s">
        <v>52</v>
      </c>
    </row>
    <row r="182" spans="26:37" x14ac:dyDescent="0.3">
      <c r="Z182" t="s">
        <v>814</v>
      </c>
      <c r="AA182" t="s">
        <v>858</v>
      </c>
      <c r="AB182" t="s">
        <v>859</v>
      </c>
      <c r="AC182" t="s">
        <v>860</v>
      </c>
      <c r="AD182" t="s">
        <v>46</v>
      </c>
      <c r="AE182" t="s">
        <v>150</v>
      </c>
      <c r="AF182" t="s">
        <v>60</v>
      </c>
      <c r="AG182" t="s">
        <v>49</v>
      </c>
      <c r="AH182" t="s">
        <v>50</v>
      </c>
      <c r="AI182" t="s">
        <v>51</v>
      </c>
      <c r="AJ182" t="s">
        <v>51</v>
      </c>
      <c r="AK182" t="s">
        <v>134</v>
      </c>
    </row>
    <row r="183" spans="26:37" x14ac:dyDescent="0.3">
      <c r="Z183" t="s">
        <v>814</v>
      </c>
      <c r="AA183" t="s">
        <v>863</v>
      </c>
      <c r="AB183" t="s">
        <v>864</v>
      </c>
      <c r="AC183" t="s">
        <v>865</v>
      </c>
      <c r="AD183" t="s">
        <v>46</v>
      </c>
      <c r="AE183" t="s">
        <v>107</v>
      </c>
      <c r="AF183" t="s">
        <v>60</v>
      </c>
      <c r="AG183" t="s">
        <v>49</v>
      </c>
      <c r="AH183" t="s">
        <v>50</v>
      </c>
      <c r="AI183" t="s">
        <v>51</v>
      </c>
      <c r="AJ183" t="s">
        <v>51</v>
      </c>
      <c r="AK183" t="s">
        <v>134</v>
      </c>
    </row>
    <row r="184" spans="26:37" x14ac:dyDescent="0.3">
      <c r="Z184" t="s">
        <v>814</v>
      </c>
      <c r="AA184" t="s">
        <v>868</v>
      </c>
      <c r="AB184" t="s">
        <v>869</v>
      </c>
      <c r="AC184" t="s">
        <v>870</v>
      </c>
      <c r="AD184" t="s">
        <v>46</v>
      </c>
      <c r="AE184" t="s">
        <v>139</v>
      </c>
      <c r="AF184" t="s">
        <v>60</v>
      </c>
      <c r="AG184" t="s">
        <v>49</v>
      </c>
      <c r="AH184" t="s">
        <v>50</v>
      </c>
      <c r="AI184" t="s">
        <v>51</v>
      </c>
      <c r="AJ184" t="s">
        <v>51</v>
      </c>
      <c r="AK184" t="s">
        <v>134</v>
      </c>
    </row>
    <row r="185" spans="26:37" x14ac:dyDescent="0.3">
      <c r="Z185" t="s">
        <v>756</v>
      </c>
      <c r="AA185" t="s">
        <v>764</v>
      </c>
      <c r="AB185" t="s">
        <v>765</v>
      </c>
      <c r="AC185" t="s">
        <v>766</v>
      </c>
      <c r="AD185" t="s">
        <v>46</v>
      </c>
      <c r="AE185" t="s">
        <v>65</v>
      </c>
      <c r="AF185" t="s">
        <v>60</v>
      </c>
      <c r="AG185" t="s">
        <v>49</v>
      </c>
      <c r="AH185" t="s">
        <v>50</v>
      </c>
      <c r="AI185" t="s">
        <v>51</v>
      </c>
      <c r="AJ185" t="s">
        <v>51</v>
      </c>
      <c r="AK185" t="s">
        <v>52</v>
      </c>
    </row>
    <row r="186" spans="26:37" x14ac:dyDescent="0.3">
      <c r="Z186" t="s">
        <v>756</v>
      </c>
      <c r="AA186" t="s">
        <v>781</v>
      </c>
      <c r="AB186" t="s">
        <v>782</v>
      </c>
      <c r="AC186" t="s">
        <v>783</v>
      </c>
      <c r="AD186" t="s">
        <v>46</v>
      </c>
      <c r="AE186" t="s">
        <v>121</v>
      </c>
      <c r="AF186" t="s">
        <v>60</v>
      </c>
      <c r="AG186" t="s">
        <v>49</v>
      </c>
      <c r="AH186" t="s">
        <v>50</v>
      </c>
      <c r="AI186" t="s">
        <v>51</v>
      </c>
      <c r="AJ186" t="s">
        <v>51</v>
      </c>
      <c r="AK186" t="s">
        <v>52</v>
      </c>
    </row>
    <row r="187" spans="26:37" x14ac:dyDescent="0.3">
      <c r="Z187" t="s">
        <v>756</v>
      </c>
      <c r="AA187" t="s">
        <v>760</v>
      </c>
      <c r="AB187" t="s">
        <v>761</v>
      </c>
      <c r="AC187" t="s">
        <v>762</v>
      </c>
      <c r="AD187" t="s">
        <v>46</v>
      </c>
      <c r="AE187" t="s">
        <v>93</v>
      </c>
      <c r="AF187" t="s">
        <v>60</v>
      </c>
      <c r="AG187" t="s">
        <v>49</v>
      </c>
      <c r="AH187" t="s">
        <v>50</v>
      </c>
      <c r="AI187" t="s">
        <v>51</v>
      </c>
      <c r="AJ187" t="s">
        <v>51</v>
      </c>
      <c r="AK187" t="s">
        <v>52</v>
      </c>
    </row>
    <row r="188" spans="26:37" x14ac:dyDescent="0.3">
      <c r="Z188" t="s">
        <v>814</v>
      </c>
      <c r="AA188" t="s">
        <v>815</v>
      </c>
      <c r="AB188" t="s">
        <v>816</v>
      </c>
      <c r="AC188" t="s">
        <v>817</v>
      </c>
      <c r="AD188" t="s">
        <v>46</v>
      </c>
      <c r="AE188" t="s">
        <v>93</v>
      </c>
      <c r="AF188" t="s">
        <v>60</v>
      </c>
      <c r="AG188" t="s">
        <v>49</v>
      </c>
      <c r="AH188" t="s">
        <v>50</v>
      </c>
      <c r="AI188" t="s">
        <v>51</v>
      </c>
      <c r="AJ188" t="s">
        <v>51</v>
      </c>
      <c r="AK188" t="s">
        <v>52</v>
      </c>
    </row>
    <row r="189" spans="26:37" x14ac:dyDescent="0.3">
      <c r="Z189" t="s">
        <v>814</v>
      </c>
      <c r="AA189" t="s">
        <v>820</v>
      </c>
      <c r="AB189" t="s">
        <v>821</v>
      </c>
      <c r="AC189" t="s">
        <v>822</v>
      </c>
      <c r="AD189" t="s">
        <v>46</v>
      </c>
      <c r="AE189" t="s">
        <v>240</v>
      </c>
      <c r="AF189" t="s">
        <v>48</v>
      </c>
      <c r="AG189" t="s">
        <v>363</v>
      </c>
      <c r="AH189" t="s">
        <v>50</v>
      </c>
      <c r="AI189" t="s">
        <v>51</v>
      </c>
      <c r="AJ189" t="s">
        <v>51</v>
      </c>
      <c r="AK189" t="s">
        <v>52</v>
      </c>
    </row>
    <row r="190" spans="26:37" x14ac:dyDescent="0.3">
      <c r="Z190" t="s">
        <v>814</v>
      </c>
      <c r="AA190" t="s">
        <v>872</v>
      </c>
      <c r="AB190" t="s">
        <v>873</v>
      </c>
      <c r="AC190" t="s">
        <v>874</v>
      </c>
      <c r="AD190" t="s">
        <v>46</v>
      </c>
      <c r="AE190" t="s">
        <v>121</v>
      </c>
      <c r="AF190" t="s">
        <v>60</v>
      </c>
      <c r="AG190" t="s">
        <v>49</v>
      </c>
      <c r="AH190" t="s">
        <v>50</v>
      </c>
      <c r="AI190" t="s">
        <v>51</v>
      </c>
      <c r="AJ190" t="s">
        <v>51</v>
      </c>
      <c r="AK190" t="s">
        <v>134</v>
      </c>
    </row>
    <row r="191" spans="26:37" x14ac:dyDescent="0.3">
      <c r="Z191" t="s">
        <v>814</v>
      </c>
      <c r="AA191" t="s">
        <v>825</v>
      </c>
      <c r="AB191" t="s">
        <v>826</v>
      </c>
      <c r="AC191" t="s">
        <v>827</v>
      </c>
      <c r="AD191" t="s">
        <v>46</v>
      </c>
      <c r="AE191" t="s">
        <v>162</v>
      </c>
      <c r="AF191" t="s">
        <v>60</v>
      </c>
      <c r="AG191" t="s">
        <v>49</v>
      </c>
      <c r="AH191" t="s">
        <v>373</v>
      </c>
      <c r="AI191" t="s">
        <v>51</v>
      </c>
      <c r="AJ191" t="s">
        <v>51</v>
      </c>
      <c r="AK191" t="s">
        <v>52</v>
      </c>
    </row>
    <row r="192" spans="26:37" x14ac:dyDescent="0.3">
      <c r="Z192" t="s">
        <v>814</v>
      </c>
      <c r="AA192" t="s">
        <v>877</v>
      </c>
      <c r="AB192" t="s">
        <v>878</v>
      </c>
      <c r="AC192" t="s">
        <v>879</v>
      </c>
      <c r="AD192" t="s">
        <v>46</v>
      </c>
      <c r="AE192" t="s">
        <v>314</v>
      </c>
      <c r="AF192" t="s">
        <v>60</v>
      </c>
      <c r="AG192" t="s">
        <v>49</v>
      </c>
      <c r="AH192" t="s">
        <v>50</v>
      </c>
      <c r="AI192" t="s">
        <v>51</v>
      </c>
      <c r="AJ192" t="s">
        <v>51</v>
      </c>
      <c r="AK192" t="s">
        <v>134</v>
      </c>
    </row>
    <row r="193" spans="10:37" x14ac:dyDescent="0.3">
      <c r="Z193" t="s">
        <v>814</v>
      </c>
      <c r="AA193" t="s">
        <v>882</v>
      </c>
      <c r="AB193" t="s">
        <v>883</v>
      </c>
      <c r="AC193" t="s">
        <v>884</v>
      </c>
      <c r="AD193" t="s">
        <v>46</v>
      </c>
      <c r="AE193" t="s">
        <v>314</v>
      </c>
      <c r="AF193" t="s">
        <v>48</v>
      </c>
      <c r="AG193" t="s">
        <v>76</v>
      </c>
      <c r="AH193" t="s">
        <v>50</v>
      </c>
      <c r="AI193" t="s">
        <v>51</v>
      </c>
      <c r="AJ193" t="s">
        <v>51</v>
      </c>
      <c r="AK193" t="s">
        <v>134</v>
      </c>
    </row>
    <row r="194" spans="10:37" x14ac:dyDescent="0.3">
      <c r="Z194" t="s">
        <v>887</v>
      </c>
      <c r="AA194" t="s">
        <v>905</v>
      </c>
      <c r="AB194" t="s">
        <v>906</v>
      </c>
      <c r="AC194" t="s">
        <v>907</v>
      </c>
      <c r="AD194" t="s">
        <v>46</v>
      </c>
      <c r="AE194" t="s">
        <v>71</v>
      </c>
      <c r="AF194" t="s">
        <v>60</v>
      </c>
      <c r="AG194" t="s">
        <v>49</v>
      </c>
      <c r="AH194" t="s">
        <v>50</v>
      </c>
      <c r="AI194" t="s">
        <v>51</v>
      </c>
      <c r="AJ194" t="s">
        <v>51</v>
      </c>
      <c r="AK194" t="s">
        <v>134</v>
      </c>
    </row>
    <row r="195" spans="10:37" x14ac:dyDescent="0.3">
      <c r="Z195" t="s">
        <v>814</v>
      </c>
      <c r="AA195" t="s">
        <v>830</v>
      </c>
      <c r="AB195" t="s">
        <v>806</v>
      </c>
      <c r="AC195" t="s">
        <v>831</v>
      </c>
      <c r="AD195" t="s">
        <v>46</v>
      </c>
      <c r="AE195" t="s">
        <v>150</v>
      </c>
      <c r="AF195" t="s">
        <v>48</v>
      </c>
      <c r="AG195" t="s">
        <v>49</v>
      </c>
      <c r="AH195" t="s">
        <v>50</v>
      </c>
      <c r="AI195" t="s">
        <v>51</v>
      </c>
      <c r="AJ195" t="s">
        <v>51</v>
      </c>
      <c r="AK195" t="s">
        <v>52</v>
      </c>
    </row>
    <row r="196" spans="10:37" x14ac:dyDescent="0.3">
      <c r="Z196" t="s">
        <v>887</v>
      </c>
      <c r="AA196" t="s">
        <v>928</v>
      </c>
      <c r="AB196" t="s">
        <v>929</v>
      </c>
      <c r="AC196" t="s">
        <v>930</v>
      </c>
      <c r="AD196" t="s">
        <v>46</v>
      </c>
      <c r="AE196" t="s">
        <v>65</v>
      </c>
      <c r="AF196" t="s">
        <v>60</v>
      </c>
      <c r="AG196" t="s">
        <v>49</v>
      </c>
      <c r="AH196" t="s">
        <v>50</v>
      </c>
      <c r="AI196" t="s">
        <v>51</v>
      </c>
      <c r="AJ196" t="s">
        <v>54</v>
      </c>
      <c r="AK196" t="s">
        <v>134</v>
      </c>
    </row>
    <row r="197" spans="10:37" x14ac:dyDescent="0.3">
      <c r="Z197" t="s">
        <v>887</v>
      </c>
      <c r="AA197" t="s">
        <v>897</v>
      </c>
      <c r="AB197" t="s">
        <v>898</v>
      </c>
      <c r="AC197" t="s">
        <v>899</v>
      </c>
      <c r="AD197" t="s">
        <v>46</v>
      </c>
      <c r="AE197" t="s">
        <v>139</v>
      </c>
      <c r="AF197" t="s">
        <v>60</v>
      </c>
      <c r="AG197" t="s">
        <v>49</v>
      </c>
      <c r="AH197" t="s">
        <v>50</v>
      </c>
      <c r="AI197" t="s">
        <v>51</v>
      </c>
      <c r="AJ197" t="s">
        <v>51</v>
      </c>
      <c r="AK197" t="s">
        <v>52</v>
      </c>
    </row>
    <row r="198" spans="10:37" x14ac:dyDescent="0.3">
      <c r="Z198" t="s">
        <v>887</v>
      </c>
      <c r="AA198" t="s">
        <v>924</v>
      </c>
      <c r="AB198" t="s">
        <v>925</v>
      </c>
      <c r="AC198" t="s">
        <v>926</v>
      </c>
      <c r="AD198" t="s">
        <v>46</v>
      </c>
      <c r="AE198" t="s">
        <v>314</v>
      </c>
      <c r="AF198" t="s">
        <v>60</v>
      </c>
      <c r="AG198" t="s">
        <v>49</v>
      </c>
      <c r="AH198" t="s">
        <v>50</v>
      </c>
      <c r="AI198" t="s">
        <v>51</v>
      </c>
      <c r="AJ198" t="s">
        <v>54</v>
      </c>
      <c r="AK198" t="s">
        <v>134</v>
      </c>
    </row>
    <row r="199" spans="10:37" x14ac:dyDescent="0.3">
      <c r="Z199" t="s">
        <v>814</v>
      </c>
      <c r="AA199" t="s">
        <v>833</v>
      </c>
      <c r="AB199" t="s">
        <v>834</v>
      </c>
      <c r="AC199" t="s">
        <v>835</v>
      </c>
      <c r="AD199" t="s">
        <v>46</v>
      </c>
      <c r="AE199" t="s">
        <v>240</v>
      </c>
      <c r="AF199" t="s">
        <v>48</v>
      </c>
      <c r="AG199" t="s">
        <v>76</v>
      </c>
      <c r="AH199" t="s">
        <v>50</v>
      </c>
      <c r="AI199" t="s">
        <v>51</v>
      </c>
      <c r="AJ199" t="s">
        <v>51</v>
      </c>
      <c r="AK199" t="s">
        <v>52</v>
      </c>
    </row>
    <row r="200" spans="10:37" x14ac:dyDescent="0.3">
      <c r="Z200" t="s">
        <v>814</v>
      </c>
      <c r="AA200" t="s">
        <v>838</v>
      </c>
      <c r="AB200" t="s">
        <v>839</v>
      </c>
      <c r="AC200" t="s">
        <v>840</v>
      </c>
      <c r="AD200" t="s">
        <v>46</v>
      </c>
      <c r="AE200" t="s">
        <v>102</v>
      </c>
      <c r="AF200" t="s">
        <v>48</v>
      </c>
      <c r="AG200" t="s">
        <v>76</v>
      </c>
      <c r="AH200" t="s">
        <v>50</v>
      </c>
      <c r="AI200" t="s">
        <v>51</v>
      </c>
      <c r="AJ200" t="s">
        <v>51</v>
      </c>
      <c r="AK200" t="s">
        <v>52</v>
      </c>
    </row>
    <row r="201" spans="10:37" x14ac:dyDescent="0.3">
      <c r="Z201" t="s">
        <v>887</v>
      </c>
      <c r="AA201" t="s">
        <v>914</v>
      </c>
      <c r="AB201" t="s">
        <v>915</v>
      </c>
      <c r="AC201" t="s">
        <v>916</v>
      </c>
      <c r="AD201" t="s">
        <v>46</v>
      </c>
      <c r="AE201" t="s">
        <v>65</v>
      </c>
      <c r="AF201" t="s">
        <v>60</v>
      </c>
      <c r="AG201" t="s">
        <v>49</v>
      </c>
      <c r="AH201" t="s">
        <v>50</v>
      </c>
      <c r="AI201" t="s">
        <v>51</v>
      </c>
      <c r="AJ201" t="s">
        <v>51</v>
      </c>
      <c r="AK201" t="s">
        <v>134</v>
      </c>
    </row>
    <row r="202" spans="10:37" x14ac:dyDescent="0.3">
      <c r="Z202" t="s">
        <v>887</v>
      </c>
      <c r="AA202" t="s">
        <v>909</v>
      </c>
      <c r="AB202" t="s">
        <v>910</v>
      </c>
      <c r="AC202" t="s">
        <v>911</v>
      </c>
      <c r="AD202" t="s">
        <v>46</v>
      </c>
      <c r="AE202" t="s">
        <v>47</v>
      </c>
      <c r="AF202" t="s">
        <v>60</v>
      </c>
      <c r="AG202" t="s">
        <v>49</v>
      </c>
      <c r="AH202" t="s">
        <v>50</v>
      </c>
      <c r="AI202" t="s">
        <v>51</v>
      </c>
      <c r="AJ202" t="s">
        <v>51</v>
      </c>
      <c r="AK202" t="s">
        <v>134</v>
      </c>
    </row>
    <row r="203" spans="10:37" x14ac:dyDescent="0.3">
      <c r="Z203" t="s">
        <v>887</v>
      </c>
      <c r="AA203" t="s">
        <v>917</v>
      </c>
      <c r="AB203" t="s">
        <v>918</v>
      </c>
      <c r="AC203" t="s">
        <v>919</v>
      </c>
      <c r="AD203" t="s">
        <v>46</v>
      </c>
      <c r="AE203" t="s">
        <v>47</v>
      </c>
      <c r="AF203" t="s">
        <v>60</v>
      </c>
      <c r="AG203" t="s">
        <v>49</v>
      </c>
      <c r="AH203" t="s">
        <v>50</v>
      </c>
      <c r="AI203" t="s">
        <v>51</v>
      </c>
      <c r="AJ203" t="s">
        <v>54</v>
      </c>
      <c r="AK203" t="s">
        <v>134</v>
      </c>
    </row>
    <row r="204" spans="10:37" x14ac:dyDescent="0.3">
      <c r="J204">
        <v>0</v>
      </c>
      <c r="Z204" t="s">
        <v>887</v>
      </c>
      <c r="AA204" t="s">
        <v>921</v>
      </c>
      <c r="AB204" t="s">
        <v>922</v>
      </c>
      <c r="AC204" s="11" t="s">
        <v>923</v>
      </c>
      <c r="AD204" t="s">
        <v>46</v>
      </c>
      <c r="AE204" t="s">
        <v>47</v>
      </c>
      <c r="AF204" t="s">
        <v>60</v>
      </c>
      <c r="AG204" t="s">
        <v>49</v>
      </c>
      <c r="AH204" t="s">
        <v>50</v>
      </c>
      <c r="AI204" t="s">
        <v>51</v>
      </c>
      <c r="AJ204" t="s">
        <v>54</v>
      </c>
      <c r="AK204" t="s">
        <v>134</v>
      </c>
    </row>
    <row r="205" spans="10:37" x14ac:dyDescent="0.3">
      <c r="Z205" t="s">
        <v>932</v>
      </c>
      <c r="AA205" t="s">
        <v>944</v>
      </c>
      <c r="AB205" t="s">
        <v>945</v>
      </c>
      <c r="AC205" t="s">
        <v>946</v>
      </c>
      <c r="AD205" t="s">
        <v>46</v>
      </c>
      <c r="AE205" t="s">
        <v>314</v>
      </c>
      <c r="AF205" t="s">
        <v>48</v>
      </c>
      <c r="AG205" t="s">
        <v>363</v>
      </c>
      <c r="AH205" t="s">
        <v>50</v>
      </c>
      <c r="AI205" t="s">
        <v>51</v>
      </c>
      <c r="AJ205" t="s">
        <v>51</v>
      </c>
      <c r="AK205" t="s">
        <v>134</v>
      </c>
    </row>
    <row r="206" spans="10:37" x14ac:dyDescent="0.3">
      <c r="Z206" t="s">
        <v>932</v>
      </c>
      <c r="AA206" t="s">
        <v>949</v>
      </c>
      <c r="AB206" t="s">
        <v>303</v>
      </c>
      <c r="AC206" t="s">
        <v>950</v>
      </c>
      <c r="AD206" t="s">
        <v>46</v>
      </c>
      <c r="AE206" t="s">
        <v>75</v>
      </c>
      <c r="AF206" t="s">
        <v>60</v>
      </c>
      <c r="AG206" t="s">
        <v>49</v>
      </c>
      <c r="AH206" t="s">
        <v>50</v>
      </c>
      <c r="AI206" t="s">
        <v>51</v>
      </c>
      <c r="AJ206" t="s">
        <v>51</v>
      </c>
      <c r="AK206" t="s">
        <v>134</v>
      </c>
    </row>
    <row r="207" spans="10:37" x14ac:dyDescent="0.3">
      <c r="Z207" t="s">
        <v>932</v>
      </c>
      <c r="AA207" t="s">
        <v>953</v>
      </c>
      <c r="AB207" t="s">
        <v>954</v>
      </c>
      <c r="AC207" t="s">
        <v>955</v>
      </c>
      <c r="AD207" t="s">
        <v>46</v>
      </c>
      <c r="AE207" t="s">
        <v>47</v>
      </c>
      <c r="AF207" t="s">
        <v>60</v>
      </c>
      <c r="AG207" t="s">
        <v>49</v>
      </c>
      <c r="AH207" t="s">
        <v>50</v>
      </c>
      <c r="AI207" t="s">
        <v>51</v>
      </c>
      <c r="AJ207" t="s">
        <v>51</v>
      </c>
      <c r="AK207" t="s">
        <v>134</v>
      </c>
    </row>
    <row r="208" spans="10:37" x14ac:dyDescent="0.3">
      <c r="Z208" t="s">
        <v>814</v>
      </c>
      <c r="AA208" t="s">
        <v>843</v>
      </c>
      <c r="AB208" t="s">
        <v>844</v>
      </c>
      <c r="AC208" t="s">
        <v>845</v>
      </c>
      <c r="AD208" t="s">
        <v>46</v>
      </c>
      <c r="AE208" t="s">
        <v>133</v>
      </c>
      <c r="AF208" t="s">
        <v>60</v>
      </c>
      <c r="AG208" t="s">
        <v>49</v>
      </c>
      <c r="AH208" t="s">
        <v>50</v>
      </c>
      <c r="AI208" t="s">
        <v>51</v>
      </c>
      <c r="AJ208" t="s">
        <v>51</v>
      </c>
      <c r="AK208" t="s">
        <v>52</v>
      </c>
    </row>
    <row r="209" spans="14:37" x14ac:dyDescent="0.3">
      <c r="Z209" t="s">
        <v>932</v>
      </c>
      <c r="AA209" t="s">
        <v>958</v>
      </c>
      <c r="AB209" t="s">
        <v>959</v>
      </c>
      <c r="AC209" t="s">
        <v>960</v>
      </c>
      <c r="AD209" t="s">
        <v>46</v>
      </c>
      <c r="AE209" t="s">
        <v>240</v>
      </c>
      <c r="AF209" t="s">
        <v>60</v>
      </c>
      <c r="AG209" t="s">
        <v>49</v>
      </c>
      <c r="AH209" t="s">
        <v>50</v>
      </c>
      <c r="AI209" t="s">
        <v>51</v>
      </c>
      <c r="AJ209" t="s">
        <v>51</v>
      </c>
      <c r="AK209" t="s">
        <v>134</v>
      </c>
    </row>
    <row r="210" spans="14:37" x14ac:dyDescent="0.3">
      <c r="Z210" t="s">
        <v>932</v>
      </c>
      <c r="AA210" t="s">
        <v>940</v>
      </c>
      <c r="AB210" t="s">
        <v>941</v>
      </c>
      <c r="AC210" t="s">
        <v>942</v>
      </c>
      <c r="AD210" t="s">
        <v>46</v>
      </c>
      <c r="AE210" t="s">
        <v>71</v>
      </c>
      <c r="AF210" t="s">
        <v>60</v>
      </c>
      <c r="AG210" t="s">
        <v>49</v>
      </c>
      <c r="AH210" t="s">
        <v>50</v>
      </c>
      <c r="AI210" t="s">
        <v>51</v>
      </c>
      <c r="AJ210" t="s">
        <v>51</v>
      </c>
      <c r="AK210" t="s">
        <v>134</v>
      </c>
    </row>
    <row r="211" spans="14:37" x14ac:dyDescent="0.3">
      <c r="Z211" t="s">
        <v>932</v>
      </c>
      <c r="AA211" t="s">
        <v>961</v>
      </c>
      <c r="AB211" t="s">
        <v>962</v>
      </c>
      <c r="AC211" t="s">
        <v>963</v>
      </c>
      <c r="AD211" t="s">
        <v>46</v>
      </c>
      <c r="AE211" t="s">
        <v>107</v>
      </c>
      <c r="AF211" t="s">
        <v>60</v>
      </c>
      <c r="AG211" t="s">
        <v>49</v>
      </c>
      <c r="AH211" t="s">
        <v>373</v>
      </c>
      <c r="AI211" t="s">
        <v>54</v>
      </c>
      <c r="AJ211" t="s">
        <v>51</v>
      </c>
      <c r="AK211" t="s">
        <v>134</v>
      </c>
    </row>
    <row r="212" spans="14:37" x14ac:dyDescent="0.3">
      <c r="Z212" t="s">
        <v>887</v>
      </c>
      <c r="AA212" t="s">
        <v>888</v>
      </c>
      <c r="AB212" t="s">
        <v>889</v>
      </c>
      <c r="AC212" t="s">
        <v>890</v>
      </c>
      <c r="AD212" t="s">
        <v>46</v>
      </c>
      <c r="AE212" t="s">
        <v>240</v>
      </c>
      <c r="AF212" t="s">
        <v>60</v>
      </c>
      <c r="AG212" t="s">
        <v>49</v>
      </c>
      <c r="AH212" t="s">
        <v>50</v>
      </c>
      <c r="AI212" t="s">
        <v>51</v>
      </c>
      <c r="AJ212" t="s">
        <v>51</v>
      </c>
      <c r="AK212" t="s">
        <v>52</v>
      </c>
    </row>
    <row r="213" spans="14:37" x14ac:dyDescent="0.3">
      <c r="Z213" t="s">
        <v>966</v>
      </c>
      <c r="AA213" t="s">
        <v>1021</v>
      </c>
      <c r="AB213" t="s">
        <v>1022</v>
      </c>
      <c r="AC213" t="s">
        <v>1023</v>
      </c>
      <c r="AD213" t="s">
        <v>46</v>
      </c>
      <c r="AE213" t="s">
        <v>71</v>
      </c>
      <c r="AF213" t="s">
        <v>60</v>
      </c>
      <c r="AG213" t="s">
        <v>49</v>
      </c>
      <c r="AH213" t="s">
        <v>50</v>
      </c>
      <c r="AI213" t="s">
        <v>51</v>
      </c>
      <c r="AJ213" t="s">
        <v>51</v>
      </c>
      <c r="AK213" t="s">
        <v>134</v>
      </c>
    </row>
    <row r="214" spans="14:37" x14ac:dyDescent="0.3">
      <c r="Z214" t="s">
        <v>887</v>
      </c>
      <c r="AA214" t="s">
        <v>892</v>
      </c>
      <c r="AB214" t="s">
        <v>893</v>
      </c>
      <c r="AC214" t="s">
        <v>894</v>
      </c>
      <c r="AD214" t="s">
        <v>46</v>
      </c>
      <c r="AE214" t="s">
        <v>133</v>
      </c>
      <c r="AF214" t="s">
        <v>60</v>
      </c>
      <c r="AG214" t="s">
        <v>49</v>
      </c>
      <c r="AH214" t="s">
        <v>50</v>
      </c>
      <c r="AI214" t="s">
        <v>51</v>
      </c>
      <c r="AJ214" t="s">
        <v>51</v>
      </c>
      <c r="AK214" t="s">
        <v>52</v>
      </c>
    </row>
    <row r="215" spans="14:37" x14ac:dyDescent="0.3">
      <c r="Z215" t="s">
        <v>966</v>
      </c>
      <c r="AA215" t="s">
        <v>1025</v>
      </c>
      <c r="AB215" t="s">
        <v>1026</v>
      </c>
      <c r="AC215" t="s">
        <v>1027</v>
      </c>
      <c r="AD215" t="s">
        <v>70</v>
      </c>
      <c r="AE215" t="s">
        <v>71</v>
      </c>
      <c r="AF215" t="s">
        <v>60</v>
      </c>
      <c r="AG215" t="s">
        <v>49</v>
      </c>
      <c r="AH215" t="s">
        <v>50</v>
      </c>
      <c r="AI215" t="s">
        <v>51</v>
      </c>
      <c r="AJ215" t="s">
        <v>51</v>
      </c>
      <c r="AK215" t="s">
        <v>134</v>
      </c>
    </row>
    <row r="216" spans="14:37" x14ac:dyDescent="0.3">
      <c r="N216" s="22"/>
      <c r="Z216" t="s">
        <v>932</v>
      </c>
      <c r="AA216" t="s">
        <v>933</v>
      </c>
      <c r="AB216" t="s">
        <v>934</v>
      </c>
      <c r="AC216" t="s">
        <v>935</v>
      </c>
      <c r="AD216" t="s">
        <v>46</v>
      </c>
      <c r="AE216" t="s">
        <v>93</v>
      </c>
      <c r="AF216" t="s">
        <v>60</v>
      </c>
      <c r="AG216" t="s">
        <v>49</v>
      </c>
      <c r="AH216" t="s">
        <v>50</v>
      </c>
      <c r="AI216" t="s">
        <v>51</v>
      </c>
      <c r="AJ216" t="s">
        <v>51</v>
      </c>
      <c r="AK216" t="s">
        <v>52</v>
      </c>
    </row>
    <row r="217" spans="14:37" x14ac:dyDescent="0.3">
      <c r="Z217" t="s">
        <v>966</v>
      </c>
      <c r="AA217" t="s">
        <v>1039</v>
      </c>
      <c r="AB217" t="s">
        <v>1040</v>
      </c>
      <c r="AC217" t="s">
        <v>1041</v>
      </c>
      <c r="AD217" t="s">
        <v>70</v>
      </c>
      <c r="AE217" t="s">
        <v>71</v>
      </c>
      <c r="AF217" t="s">
        <v>60</v>
      </c>
      <c r="AG217" t="s">
        <v>49</v>
      </c>
      <c r="AH217" t="s">
        <v>50</v>
      </c>
      <c r="AI217" t="s">
        <v>51</v>
      </c>
      <c r="AJ217" t="s">
        <v>51</v>
      </c>
      <c r="AK217" t="s">
        <v>134</v>
      </c>
    </row>
    <row r="218" spans="14:37" x14ac:dyDescent="0.3">
      <c r="Z218" t="s">
        <v>932</v>
      </c>
      <c r="AA218" t="s">
        <v>936</v>
      </c>
      <c r="AB218" t="s">
        <v>937</v>
      </c>
      <c r="AC218" t="s">
        <v>938</v>
      </c>
      <c r="AD218" t="s">
        <v>46</v>
      </c>
      <c r="AE218" t="s">
        <v>121</v>
      </c>
      <c r="AF218" t="s">
        <v>48</v>
      </c>
      <c r="AG218" t="s">
        <v>76</v>
      </c>
      <c r="AH218" t="s">
        <v>50</v>
      </c>
      <c r="AI218" t="s">
        <v>51</v>
      </c>
      <c r="AJ218" t="s">
        <v>54</v>
      </c>
      <c r="AK218" t="s">
        <v>52</v>
      </c>
    </row>
    <row r="219" spans="14:37" x14ac:dyDescent="0.3">
      <c r="Z219" t="s">
        <v>966</v>
      </c>
      <c r="AA219" t="s">
        <v>990</v>
      </c>
      <c r="AB219" t="s">
        <v>991</v>
      </c>
      <c r="AC219" t="s">
        <v>992</v>
      </c>
      <c r="AD219" t="s">
        <v>46</v>
      </c>
      <c r="AE219" t="s">
        <v>102</v>
      </c>
      <c r="AF219" t="s">
        <v>48</v>
      </c>
      <c r="AG219" t="s">
        <v>49</v>
      </c>
      <c r="AH219" t="s">
        <v>50</v>
      </c>
      <c r="AI219" t="s">
        <v>51</v>
      </c>
      <c r="AJ219" t="s">
        <v>51</v>
      </c>
      <c r="AK219" t="s">
        <v>52</v>
      </c>
    </row>
    <row r="220" spans="14:37" x14ac:dyDescent="0.3">
      <c r="Z220" t="s">
        <v>966</v>
      </c>
      <c r="AA220" t="s">
        <v>999</v>
      </c>
      <c r="AB220" t="s">
        <v>1000</v>
      </c>
      <c r="AC220" t="s">
        <v>1001</v>
      </c>
      <c r="AD220" t="s">
        <v>70</v>
      </c>
      <c r="AE220" t="s">
        <v>240</v>
      </c>
      <c r="AF220" t="s">
        <v>48</v>
      </c>
      <c r="AG220" t="s">
        <v>49</v>
      </c>
      <c r="AH220" t="s">
        <v>50</v>
      </c>
      <c r="AI220" t="s">
        <v>51</v>
      </c>
      <c r="AJ220" t="s">
        <v>51</v>
      </c>
      <c r="AK220" t="s">
        <v>52</v>
      </c>
    </row>
    <row r="221" spans="14:37" x14ac:dyDescent="0.3">
      <c r="N221" s="22"/>
      <c r="Z221" t="s">
        <v>966</v>
      </c>
      <c r="AA221" t="s">
        <v>1036</v>
      </c>
      <c r="AB221" t="s">
        <v>1037</v>
      </c>
      <c r="AC221" t="s">
        <v>1038</v>
      </c>
      <c r="AD221" t="s">
        <v>70</v>
      </c>
      <c r="AE221" t="s">
        <v>71</v>
      </c>
      <c r="AF221" t="s">
        <v>60</v>
      </c>
      <c r="AG221" t="s">
        <v>49</v>
      </c>
      <c r="AH221" t="s">
        <v>50</v>
      </c>
      <c r="AI221" t="s">
        <v>51</v>
      </c>
      <c r="AJ221" t="s">
        <v>51</v>
      </c>
      <c r="AK221" t="s">
        <v>134</v>
      </c>
    </row>
    <row r="222" spans="14:37" x14ac:dyDescent="0.3">
      <c r="Z222" t="s">
        <v>966</v>
      </c>
      <c r="AA222" t="s">
        <v>1006</v>
      </c>
      <c r="AB222" t="s">
        <v>1007</v>
      </c>
      <c r="AC222" t="s">
        <v>1008</v>
      </c>
      <c r="AD222" t="s">
        <v>70</v>
      </c>
      <c r="AE222" t="s">
        <v>240</v>
      </c>
      <c r="AF222" t="s">
        <v>60</v>
      </c>
      <c r="AG222" t="s">
        <v>49</v>
      </c>
      <c r="AH222" t="s">
        <v>50</v>
      </c>
      <c r="AI222" t="s">
        <v>51</v>
      </c>
      <c r="AJ222" t="s">
        <v>51</v>
      </c>
      <c r="AK222" t="s">
        <v>52</v>
      </c>
    </row>
    <row r="223" spans="14:37" x14ac:dyDescent="0.3">
      <c r="N223" s="22"/>
      <c r="Z223" t="s">
        <v>966</v>
      </c>
      <c r="AA223" t="s">
        <v>1002</v>
      </c>
      <c r="AB223" t="s">
        <v>1003</v>
      </c>
      <c r="AC223" t="s">
        <v>1004</v>
      </c>
      <c r="AD223" t="s">
        <v>46</v>
      </c>
      <c r="AE223" t="s">
        <v>121</v>
      </c>
      <c r="AF223" t="s">
        <v>60</v>
      </c>
      <c r="AG223" t="s">
        <v>49</v>
      </c>
      <c r="AH223" t="s">
        <v>373</v>
      </c>
      <c r="AI223" t="s">
        <v>51</v>
      </c>
      <c r="AJ223" t="s">
        <v>51</v>
      </c>
      <c r="AK223" t="s">
        <v>52</v>
      </c>
    </row>
    <row r="224" spans="14:37" x14ac:dyDescent="0.3">
      <c r="Z224" t="s">
        <v>966</v>
      </c>
      <c r="AA224" t="s">
        <v>1009</v>
      </c>
      <c r="AB224" t="s">
        <v>1010</v>
      </c>
      <c r="AC224" t="s">
        <v>1011</v>
      </c>
      <c r="AD224" t="s">
        <v>46</v>
      </c>
      <c r="AE224" t="s">
        <v>102</v>
      </c>
      <c r="AF224" t="s">
        <v>48</v>
      </c>
      <c r="AG224" t="s">
        <v>49</v>
      </c>
      <c r="AH224" t="s">
        <v>50</v>
      </c>
      <c r="AI224" t="s">
        <v>51</v>
      </c>
      <c r="AJ224" t="s">
        <v>51</v>
      </c>
      <c r="AK224" t="s">
        <v>52</v>
      </c>
    </row>
    <row r="225" spans="14:37" x14ac:dyDescent="0.3">
      <c r="Z225" t="s">
        <v>966</v>
      </c>
      <c r="AA225" t="s">
        <v>1042</v>
      </c>
      <c r="AB225" t="s">
        <v>1043</v>
      </c>
      <c r="AC225" t="s">
        <v>1044</v>
      </c>
      <c r="AD225" t="s">
        <v>46</v>
      </c>
      <c r="AE225" t="s">
        <v>150</v>
      </c>
      <c r="AF225" t="s">
        <v>48</v>
      </c>
      <c r="AG225" t="s">
        <v>76</v>
      </c>
      <c r="AH225" t="s">
        <v>50</v>
      </c>
      <c r="AI225" t="s">
        <v>51</v>
      </c>
      <c r="AJ225" t="s">
        <v>51</v>
      </c>
      <c r="AK225" t="s">
        <v>134</v>
      </c>
    </row>
    <row r="226" spans="14:37" x14ac:dyDescent="0.3">
      <c r="N226" s="22"/>
      <c r="Z226" t="s">
        <v>966</v>
      </c>
      <c r="AA226" t="s">
        <v>977</v>
      </c>
      <c r="AB226" t="s">
        <v>978</v>
      </c>
      <c r="AC226" t="s">
        <v>979</v>
      </c>
      <c r="AD226" t="s">
        <v>46</v>
      </c>
      <c r="AE226" t="s">
        <v>240</v>
      </c>
      <c r="AF226" t="s">
        <v>48</v>
      </c>
      <c r="AG226" t="s">
        <v>49</v>
      </c>
      <c r="AH226" t="s">
        <v>50</v>
      </c>
      <c r="AI226" t="s">
        <v>51</v>
      </c>
      <c r="AJ226" t="s">
        <v>51</v>
      </c>
      <c r="AK226" t="s">
        <v>52</v>
      </c>
    </row>
    <row r="227" spans="14:37" x14ac:dyDescent="0.3">
      <c r="N227" s="22"/>
      <c r="Z227" t="s">
        <v>966</v>
      </c>
      <c r="AA227" t="s">
        <v>973</v>
      </c>
      <c r="AB227" t="s">
        <v>816</v>
      </c>
      <c r="AC227" t="s">
        <v>974</v>
      </c>
      <c r="AD227" t="s">
        <v>46</v>
      </c>
      <c r="AE227" t="s">
        <v>93</v>
      </c>
      <c r="AF227" t="s">
        <v>60</v>
      </c>
      <c r="AG227" t="s">
        <v>49</v>
      </c>
      <c r="AH227" t="s">
        <v>50</v>
      </c>
      <c r="AI227" t="s">
        <v>51</v>
      </c>
      <c r="AJ227" t="s">
        <v>54</v>
      </c>
      <c r="AK227" t="s">
        <v>52</v>
      </c>
    </row>
    <row r="228" spans="14:37" x14ac:dyDescent="0.3">
      <c r="Z228" t="s">
        <v>966</v>
      </c>
      <c r="AA228" t="s">
        <v>967</v>
      </c>
      <c r="AB228" t="s">
        <v>968</v>
      </c>
      <c r="AC228" t="s">
        <v>969</v>
      </c>
      <c r="AD228" t="s">
        <v>46</v>
      </c>
      <c r="AE228" t="s">
        <v>75</v>
      </c>
      <c r="AF228" t="s">
        <v>60</v>
      </c>
      <c r="AG228" t="s">
        <v>49</v>
      </c>
      <c r="AH228" t="s">
        <v>50</v>
      </c>
      <c r="AI228" t="s">
        <v>51</v>
      </c>
      <c r="AJ228" t="s">
        <v>51</v>
      </c>
      <c r="AK228" t="s">
        <v>52</v>
      </c>
    </row>
    <row r="229" spans="14:37" x14ac:dyDescent="0.3">
      <c r="Z229" t="s">
        <v>966</v>
      </c>
      <c r="AA229" t="s">
        <v>970</v>
      </c>
      <c r="AB229" t="s">
        <v>303</v>
      </c>
      <c r="AC229" t="s">
        <v>971</v>
      </c>
      <c r="AD229" t="s">
        <v>46</v>
      </c>
      <c r="AE229" t="s">
        <v>75</v>
      </c>
      <c r="AF229" t="s">
        <v>60</v>
      </c>
      <c r="AG229" t="s">
        <v>49</v>
      </c>
      <c r="AH229" t="s">
        <v>50</v>
      </c>
      <c r="AI229" t="s">
        <v>51</v>
      </c>
      <c r="AJ229" t="s">
        <v>51</v>
      </c>
      <c r="AK229" t="s">
        <v>52</v>
      </c>
    </row>
    <row r="230" spans="14:37" x14ac:dyDescent="0.3">
      <c r="N230" s="22"/>
      <c r="Z230" t="s">
        <v>966</v>
      </c>
      <c r="AA230" t="s">
        <v>1018</v>
      </c>
      <c r="AB230" t="s">
        <v>1019</v>
      </c>
      <c r="AC230" t="s">
        <v>1020</v>
      </c>
      <c r="AD230" t="s">
        <v>46</v>
      </c>
      <c r="AE230" t="s">
        <v>162</v>
      </c>
      <c r="AF230" t="s">
        <v>48</v>
      </c>
      <c r="AG230" t="s">
        <v>76</v>
      </c>
      <c r="AH230" t="s">
        <v>50</v>
      </c>
      <c r="AI230" t="s">
        <v>51</v>
      </c>
      <c r="AJ230" t="s">
        <v>51</v>
      </c>
      <c r="AK230" t="s">
        <v>52</v>
      </c>
    </row>
    <row r="231" spans="14:37" x14ac:dyDescent="0.3">
      <c r="Z231" t="s">
        <v>966</v>
      </c>
      <c r="AA231" t="s">
        <v>995</v>
      </c>
      <c r="AB231" t="s">
        <v>996</v>
      </c>
      <c r="AC231" t="s">
        <v>997</v>
      </c>
      <c r="AD231" t="s">
        <v>46</v>
      </c>
      <c r="AE231" t="s">
        <v>93</v>
      </c>
      <c r="AF231" t="s">
        <v>48</v>
      </c>
      <c r="AG231" t="s">
        <v>49</v>
      </c>
      <c r="AH231" t="s">
        <v>50</v>
      </c>
      <c r="AI231" t="s">
        <v>51</v>
      </c>
      <c r="AJ231" t="s">
        <v>51</v>
      </c>
      <c r="AK231" t="s">
        <v>52</v>
      </c>
    </row>
    <row r="232" spans="14:37" x14ac:dyDescent="0.3">
      <c r="Z232" t="s">
        <v>966</v>
      </c>
      <c r="AA232" t="s">
        <v>984</v>
      </c>
      <c r="AB232" t="s">
        <v>985</v>
      </c>
      <c r="AC232" t="s">
        <v>986</v>
      </c>
      <c r="AD232" t="s">
        <v>46</v>
      </c>
      <c r="AE232" t="s">
        <v>65</v>
      </c>
      <c r="AF232" t="s">
        <v>60</v>
      </c>
      <c r="AG232" t="s">
        <v>49</v>
      </c>
      <c r="AH232" t="s">
        <v>50</v>
      </c>
      <c r="AI232" t="s">
        <v>51</v>
      </c>
      <c r="AJ232" t="s">
        <v>51</v>
      </c>
      <c r="AK232" t="s">
        <v>52</v>
      </c>
    </row>
    <row r="233" spans="14:37" x14ac:dyDescent="0.3">
      <c r="N233" s="22"/>
      <c r="Z233" t="s">
        <v>966</v>
      </c>
      <c r="AA233" t="s">
        <v>980</v>
      </c>
      <c r="AB233" t="s">
        <v>981</v>
      </c>
      <c r="AC233" t="s">
        <v>982</v>
      </c>
      <c r="AD233" t="s">
        <v>46</v>
      </c>
      <c r="AE233" t="s">
        <v>240</v>
      </c>
      <c r="AF233" t="s">
        <v>60</v>
      </c>
      <c r="AG233" t="s">
        <v>76</v>
      </c>
      <c r="AH233" t="s">
        <v>50</v>
      </c>
      <c r="AI233" t="s">
        <v>51</v>
      </c>
      <c r="AJ233" t="s">
        <v>51</v>
      </c>
      <c r="AK233" t="s">
        <v>52</v>
      </c>
    </row>
    <row r="234" spans="14:37" x14ac:dyDescent="0.3">
      <c r="Z234" t="s">
        <v>966</v>
      </c>
      <c r="AA234" t="s">
        <v>1028</v>
      </c>
      <c r="AB234" t="s">
        <v>1029</v>
      </c>
      <c r="AC234" t="s">
        <v>1030</v>
      </c>
      <c r="AD234" t="s">
        <v>46</v>
      </c>
      <c r="AE234" t="s">
        <v>107</v>
      </c>
      <c r="AF234" t="s">
        <v>60</v>
      </c>
      <c r="AG234" t="s">
        <v>49</v>
      </c>
      <c r="AH234" t="s">
        <v>373</v>
      </c>
      <c r="AI234" t="s">
        <v>51</v>
      </c>
      <c r="AJ234" t="s">
        <v>51</v>
      </c>
      <c r="AK234" t="s">
        <v>134</v>
      </c>
    </row>
    <row r="235" spans="14:37" x14ac:dyDescent="0.3">
      <c r="Z235" t="s">
        <v>1046</v>
      </c>
      <c r="AA235" t="s">
        <v>1072</v>
      </c>
      <c r="AB235" t="s">
        <v>1073</v>
      </c>
      <c r="AC235" t="s">
        <v>1074</v>
      </c>
      <c r="AD235" t="s">
        <v>46</v>
      </c>
      <c r="AE235" t="s">
        <v>107</v>
      </c>
      <c r="AF235" t="s">
        <v>60</v>
      </c>
      <c r="AG235" t="s">
        <v>49</v>
      </c>
      <c r="AH235" t="s">
        <v>50</v>
      </c>
      <c r="AI235" t="s">
        <v>51</v>
      </c>
      <c r="AJ235" t="s">
        <v>51</v>
      </c>
      <c r="AK235" t="s">
        <v>134</v>
      </c>
    </row>
    <row r="236" spans="14:37" x14ac:dyDescent="0.3">
      <c r="Z236" t="s">
        <v>1046</v>
      </c>
      <c r="AA236" t="s">
        <v>1050</v>
      </c>
      <c r="AB236" t="s">
        <v>816</v>
      </c>
      <c r="AC236" t="s">
        <v>1051</v>
      </c>
      <c r="AD236" t="s">
        <v>46</v>
      </c>
      <c r="AE236" t="s">
        <v>93</v>
      </c>
      <c r="AF236" t="s">
        <v>60</v>
      </c>
      <c r="AG236" t="s">
        <v>76</v>
      </c>
      <c r="AH236" t="s">
        <v>50</v>
      </c>
      <c r="AI236" t="s">
        <v>51</v>
      </c>
      <c r="AJ236" t="s">
        <v>51</v>
      </c>
      <c r="AK236" t="s">
        <v>52</v>
      </c>
    </row>
    <row r="237" spans="14:37" x14ac:dyDescent="0.3">
      <c r="Z237" t="s">
        <v>1046</v>
      </c>
      <c r="AA237" t="s">
        <v>1068</v>
      </c>
      <c r="AB237" t="s">
        <v>1069</v>
      </c>
      <c r="AC237" t="s">
        <v>1070</v>
      </c>
      <c r="AD237" t="s">
        <v>46</v>
      </c>
      <c r="AE237" t="s">
        <v>71</v>
      </c>
      <c r="AF237" t="s">
        <v>60</v>
      </c>
      <c r="AG237" t="s">
        <v>49</v>
      </c>
      <c r="AH237" t="s">
        <v>50</v>
      </c>
      <c r="AI237" t="s">
        <v>51</v>
      </c>
      <c r="AJ237" t="s">
        <v>51</v>
      </c>
      <c r="AK237" t="s">
        <v>134</v>
      </c>
    </row>
    <row r="238" spans="14:37" x14ac:dyDescent="0.3">
      <c r="Z238" t="s">
        <v>1046</v>
      </c>
      <c r="AA238" t="s">
        <v>1081</v>
      </c>
      <c r="AB238" t="s">
        <v>1082</v>
      </c>
      <c r="AC238" t="s">
        <v>1083</v>
      </c>
      <c r="AD238" t="s">
        <v>46</v>
      </c>
      <c r="AE238" t="s">
        <v>139</v>
      </c>
      <c r="AF238" t="s">
        <v>60</v>
      </c>
      <c r="AG238" t="s">
        <v>49</v>
      </c>
      <c r="AH238" t="s">
        <v>50</v>
      </c>
      <c r="AI238" t="s">
        <v>51</v>
      </c>
      <c r="AJ238" t="s">
        <v>51</v>
      </c>
      <c r="AK238" t="s">
        <v>134</v>
      </c>
    </row>
    <row r="239" spans="14:37" x14ac:dyDescent="0.3">
      <c r="Z239" t="s">
        <v>966</v>
      </c>
      <c r="AA239" t="s">
        <v>1013</v>
      </c>
      <c r="AB239" t="s">
        <v>1014</v>
      </c>
      <c r="AC239" t="s">
        <v>1015</v>
      </c>
      <c r="AD239" t="s">
        <v>46</v>
      </c>
      <c r="AE239" t="s">
        <v>240</v>
      </c>
      <c r="AF239" t="s">
        <v>60</v>
      </c>
      <c r="AG239" t="s">
        <v>49</v>
      </c>
      <c r="AH239" t="s">
        <v>50</v>
      </c>
      <c r="AI239" t="s">
        <v>51</v>
      </c>
      <c r="AJ239" t="s">
        <v>54</v>
      </c>
      <c r="AK239" t="s">
        <v>52</v>
      </c>
    </row>
    <row r="240" spans="14:37" x14ac:dyDescent="0.3">
      <c r="Z240" t="s">
        <v>966</v>
      </c>
      <c r="AA240" t="s">
        <v>987</v>
      </c>
      <c r="AB240" t="s">
        <v>988</v>
      </c>
      <c r="AC240" t="s">
        <v>989</v>
      </c>
      <c r="AD240" t="s">
        <v>70</v>
      </c>
      <c r="AE240" t="s">
        <v>240</v>
      </c>
      <c r="AF240" t="s">
        <v>60</v>
      </c>
      <c r="AG240" t="s">
        <v>49</v>
      </c>
      <c r="AH240" t="s">
        <v>50</v>
      </c>
      <c r="AI240" t="s">
        <v>51</v>
      </c>
      <c r="AJ240" t="s">
        <v>51</v>
      </c>
      <c r="AK240" t="s">
        <v>52</v>
      </c>
    </row>
    <row r="241" spans="26:37" x14ac:dyDescent="0.3">
      <c r="Z241" t="s">
        <v>1046</v>
      </c>
      <c r="AA241" t="s">
        <v>1077</v>
      </c>
      <c r="AB241" t="s">
        <v>1078</v>
      </c>
      <c r="AC241" t="s">
        <v>1079</v>
      </c>
      <c r="AD241" t="s">
        <v>46</v>
      </c>
      <c r="AE241" t="s">
        <v>133</v>
      </c>
      <c r="AF241" t="s">
        <v>48</v>
      </c>
      <c r="AG241" t="s">
        <v>76</v>
      </c>
      <c r="AH241" t="s">
        <v>50</v>
      </c>
      <c r="AI241" t="s">
        <v>51</v>
      </c>
      <c r="AJ241" t="s">
        <v>51</v>
      </c>
      <c r="AK241" t="s">
        <v>134</v>
      </c>
    </row>
    <row r="242" spans="26:37" x14ac:dyDescent="0.3">
      <c r="Z242" t="s">
        <v>1046</v>
      </c>
      <c r="AA242" t="s">
        <v>1047</v>
      </c>
      <c r="AB242" t="s">
        <v>303</v>
      </c>
      <c r="AC242" t="s">
        <v>1048</v>
      </c>
      <c r="AD242" t="s">
        <v>46</v>
      </c>
      <c r="AE242" t="s">
        <v>75</v>
      </c>
      <c r="AF242" t="s">
        <v>60</v>
      </c>
      <c r="AG242" t="s">
        <v>49</v>
      </c>
      <c r="AH242" t="s">
        <v>50</v>
      </c>
      <c r="AI242" t="s">
        <v>51</v>
      </c>
      <c r="AJ242" t="s">
        <v>51</v>
      </c>
      <c r="AK242" t="s">
        <v>52</v>
      </c>
    </row>
    <row r="243" spans="26:37" x14ac:dyDescent="0.3">
      <c r="Z243" t="s">
        <v>1046</v>
      </c>
      <c r="AA243" t="s">
        <v>1059</v>
      </c>
      <c r="AB243" t="s">
        <v>1060</v>
      </c>
      <c r="AC243" t="s">
        <v>1061</v>
      </c>
      <c r="AD243" t="s">
        <v>46</v>
      </c>
      <c r="AE243" t="s">
        <v>102</v>
      </c>
      <c r="AF243" t="s">
        <v>48</v>
      </c>
      <c r="AG243" t="s">
        <v>49</v>
      </c>
      <c r="AH243" t="s">
        <v>50</v>
      </c>
      <c r="AI243" t="s">
        <v>51</v>
      </c>
      <c r="AJ243" t="s">
        <v>51</v>
      </c>
      <c r="AK243" t="s">
        <v>52</v>
      </c>
    </row>
    <row r="244" spans="26:37" x14ac:dyDescent="0.3">
      <c r="Z244" t="s">
        <v>1086</v>
      </c>
      <c r="AA244" t="s">
        <v>1105</v>
      </c>
      <c r="AB244" t="s">
        <v>1106</v>
      </c>
      <c r="AC244" t="s">
        <v>1107</v>
      </c>
      <c r="AD244" t="s">
        <v>46</v>
      </c>
      <c r="AE244" t="s">
        <v>139</v>
      </c>
      <c r="AF244" t="s">
        <v>60</v>
      </c>
      <c r="AG244" t="s">
        <v>49</v>
      </c>
      <c r="AH244" t="s">
        <v>50</v>
      </c>
      <c r="AI244" t="s">
        <v>51</v>
      </c>
      <c r="AJ244" t="s">
        <v>51</v>
      </c>
      <c r="AK244" t="s">
        <v>134</v>
      </c>
    </row>
    <row r="245" spans="26:37" x14ac:dyDescent="0.3">
      <c r="Z245" t="s">
        <v>1086</v>
      </c>
      <c r="AA245" t="s">
        <v>1101</v>
      </c>
      <c r="AB245" t="s">
        <v>1102</v>
      </c>
      <c r="AC245" t="s">
        <v>1103</v>
      </c>
      <c r="AD245" t="s">
        <v>46</v>
      </c>
      <c r="AE245" t="s">
        <v>224</v>
      </c>
      <c r="AF245" t="s">
        <v>48</v>
      </c>
      <c r="AG245" t="s">
        <v>49</v>
      </c>
      <c r="AH245" t="s">
        <v>50</v>
      </c>
      <c r="AI245" t="s">
        <v>51</v>
      </c>
      <c r="AJ245" t="s">
        <v>51</v>
      </c>
      <c r="AK245" t="s">
        <v>134</v>
      </c>
    </row>
    <row r="246" spans="26:37" x14ac:dyDescent="0.3">
      <c r="Z246" t="s">
        <v>1086</v>
      </c>
      <c r="AA246" t="s">
        <v>1108</v>
      </c>
      <c r="AB246" t="s">
        <v>1109</v>
      </c>
      <c r="AC246" t="s">
        <v>1110</v>
      </c>
      <c r="AD246" t="s">
        <v>46</v>
      </c>
      <c r="AE246" t="s">
        <v>314</v>
      </c>
      <c r="AF246" t="s">
        <v>48</v>
      </c>
      <c r="AG246" t="s">
        <v>49</v>
      </c>
      <c r="AH246" t="s">
        <v>50</v>
      </c>
      <c r="AI246" t="s">
        <v>51</v>
      </c>
      <c r="AJ246" t="s">
        <v>51</v>
      </c>
      <c r="AK246" t="s">
        <v>134</v>
      </c>
    </row>
    <row r="247" spans="26:37" x14ac:dyDescent="0.3">
      <c r="Z247" t="s">
        <v>1046</v>
      </c>
      <c r="AA247" t="s">
        <v>1054</v>
      </c>
      <c r="AB247" t="s">
        <v>1055</v>
      </c>
      <c r="AC247" t="s">
        <v>1056</v>
      </c>
      <c r="AD247" t="s">
        <v>46</v>
      </c>
      <c r="AE247" t="s">
        <v>47</v>
      </c>
      <c r="AF247" t="s">
        <v>60</v>
      </c>
      <c r="AG247" t="s">
        <v>49</v>
      </c>
      <c r="AH247" t="s">
        <v>50</v>
      </c>
      <c r="AI247" t="s">
        <v>51</v>
      </c>
      <c r="AJ247" t="s">
        <v>51</v>
      </c>
      <c r="AK247" t="s">
        <v>52</v>
      </c>
    </row>
    <row r="248" spans="26:37" x14ac:dyDescent="0.3">
      <c r="Z248" t="s">
        <v>1086</v>
      </c>
      <c r="AA248" t="s">
        <v>1087</v>
      </c>
      <c r="AB248" t="s">
        <v>1088</v>
      </c>
      <c r="AC248" t="s">
        <v>1089</v>
      </c>
      <c r="AD248" t="s">
        <v>70</v>
      </c>
      <c r="AE248" t="s">
        <v>71</v>
      </c>
      <c r="AF248" t="s">
        <v>60</v>
      </c>
      <c r="AG248" t="s">
        <v>49</v>
      </c>
      <c r="AH248" t="s">
        <v>50</v>
      </c>
      <c r="AI248" t="s">
        <v>51</v>
      </c>
      <c r="AJ248" t="s">
        <v>51</v>
      </c>
      <c r="AK248" t="s">
        <v>134</v>
      </c>
    </row>
    <row r="249" spans="26:37" x14ac:dyDescent="0.3">
      <c r="Z249" t="s">
        <v>1086</v>
      </c>
      <c r="AA249" t="s">
        <v>1095</v>
      </c>
      <c r="AB249" t="s">
        <v>1096</v>
      </c>
      <c r="AC249" t="s">
        <v>1097</v>
      </c>
      <c r="AD249" t="s">
        <v>70</v>
      </c>
      <c r="AE249" t="s">
        <v>93</v>
      </c>
      <c r="AF249" t="s">
        <v>60</v>
      </c>
      <c r="AG249" t="s">
        <v>49</v>
      </c>
      <c r="AH249" t="s">
        <v>50</v>
      </c>
      <c r="AI249" t="s">
        <v>51</v>
      </c>
      <c r="AJ249" t="s">
        <v>51</v>
      </c>
      <c r="AK249" t="s">
        <v>134</v>
      </c>
    </row>
    <row r="250" spans="26:37" x14ac:dyDescent="0.3">
      <c r="Z250" t="s">
        <v>1086</v>
      </c>
      <c r="AA250" t="s">
        <v>1098</v>
      </c>
      <c r="AB250" t="s">
        <v>1099</v>
      </c>
      <c r="AC250" t="s">
        <v>1100</v>
      </c>
      <c r="AD250" t="s">
        <v>70</v>
      </c>
      <c r="AE250" t="s">
        <v>47</v>
      </c>
      <c r="AF250" t="s">
        <v>60</v>
      </c>
      <c r="AG250" t="s">
        <v>49</v>
      </c>
      <c r="AH250" t="s">
        <v>50</v>
      </c>
      <c r="AI250" t="s">
        <v>51</v>
      </c>
      <c r="AJ250" t="s">
        <v>51</v>
      </c>
      <c r="AK250" t="s">
        <v>134</v>
      </c>
    </row>
    <row r="251" spans="26:37" x14ac:dyDescent="0.3">
      <c r="Z251" t="s">
        <v>1046</v>
      </c>
      <c r="AA251" t="s">
        <v>1063</v>
      </c>
      <c r="AB251" t="s">
        <v>1064</v>
      </c>
      <c r="AC251" t="s">
        <v>1065</v>
      </c>
      <c r="AD251" t="s">
        <v>46</v>
      </c>
      <c r="AE251" t="s">
        <v>162</v>
      </c>
      <c r="AF251" t="s">
        <v>60</v>
      </c>
      <c r="AG251" t="s">
        <v>49</v>
      </c>
      <c r="AH251" t="s">
        <v>50</v>
      </c>
      <c r="AI251" t="s">
        <v>51</v>
      </c>
      <c r="AJ251" t="s">
        <v>51</v>
      </c>
      <c r="AK251" t="s">
        <v>52</v>
      </c>
    </row>
    <row r="252" spans="26:37" x14ac:dyDescent="0.3">
      <c r="Z252" t="s">
        <v>1112</v>
      </c>
      <c r="AA252" t="s">
        <v>1129</v>
      </c>
      <c r="AB252" t="s">
        <v>1130</v>
      </c>
      <c r="AC252" t="s">
        <v>1131</v>
      </c>
      <c r="AD252" t="s">
        <v>46</v>
      </c>
      <c r="AE252" t="s">
        <v>107</v>
      </c>
      <c r="AF252" t="s">
        <v>60</v>
      </c>
      <c r="AG252" t="s">
        <v>49</v>
      </c>
      <c r="AH252" t="s">
        <v>50</v>
      </c>
      <c r="AI252" t="s">
        <v>51</v>
      </c>
      <c r="AJ252" t="s">
        <v>51</v>
      </c>
      <c r="AK252" t="s">
        <v>134</v>
      </c>
    </row>
    <row r="253" spans="26:37" x14ac:dyDescent="0.3">
      <c r="Z253" t="s">
        <v>1112</v>
      </c>
      <c r="AA253" t="s">
        <v>1122</v>
      </c>
      <c r="AB253" t="s">
        <v>1123</v>
      </c>
      <c r="AC253" t="s">
        <v>1124</v>
      </c>
      <c r="AD253" t="s">
        <v>46</v>
      </c>
      <c r="AE253" t="s">
        <v>71</v>
      </c>
      <c r="AF253" t="s">
        <v>60</v>
      </c>
      <c r="AG253" t="s">
        <v>49</v>
      </c>
      <c r="AH253" t="s">
        <v>50</v>
      </c>
      <c r="AI253" t="s">
        <v>51</v>
      </c>
      <c r="AJ253" t="s">
        <v>51</v>
      </c>
      <c r="AK253" t="s">
        <v>52</v>
      </c>
    </row>
    <row r="254" spans="26:37" x14ac:dyDescent="0.3">
      <c r="Z254" t="s">
        <v>1112</v>
      </c>
      <c r="AA254" t="s">
        <v>1113</v>
      </c>
      <c r="AB254" t="s">
        <v>1114</v>
      </c>
      <c r="AC254" t="s">
        <v>1115</v>
      </c>
      <c r="AD254" t="s">
        <v>70</v>
      </c>
      <c r="AE254" t="s">
        <v>409</v>
      </c>
      <c r="AF254" t="s">
        <v>60</v>
      </c>
      <c r="AG254" t="s">
        <v>49</v>
      </c>
      <c r="AH254" t="s">
        <v>50</v>
      </c>
      <c r="AI254" t="s">
        <v>51</v>
      </c>
      <c r="AJ254" t="s">
        <v>51</v>
      </c>
      <c r="AK254" t="s">
        <v>52</v>
      </c>
    </row>
    <row r="255" spans="26:37" x14ac:dyDescent="0.3">
      <c r="Z255" t="s">
        <v>1112</v>
      </c>
      <c r="AA255" t="s">
        <v>1117</v>
      </c>
      <c r="AB255" t="s">
        <v>1118</v>
      </c>
      <c r="AC255" t="s">
        <v>1119</v>
      </c>
      <c r="AD255" t="s">
        <v>46</v>
      </c>
      <c r="AE255" t="s">
        <v>65</v>
      </c>
      <c r="AF255" t="s">
        <v>60</v>
      </c>
      <c r="AG255" t="s">
        <v>49</v>
      </c>
      <c r="AH255" t="s">
        <v>50</v>
      </c>
      <c r="AI255" t="s">
        <v>51</v>
      </c>
      <c r="AJ255" t="s">
        <v>51</v>
      </c>
      <c r="AK255" t="s">
        <v>52</v>
      </c>
    </row>
    <row r="256" spans="26:37" x14ac:dyDescent="0.3">
      <c r="Z256" t="s">
        <v>1134</v>
      </c>
      <c r="AA256" t="s">
        <v>1175</v>
      </c>
      <c r="AB256" t="s">
        <v>1176</v>
      </c>
      <c r="AC256" t="s">
        <v>1177</v>
      </c>
      <c r="AD256" t="s">
        <v>46</v>
      </c>
      <c r="AE256" t="s">
        <v>47</v>
      </c>
      <c r="AF256" t="s">
        <v>60</v>
      </c>
      <c r="AG256" t="s">
        <v>49</v>
      </c>
      <c r="AH256" t="s">
        <v>50</v>
      </c>
      <c r="AI256" t="s">
        <v>51</v>
      </c>
      <c r="AJ256" t="s">
        <v>51</v>
      </c>
      <c r="AK256" t="s">
        <v>134</v>
      </c>
    </row>
    <row r="257" spans="26:37" x14ac:dyDescent="0.3">
      <c r="Z257" t="s">
        <v>1134</v>
      </c>
      <c r="AA257" t="s">
        <v>1149</v>
      </c>
      <c r="AB257" t="s">
        <v>1150</v>
      </c>
      <c r="AC257" t="s">
        <v>1151</v>
      </c>
      <c r="AD257" t="s">
        <v>46</v>
      </c>
      <c r="AE257" t="s">
        <v>133</v>
      </c>
      <c r="AF257" t="s">
        <v>60</v>
      </c>
      <c r="AG257" t="s">
        <v>49</v>
      </c>
      <c r="AH257" t="s">
        <v>373</v>
      </c>
      <c r="AI257" t="s">
        <v>51</v>
      </c>
      <c r="AJ257" t="s">
        <v>51</v>
      </c>
      <c r="AK257" t="s">
        <v>134</v>
      </c>
    </row>
    <row r="258" spans="26:37" x14ac:dyDescent="0.3">
      <c r="Z258" t="s">
        <v>1134</v>
      </c>
      <c r="AA258" t="s">
        <v>1160</v>
      </c>
      <c r="AB258" t="s">
        <v>1161</v>
      </c>
      <c r="AC258" t="s">
        <v>1162</v>
      </c>
      <c r="AD258" t="s">
        <v>46</v>
      </c>
      <c r="AE258" t="s">
        <v>224</v>
      </c>
      <c r="AF258" t="s">
        <v>60</v>
      </c>
      <c r="AG258" t="s">
        <v>49</v>
      </c>
      <c r="AH258" t="s">
        <v>50</v>
      </c>
      <c r="AI258" t="s">
        <v>51</v>
      </c>
      <c r="AJ258" t="s">
        <v>51</v>
      </c>
      <c r="AK258" t="s">
        <v>134</v>
      </c>
    </row>
    <row r="259" spans="26:37" x14ac:dyDescent="0.3">
      <c r="Z259" t="s">
        <v>1134</v>
      </c>
      <c r="AA259" t="s">
        <v>1140</v>
      </c>
      <c r="AB259" t="s">
        <v>1141</v>
      </c>
      <c r="AC259" t="s">
        <v>1142</v>
      </c>
      <c r="AD259" t="s">
        <v>46</v>
      </c>
      <c r="AE259" t="s">
        <v>71</v>
      </c>
      <c r="AF259" t="s">
        <v>60</v>
      </c>
      <c r="AG259" t="s">
        <v>49</v>
      </c>
      <c r="AH259" t="s">
        <v>373</v>
      </c>
      <c r="AI259" t="s">
        <v>54</v>
      </c>
      <c r="AJ259" t="s">
        <v>51</v>
      </c>
      <c r="AK259" t="s">
        <v>134</v>
      </c>
    </row>
    <row r="260" spans="26:37" x14ac:dyDescent="0.3">
      <c r="Z260" t="s">
        <v>1134</v>
      </c>
      <c r="AA260" t="s">
        <v>1135</v>
      </c>
      <c r="AB260" t="s">
        <v>1136</v>
      </c>
      <c r="AC260" t="s">
        <v>1137</v>
      </c>
      <c r="AD260" t="s">
        <v>46</v>
      </c>
      <c r="AE260" t="s">
        <v>71</v>
      </c>
      <c r="AF260" t="s">
        <v>60</v>
      </c>
      <c r="AG260" t="s">
        <v>49</v>
      </c>
      <c r="AH260" t="s">
        <v>50</v>
      </c>
      <c r="AI260" t="s">
        <v>51</v>
      </c>
      <c r="AJ260" t="s">
        <v>51</v>
      </c>
      <c r="AK260" t="s">
        <v>134</v>
      </c>
    </row>
    <row r="261" spans="26:37" x14ac:dyDescent="0.3">
      <c r="Z261" t="s">
        <v>1134</v>
      </c>
      <c r="AA261" t="s">
        <v>1153</v>
      </c>
      <c r="AB261" t="s">
        <v>303</v>
      </c>
      <c r="AC261" t="s">
        <v>1154</v>
      </c>
      <c r="AD261" t="s">
        <v>46</v>
      </c>
      <c r="AE261" t="s">
        <v>75</v>
      </c>
      <c r="AF261" t="s">
        <v>60</v>
      </c>
      <c r="AG261" t="s">
        <v>49</v>
      </c>
      <c r="AH261" t="s">
        <v>50</v>
      </c>
      <c r="AI261" t="s">
        <v>51</v>
      </c>
      <c r="AJ261" t="s">
        <v>51</v>
      </c>
      <c r="AK261" t="s">
        <v>134</v>
      </c>
    </row>
    <row r="262" spans="26:37" x14ac:dyDescent="0.3">
      <c r="Z262" t="s">
        <v>1134</v>
      </c>
      <c r="AA262" t="s">
        <v>1165</v>
      </c>
      <c r="AB262" t="s">
        <v>1166</v>
      </c>
      <c r="AC262" t="s">
        <v>1167</v>
      </c>
      <c r="AD262" t="s">
        <v>46</v>
      </c>
      <c r="AE262" t="s">
        <v>240</v>
      </c>
      <c r="AF262" t="s">
        <v>48</v>
      </c>
      <c r="AG262" t="s">
        <v>49</v>
      </c>
      <c r="AH262" t="s">
        <v>50</v>
      </c>
      <c r="AI262" t="s">
        <v>51</v>
      </c>
      <c r="AJ262" t="s">
        <v>51</v>
      </c>
      <c r="AK262" t="s">
        <v>134</v>
      </c>
    </row>
    <row r="263" spans="26:37" x14ac:dyDescent="0.3">
      <c r="Z263" t="s">
        <v>1112</v>
      </c>
      <c r="AA263" t="s">
        <v>1127</v>
      </c>
      <c r="AB263" t="s">
        <v>1127</v>
      </c>
      <c r="AC263" t="s">
        <v>1128</v>
      </c>
      <c r="AD263" t="s">
        <v>46</v>
      </c>
      <c r="AE263" t="s">
        <v>150</v>
      </c>
      <c r="AF263" t="s">
        <v>48</v>
      </c>
      <c r="AG263" t="s">
        <v>76</v>
      </c>
      <c r="AH263" t="s">
        <v>50</v>
      </c>
      <c r="AI263" t="s">
        <v>51</v>
      </c>
      <c r="AJ263" t="s">
        <v>51</v>
      </c>
      <c r="AK263" t="s">
        <v>52</v>
      </c>
    </row>
    <row r="264" spans="26:37" x14ac:dyDescent="0.3">
      <c r="Z264" t="s">
        <v>1134</v>
      </c>
      <c r="AA264" t="s">
        <v>1145</v>
      </c>
      <c r="AB264" t="s">
        <v>1146</v>
      </c>
      <c r="AC264" t="s">
        <v>1147</v>
      </c>
      <c r="AD264" t="s">
        <v>46</v>
      </c>
      <c r="AE264" t="s">
        <v>71</v>
      </c>
      <c r="AF264" t="s">
        <v>48</v>
      </c>
      <c r="AG264" t="s">
        <v>76</v>
      </c>
      <c r="AH264" t="s">
        <v>50</v>
      </c>
      <c r="AI264" t="s">
        <v>51</v>
      </c>
      <c r="AJ264" t="s">
        <v>51</v>
      </c>
      <c r="AK264" t="s">
        <v>134</v>
      </c>
    </row>
    <row r="265" spans="26:37" x14ac:dyDescent="0.3">
      <c r="Z265" t="s">
        <v>1134</v>
      </c>
      <c r="AA265" t="s">
        <v>1170</v>
      </c>
      <c r="AB265" t="s">
        <v>1171</v>
      </c>
      <c r="AC265" t="s">
        <v>1172</v>
      </c>
      <c r="AD265" t="s">
        <v>46</v>
      </c>
      <c r="AE265" t="s">
        <v>314</v>
      </c>
      <c r="AF265" t="s">
        <v>48</v>
      </c>
      <c r="AG265" t="s">
        <v>49</v>
      </c>
      <c r="AH265" t="s">
        <v>50</v>
      </c>
      <c r="AI265" t="s">
        <v>51</v>
      </c>
      <c r="AJ265" t="s">
        <v>51</v>
      </c>
      <c r="AK265" t="s">
        <v>134</v>
      </c>
    </row>
    <row r="266" spans="26:37" x14ac:dyDescent="0.3">
      <c r="Z266" t="s">
        <v>1180</v>
      </c>
      <c r="AA266" t="s">
        <v>1186</v>
      </c>
      <c r="AB266" t="s">
        <v>1187</v>
      </c>
      <c r="AC266" t="s">
        <v>1188</v>
      </c>
      <c r="AD266" t="s">
        <v>70</v>
      </c>
      <c r="AE266" t="s">
        <v>93</v>
      </c>
      <c r="AF266" t="s">
        <v>60</v>
      </c>
      <c r="AG266" t="s">
        <v>49</v>
      </c>
      <c r="AH266" t="s">
        <v>50</v>
      </c>
      <c r="AI266" t="s">
        <v>51</v>
      </c>
      <c r="AJ266" t="s">
        <v>51</v>
      </c>
      <c r="AK266" t="s">
        <v>52</v>
      </c>
    </row>
    <row r="267" spans="26:37" x14ac:dyDescent="0.3">
      <c r="Z267" t="s">
        <v>1180</v>
      </c>
      <c r="AA267" t="s">
        <v>1181</v>
      </c>
      <c r="AB267" t="s">
        <v>1182</v>
      </c>
      <c r="AC267" t="s">
        <v>1183</v>
      </c>
      <c r="AD267" t="s">
        <v>46</v>
      </c>
      <c r="AE267" t="s">
        <v>102</v>
      </c>
      <c r="AF267" t="s">
        <v>48</v>
      </c>
      <c r="AG267" t="s">
        <v>76</v>
      </c>
      <c r="AH267" t="s">
        <v>50</v>
      </c>
      <c r="AI267" t="s">
        <v>51</v>
      </c>
      <c r="AJ267" t="s">
        <v>51</v>
      </c>
      <c r="AK267" t="s">
        <v>52</v>
      </c>
    </row>
    <row r="268" spans="26:37" x14ac:dyDescent="0.3">
      <c r="Z268" t="s">
        <v>1180</v>
      </c>
      <c r="AA268" t="s">
        <v>1189</v>
      </c>
      <c r="AB268" t="s">
        <v>1190</v>
      </c>
      <c r="AC268" t="s">
        <v>1191</v>
      </c>
      <c r="AD268" t="s">
        <v>46</v>
      </c>
      <c r="AE268" t="s">
        <v>102</v>
      </c>
      <c r="AF268" t="s">
        <v>48</v>
      </c>
      <c r="AG268" t="s">
        <v>363</v>
      </c>
      <c r="AH268" t="s">
        <v>50</v>
      </c>
      <c r="AI268" t="s">
        <v>51</v>
      </c>
      <c r="AJ268" t="s">
        <v>51</v>
      </c>
      <c r="AK268" t="s">
        <v>52</v>
      </c>
    </row>
    <row r="269" spans="26:37" x14ac:dyDescent="0.3">
      <c r="Z269" t="s">
        <v>1180</v>
      </c>
      <c r="AA269" t="s">
        <v>1194</v>
      </c>
      <c r="AB269" t="s">
        <v>1195</v>
      </c>
      <c r="AC269" t="s">
        <v>1196</v>
      </c>
      <c r="AD269" t="s">
        <v>70</v>
      </c>
      <c r="AE269" t="s">
        <v>162</v>
      </c>
      <c r="AF269" t="s">
        <v>60</v>
      </c>
      <c r="AG269" t="s">
        <v>49</v>
      </c>
      <c r="AH269" t="s">
        <v>50</v>
      </c>
      <c r="AI269" t="s">
        <v>51</v>
      </c>
      <c r="AJ269" t="s">
        <v>51</v>
      </c>
      <c r="AK269" t="s">
        <v>52</v>
      </c>
    </row>
    <row r="270" spans="26:37" x14ac:dyDescent="0.3">
      <c r="Z270" t="s">
        <v>1180</v>
      </c>
      <c r="AA270" t="s">
        <v>1197</v>
      </c>
      <c r="AB270" t="s">
        <v>1198</v>
      </c>
      <c r="AC270" t="s">
        <v>1199</v>
      </c>
      <c r="AD270" t="s">
        <v>46</v>
      </c>
      <c r="AE270" t="s">
        <v>71</v>
      </c>
      <c r="AF270" t="s">
        <v>60</v>
      </c>
      <c r="AG270" t="s">
        <v>49</v>
      </c>
      <c r="AH270" t="s">
        <v>50</v>
      </c>
      <c r="AI270" t="s">
        <v>51</v>
      </c>
      <c r="AJ270" t="s">
        <v>51</v>
      </c>
      <c r="AK270" t="s">
        <v>134</v>
      </c>
    </row>
    <row r="271" spans="26:37" x14ac:dyDescent="0.3">
      <c r="Z271" t="s">
        <v>1180</v>
      </c>
      <c r="AA271" t="s">
        <v>1202</v>
      </c>
      <c r="AB271" t="s">
        <v>1203</v>
      </c>
      <c r="AC271" t="s">
        <v>1204</v>
      </c>
      <c r="AD271" t="s">
        <v>70</v>
      </c>
      <c r="AE271" t="s">
        <v>71</v>
      </c>
      <c r="AF271" t="s">
        <v>60</v>
      </c>
      <c r="AG271" t="s">
        <v>49</v>
      </c>
      <c r="AH271" t="s">
        <v>50</v>
      </c>
      <c r="AI271" t="s">
        <v>51</v>
      </c>
      <c r="AJ271" t="s">
        <v>51</v>
      </c>
      <c r="AK271" t="s">
        <v>134</v>
      </c>
    </row>
    <row r="272" spans="26:37" x14ac:dyDescent="0.3">
      <c r="Z272" t="s">
        <v>1180</v>
      </c>
      <c r="AA272" t="s">
        <v>1212</v>
      </c>
      <c r="AB272" t="s">
        <v>303</v>
      </c>
      <c r="AC272" t="s">
        <v>1213</v>
      </c>
      <c r="AD272" t="s">
        <v>46</v>
      </c>
      <c r="AE272" t="s">
        <v>75</v>
      </c>
      <c r="AF272" t="s">
        <v>60</v>
      </c>
      <c r="AG272" t="s">
        <v>49</v>
      </c>
      <c r="AH272" t="s">
        <v>50</v>
      </c>
      <c r="AI272" t="s">
        <v>51</v>
      </c>
      <c r="AJ272" t="s">
        <v>51</v>
      </c>
      <c r="AK272" t="s">
        <v>134</v>
      </c>
    </row>
    <row r="273" spans="14:37" x14ac:dyDescent="0.3">
      <c r="Z273" t="s">
        <v>1180</v>
      </c>
      <c r="AA273" t="s">
        <v>1214</v>
      </c>
      <c r="AB273" t="s">
        <v>1215</v>
      </c>
      <c r="AC273" t="s">
        <v>1216</v>
      </c>
      <c r="AD273" t="s">
        <v>46</v>
      </c>
      <c r="AE273" t="s">
        <v>409</v>
      </c>
      <c r="AF273" t="s">
        <v>60</v>
      </c>
      <c r="AG273" t="s">
        <v>49</v>
      </c>
      <c r="AH273" t="s">
        <v>373</v>
      </c>
      <c r="AI273" t="s">
        <v>54</v>
      </c>
      <c r="AJ273" t="s">
        <v>51</v>
      </c>
      <c r="AK273" t="s">
        <v>134</v>
      </c>
    </row>
    <row r="274" spans="14:37" x14ac:dyDescent="0.3">
      <c r="Z274" t="s">
        <v>1180</v>
      </c>
      <c r="AA274" t="s">
        <v>1219</v>
      </c>
      <c r="AB274" t="s">
        <v>1220</v>
      </c>
      <c r="AC274" t="s">
        <v>1221</v>
      </c>
      <c r="AD274" t="s">
        <v>46</v>
      </c>
      <c r="AE274" t="s">
        <v>47</v>
      </c>
      <c r="AF274" t="s">
        <v>48</v>
      </c>
      <c r="AG274" t="s">
        <v>49</v>
      </c>
      <c r="AH274" t="s">
        <v>50</v>
      </c>
      <c r="AI274" t="s">
        <v>51</v>
      </c>
      <c r="AJ274" t="s">
        <v>51</v>
      </c>
      <c r="AK274" t="s">
        <v>134</v>
      </c>
    </row>
    <row r="275" spans="14:37" x14ac:dyDescent="0.3">
      <c r="Z275" t="s">
        <v>1180</v>
      </c>
      <c r="AA275" t="s">
        <v>1207</v>
      </c>
      <c r="AB275" t="s">
        <v>1208</v>
      </c>
      <c r="AC275" t="s">
        <v>1209</v>
      </c>
      <c r="AD275" t="s">
        <v>46</v>
      </c>
      <c r="AE275" t="s">
        <v>107</v>
      </c>
      <c r="AF275" t="s">
        <v>60</v>
      </c>
      <c r="AG275" t="s">
        <v>49</v>
      </c>
      <c r="AH275" t="s">
        <v>373</v>
      </c>
      <c r="AI275" t="s">
        <v>54</v>
      </c>
      <c r="AJ275" t="s">
        <v>51</v>
      </c>
      <c r="AK275" t="s">
        <v>134</v>
      </c>
    </row>
    <row r="276" spans="14:37" x14ac:dyDescent="0.3">
      <c r="Z276" t="s">
        <v>1180</v>
      </c>
      <c r="AA276" t="s">
        <v>1223</v>
      </c>
      <c r="AB276" t="s">
        <v>1224</v>
      </c>
      <c r="AC276" t="s">
        <v>1225</v>
      </c>
      <c r="AD276" t="s">
        <v>46</v>
      </c>
      <c r="AE276" t="s">
        <v>162</v>
      </c>
      <c r="AF276" t="s">
        <v>60</v>
      </c>
      <c r="AG276" t="s">
        <v>49</v>
      </c>
      <c r="AH276" t="s">
        <v>50</v>
      </c>
      <c r="AI276" t="s">
        <v>51</v>
      </c>
      <c r="AJ276" t="s">
        <v>51</v>
      </c>
      <c r="AK276" t="s">
        <v>134</v>
      </c>
    </row>
    <row r="277" spans="14:37" x14ac:dyDescent="0.3">
      <c r="Z277" t="s">
        <v>1180</v>
      </c>
      <c r="AA277" t="s">
        <v>1226</v>
      </c>
      <c r="AB277" t="s">
        <v>1227</v>
      </c>
      <c r="AC277" t="s">
        <v>1228</v>
      </c>
      <c r="AD277" t="s">
        <v>46</v>
      </c>
      <c r="AE277" t="s">
        <v>65</v>
      </c>
      <c r="AF277" t="s">
        <v>60</v>
      </c>
      <c r="AG277" t="s">
        <v>49</v>
      </c>
      <c r="AH277" t="s">
        <v>50</v>
      </c>
      <c r="AI277" t="s">
        <v>51</v>
      </c>
      <c r="AJ277" t="s">
        <v>51</v>
      </c>
      <c r="AK277" t="s">
        <v>134</v>
      </c>
    </row>
    <row r="278" spans="14:37" x14ac:dyDescent="0.3">
      <c r="Z278" t="s">
        <v>1180</v>
      </c>
      <c r="AA278" t="s">
        <v>1229</v>
      </c>
      <c r="AB278" t="s">
        <v>1230</v>
      </c>
      <c r="AC278" t="s">
        <v>1231</v>
      </c>
      <c r="AD278" t="s">
        <v>46</v>
      </c>
      <c r="AE278" t="s">
        <v>71</v>
      </c>
      <c r="AF278" t="s">
        <v>60</v>
      </c>
      <c r="AG278" t="s">
        <v>49</v>
      </c>
      <c r="AH278" t="s">
        <v>50</v>
      </c>
      <c r="AI278" t="s">
        <v>51</v>
      </c>
      <c r="AJ278" t="s">
        <v>51</v>
      </c>
      <c r="AK278" t="s">
        <v>134</v>
      </c>
    </row>
    <row r="279" spans="14:37" x14ac:dyDescent="0.3">
      <c r="Z279" t="s">
        <v>1180</v>
      </c>
      <c r="AA279" t="s">
        <v>1232</v>
      </c>
      <c r="AB279" t="s">
        <v>1233</v>
      </c>
      <c r="AC279" t="s">
        <v>1234</v>
      </c>
      <c r="AD279" t="s">
        <v>46</v>
      </c>
      <c r="AE279" t="s">
        <v>93</v>
      </c>
      <c r="AF279" t="s">
        <v>60</v>
      </c>
      <c r="AG279" t="s">
        <v>49</v>
      </c>
      <c r="AH279" t="s">
        <v>50</v>
      </c>
      <c r="AI279" t="s">
        <v>51</v>
      </c>
      <c r="AJ279" t="s">
        <v>51</v>
      </c>
      <c r="AK279" t="s">
        <v>134</v>
      </c>
    </row>
    <row r="280" spans="14:37" x14ac:dyDescent="0.3">
      <c r="Z280" t="s">
        <v>1180</v>
      </c>
      <c r="AA280" t="s">
        <v>1235</v>
      </c>
      <c r="AB280" t="s">
        <v>1236</v>
      </c>
      <c r="AC280" t="s">
        <v>1237</v>
      </c>
      <c r="AD280" t="s">
        <v>46</v>
      </c>
      <c r="AE280" t="s">
        <v>133</v>
      </c>
      <c r="AF280" t="s">
        <v>60</v>
      </c>
      <c r="AG280" t="s">
        <v>49</v>
      </c>
      <c r="AH280" t="s">
        <v>50</v>
      </c>
      <c r="AI280" t="s">
        <v>51</v>
      </c>
      <c r="AJ280" t="s">
        <v>51</v>
      </c>
      <c r="AK280" t="s">
        <v>134</v>
      </c>
    </row>
    <row r="281" spans="14:37" x14ac:dyDescent="0.3">
      <c r="Z281" t="s">
        <v>1180</v>
      </c>
      <c r="AA281" t="s">
        <v>1205</v>
      </c>
      <c r="AB281" t="s">
        <v>1146</v>
      </c>
      <c r="AC281" t="s">
        <v>1147</v>
      </c>
      <c r="AD281" t="s">
        <v>46</v>
      </c>
      <c r="AE281" t="s">
        <v>71</v>
      </c>
      <c r="AF281" t="s">
        <v>48</v>
      </c>
      <c r="AG281" t="s">
        <v>76</v>
      </c>
      <c r="AH281" t="s">
        <v>50</v>
      </c>
      <c r="AI281" t="s">
        <v>51</v>
      </c>
      <c r="AJ281" t="s">
        <v>51</v>
      </c>
      <c r="AK281" t="s">
        <v>134</v>
      </c>
    </row>
    <row r="282" spans="14:37" x14ac:dyDescent="0.3">
      <c r="Z282" t="s">
        <v>1240</v>
      </c>
      <c r="AA282" t="s">
        <v>1287</v>
      </c>
      <c r="AB282" t="s">
        <v>1288</v>
      </c>
      <c r="AC282" t="s">
        <v>1289</v>
      </c>
      <c r="AD282" t="s">
        <v>46</v>
      </c>
      <c r="AE282" t="s">
        <v>139</v>
      </c>
      <c r="AF282" t="s">
        <v>60</v>
      </c>
      <c r="AG282" t="s">
        <v>49</v>
      </c>
      <c r="AH282" t="s">
        <v>50</v>
      </c>
      <c r="AI282" t="s">
        <v>51</v>
      </c>
      <c r="AJ282" t="s">
        <v>51</v>
      </c>
      <c r="AK282" t="s">
        <v>134</v>
      </c>
    </row>
    <row r="283" spans="14:37" x14ac:dyDescent="0.3">
      <c r="Z283" t="s">
        <v>1240</v>
      </c>
      <c r="AA283" t="s">
        <v>1241</v>
      </c>
      <c r="AB283" t="s">
        <v>1242</v>
      </c>
      <c r="AC283" t="s">
        <v>1243</v>
      </c>
      <c r="AD283" t="s">
        <v>46</v>
      </c>
      <c r="AE283" t="s">
        <v>93</v>
      </c>
      <c r="AF283" t="s">
        <v>60</v>
      </c>
      <c r="AG283" t="s">
        <v>49</v>
      </c>
      <c r="AH283" t="s">
        <v>373</v>
      </c>
      <c r="AI283" t="s">
        <v>51</v>
      </c>
      <c r="AJ283" t="s">
        <v>51</v>
      </c>
      <c r="AK283" t="s">
        <v>52</v>
      </c>
    </row>
    <row r="284" spans="14:37" x14ac:dyDescent="0.3">
      <c r="N284" s="24"/>
      <c r="O284" s="24"/>
      <c r="Z284" t="s">
        <v>1240</v>
      </c>
      <c r="AA284" t="s">
        <v>1248</v>
      </c>
      <c r="AB284" t="s">
        <v>1249</v>
      </c>
      <c r="AC284" t="s">
        <v>1250</v>
      </c>
      <c r="AD284" t="s">
        <v>46</v>
      </c>
      <c r="AE284" t="s">
        <v>65</v>
      </c>
      <c r="AF284" t="s">
        <v>60</v>
      </c>
      <c r="AG284" t="s">
        <v>49</v>
      </c>
      <c r="AH284" t="s">
        <v>373</v>
      </c>
      <c r="AI284" t="s">
        <v>51</v>
      </c>
      <c r="AJ284" t="s">
        <v>51</v>
      </c>
      <c r="AK284" t="s">
        <v>52</v>
      </c>
    </row>
    <row r="285" spans="14:37" x14ac:dyDescent="0.3">
      <c r="N285" s="24"/>
      <c r="O285" s="24"/>
      <c r="Z285" t="s">
        <v>1240</v>
      </c>
      <c r="AA285" t="s">
        <v>1244</v>
      </c>
      <c r="AB285" t="s">
        <v>1245</v>
      </c>
      <c r="AC285" t="s">
        <v>1246</v>
      </c>
      <c r="AD285" t="s">
        <v>46</v>
      </c>
      <c r="AE285" t="s">
        <v>75</v>
      </c>
      <c r="AF285" t="s">
        <v>60</v>
      </c>
      <c r="AG285" t="s">
        <v>49</v>
      </c>
      <c r="AH285" t="s">
        <v>373</v>
      </c>
      <c r="AI285" t="s">
        <v>51</v>
      </c>
      <c r="AJ285" t="s">
        <v>51</v>
      </c>
      <c r="AK285" t="s">
        <v>52</v>
      </c>
    </row>
    <row r="286" spans="14:37" x14ac:dyDescent="0.3">
      <c r="N286" s="24"/>
      <c r="O286" s="24"/>
      <c r="Z286" t="s">
        <v>1240</v>
      </c>
      <c r="AA286" t="s">
        <v>1279</v>
      </c>
      <c r="AB286" t="s">
        <v>1280</v>
      </c>
      <c r="AC286" t="s">
        <v>1281</v>
      </c>
      <c r="AD286" t="s">
        <v>46</v>
      </c>
      <c r="AE286" t="s">
        <v>107</v>
      </c>
      <c r="AF286" t="s">
        <v>60</v>
      </c>
      <c r="AG286" t="s">
        <v>49</v>
      </c>
      <c r="AH286" t="s">
        <v>50</v>
      </c>
      <c r="AI286" t="s">
        <v>51</v>
      </c>
      <c r="AJ286" t="s">
        <v>51</v>
      </c>
      <c r="AK286" t="s">
        <v>134</v>
      </c>
    </row>
    <row r="287" spans="14:37" x14ac:dyDescent="0.3">
      <c r="N287" s="24"/>
      <c r="O287" s="24"/>
      <c r="Z287" t="s">
        <v>1240</v>
      </c>
      <c r="AA287" t="s">
        <v>1264</v>
      </c>
      <c r="AB287" t="s">
        <v>1265</v>
      </c>
      <c r="AC287" t="s">
        <v>1266</v>
      </c>
      <c r="AD287" t="s">
        <v>46</v>
      </c>
      <c r="AE287" t="s">
        <v>65</v>
      </c>
      <c r="AF287" t="s">
        <v>48</v>
      </c>
      <c r="AG287" t="s">
        <v>76</v>
      </c>
      <c r="AH287" t="s">
        <v>50</v>
      </c>
      <c r="AI287" t="s">
        <v>51</v>
      </c>
      <c r="AJ287" t="s">
        <v>51</v>
      </c>
      <c r="AK287" t="s">
        <v>52</v>
      </c>
    </row>
    <row r="288" spans="14:37" x14ac:dyDescent="0.3">
      <c r="N288" s="24"/>
      <c r="O288" s="24"/>
      <c r="Z288" t="s">
        <v>1240</v>
      </c>
      <c r="AA288" t="s">
        <v>1271</v>
      </c>
      <c r="AB288" t="s">
        <v>1272</v>
      </c>
      <c r="AC288" t="s">
        <v>1273</v>
      </c>
      <c r="AD288" t="s">
        <v>46</v>
      </c>
      <c r="AE288" t="s">
        <v>71</v>
      </c>
      <c r="AF288" t="s">
        <v>60</v>
      </c>
      <c r="AG288" t="s">
        <v>49</v>
      </c>
      <c r="AH288" t="s">
        <v>373</v>
      </c>
      <c r="AI288" t="s">
        <v>54</v>
      </c>
      <c r="AJ288" t="s">
        <v>51</v>
      </c>
      <c r="AK288" t="s">
        <v>134</v>
      </c>
    </row>
    <row r="289" spans="14:37" x14ac:dyDescent="0.3">
      <c r="N289" s="24"/>
      <c r="O289" s="24"/>
      <c r="Z289" t="s">
        <v>1240</v>
      </c>
      <c r="AA289" t="s">
        <v>1260</v>
      </c>
      <c r="AB289" t="s">
        <v>1261</v>
      </c>
      <c r="AC289" t="s">
        <v>1262</v>
      </c>
      <c r="AD289" t="s">
        <v>46</v>
      </c>
      <c r="AE289" t="s">
        <v>162</v>
      </c>
      <c r="AF289" t="s">
        <v>60</v>
      </c>
      <c r="AG289" t="s">
        <v>49</v>
      </c>
      <c r="AH289" t="s">
        <v>50</v>
      </c>
      <c r="AI289" t="s">
        <v>51</v>
      </c>
      <c r="AJ289" t="s">
        <v>51</v>
      </c>
      <c r="AK289" t="s">
        <v>52</v>
      </c>
    </row>
    <row r="290" spans="14:37" x14ac:dyDescent="0.3">
      <c r="N290" s="24"/>
      <c r="O290" s="24"/>
      <c r="Z290" t="s">
        <v>1240</v>
      </c>
      <c r="AA290" t="s">
        <v>1257</v>
      </c>
      <c r="AB290" t="s">
        <v>1258</v>
      </c>
      <c r="AC290" t="s">
        <v>1259</v>
      </c>
      <c r="AD290" t="s">
        <v>46</v>
      </c>
      <c r="AE290" t="s">
        <v>47</v>
      </c>
      <c r="AF290" t="s">
        <v>48</v>
      </c>
      <c r="AG290" t="s">
        <v>76</v>
      </c>
      <c r="AH290" t="s">
        <v>50</v>
      </c>
      <c r="AI290" t="s">
        <v>51</v>
      </c>
      <c r="AJ290" t="s">
        <v>51</v>
      </c>
      <c r="AK290" t="s">
        <v>52</v>
      </c>
    </row>
    <row r="291" spans="14:37" x14ac:dyDescent="0.3">
      <c r="N291" s="24"/>
      <c r="O291" s="24"/>
      <c r="Z291" t="s">
        <v>1240</v>
      </c>
      <c r="AA291" t="s">
        <v>1252</v>
      </c>
      <c r="AB291" t="s">
        <v>1253</v>
      </c>
      <c r="AC291" t="s">
        <v>1254</v>
      </c>
      <c r="AD291" t="s">
        <v>46</v>
      </c>
      <c r="AE291" t="s">
        <v>102</v>
      </c>
      <c r="AF291" t="s">
        <v>48</v>
      </c>
      <c r="AG291" t="s">
        <v>76</v>
      </c>
      <c r="AH291" t="s">
        <v>50</v>
      </c>
      <c r="AI291" t="s">
        <v>51</v>
      </c>
      <c r="AJ291" t="s">
        <v>51</v>
      </c>
      <c r="AK291" t="s">
        <v>52</v>
      </c>
    </row>
    <row r="292" spans="14:37" x14ac:dyDescent="0.3">
      <c r="N292" s="24"/>
      <c r="O292" s="24"/>
      <c r="Z292" t="s">
        <v>1240</v>
      </c>
      <c r="AA292" t="s">
        <v>1284</v>
      </c>
      <c r="AB292" t="s">
        <v>1285</v>
      </c>
      <c r="AC292" t="s">
        <v>1286</v>
      </c>
      <c r="AD292" t="s">
        <v>46</v>
      </c>
      <c r="AE292" t="s">
        <v>150</v>
      </c>
      <c r="AF292" t="s">
        <v>48</v>
      </c>
      <c r="AG292" t="s">
        <v>76</v>
      </c>
      <c r="AH292" t="s">
        <v>50</v>
      </c>
      <c r="AI292" t="s">
        <v>51</v>
      </c>
      <c r="AJ292" t="s">
        <v>51</v>
      </c>
      <c r="AK292" t="s">
        <v>134</v>
      </c>
    </row>
    <row r="293" spans="14:37" x14ac:dyDescent="0.3">
      <c r="N293" s="24"/>
      <c r="O293" s="24"/>
      <c r="Z293" t="s">
        <v>1240</v>
      </c>
      <c r="AA293" t="s">
        <v>1269</v>
      </c>
      <c r="AB293" t="s">
        <v>327</v>
      </c>
      <c r="AC293" t="s">
        <v>1270</v>
      </c>
      <c r="AD293" t="s">
        <v>46</v>
      </c>
      <c r="AE293" t="s">
        <v>65</v>
      </c>
      <c r="AF293" t="s">
        <v>60</v>
      </c>
      <c r="AG293" t="s">
        <v>49</v>
      </c>
      <c r="AH293" t="s">
        <v>50</v>
      </c>
      <c r="AI293" t="s">
        <v>51</v>
      </c>
      <c r="AJ293" t="s">
        <v>51</v>
      </c>
      <c r="AK293" t="s">
        <v>52</v>
      </c>
    </row>
    <row r="294" spans="14:37" x14ac:dyDescent="0.3">
      <c r="N294" s="24"/>
      <c r="O294" s="24"/>
      <c r="Z294" t="s">
        <v>1240</v>
      </c>
      <c r="AA294" t="s">
        <v>1276</v>
      </c>
      <c r="AB294" t="s">
        <v>1277</v>
      </c>
      <c r="AC294" t="s">
        <v>1278</v>
      </c>
      <c r="AD294" t="s">
        <v>46</v>
      </c>
      <c r="AE294" t="s">
        <v>65</v>
      </c>
      <c r="AF294" t="s">
        <v>60</v>
      </c>
      <c r="AG294" t="s">
        <v>49</v>
      </c>
      <c r="AH294" t="s">
        <v>50</v>
      </c>
      <c r="AI294" t="s">
        <v>51</v>
      </c>
      <c r="AJ294" t="s">
        <v>51</v>
      </c>
      <c r="AK294" t="s">
        <v>134</v>
      </c>
    </row>
    <row r="295" spans="14:37" x14ac:dyDescent="0.3">
      <c r="N295" s="24"/>
      <c r="O295" s="24"/>
      <c r="Z295" t="s">
        <v>1292</v>
      </c>
      <c r="AA295" t="s">
        <v>1298</v>
      </c>
      <c r="AB295" t="s">
        <v>1299</v>
      </c>
      <c r="AC295" t="s">
        <v>1300</v>
      </c>
      <c r="AD295" t="s">
        <v>46</v>
      </c>
      <c r="AE295" t="s">
        <v>59</v>
      </c>
      <c r="AF295" t="s">
        <v>48</v>
      </c>
      <c r="AG295" t="s">
        <v>49</v>
      </c>
      <c r="AH295" t="s">
        <v>50</v>
      </c>
      <c r="AI295" t="s">
        <v>51</v>
      </c>
      <c r="AJ295" t="s">
        <v>51</v>
      </c>
      <c r="AK295" t="s">
        <v>52</v>
      </c>
    </row>
    <row r="296" spans="14:37" x14ac:dyDescent="0.3">
      <c r="N296" s="24"/>
      <c r="O296" s="24"/>
      <c r="Z296" t="s">
        <v>1292</v>
      </c>
      <c r="AA296" t="s">
        <v>1318</v>
      </c>
      <c r="AB296" t="s">
        <v>1319</v>
      </c>
      <c r="AC296" t="s">
        <v>1320</v>
      </c>
      <c r="AD296" t="s">
        <v>46</v>
      </c>
      <c r="AE296" t="s">
        <v>93</v>
      </c>
      <c r="AF296" t="s">
        <v>48</v>
      </c>
      <c r="AG296" t="s">
        <v>49</v>
      </c>
      <c r="AH296" t="s">
        <v>50</v>
      </c>
      <c r="AI296" t="s">
        <v>51</v>
      </c>
      <c r="AJ296" t="s">
        <v>51</v>
      </c>
      <c r="AK296" t="s">
        <v>134</v>
      </c>
    </row>
    <row r="297" spans="14:37" x14ac:dyDescent="0.3">
      <c r="Z297" t="s">
        <v>1292</v>
      </c>
      <c r="AA297" t="s">
        <v>1322</v>
      </c>
      <c r="AB297" t="s">
        <v>1323</v>
      </c>
      <c r="AC297" t="s">
        <v>1324</v>
      </c>
      <c r="AD297" t="s">
        <v>46</v>
      </c>
      <c r="AE297" t="s">
        <v>133</v>
      </c>
      <c r="AF297" t="s">
        <v>48</v>
      </c>
      <c r="AG297" t="s">
        <v>49</v>
      </c>
      <c r="AH297" t="s">
        <v>50</v>
      </c>
      <c r="AI297" t="s">
        <v>51</v>
      </c>
      <c r="AJ297" t="s">
        <v>51</v>
      </c>
      <c r="AK297" t="s">
        <v>134</v>
      </c>
    </row>
    <row r="298" spans="14:37" x14ac:dyDescent="0.3">
      <c r="Z298" t="s">
        <v>1292</v>
      </c>
      <c r="AA298" t="s">
        <v>1325</v>
      </c>
      <c r="AB298" t="s">
        <v>1326</v>
      </c>
      <c r="AC298" t="s">
        <v>1327</v>
      </c>
      <c r="AD298" t="s">
        <v>46</v>
      </c>
      <c r="AE298" t="s">
        <v>71</v>
      </c>
      <c r="AF298" t="s">
        <v>48</v>
      </c>
      <c r="AG298" t="s">
        <v>49</v>
      </c>
      <c r="AH298" t="s">
        <v>373</v>
      </c>
      <c r="AI298" t="s">
        <v>51</v>
      </c>
      <c r="AJ298" t="s">
        <v>51</v>
      </c>
      <c r="AK298" t="s">
        <v>134</v>
      </c>
    </row>
    <row r="299" spans="14:37" x14ac:dyDescent="0.3">
      <c r="Z299" t="s">
        <v>1292</v>
      </c>
      <c r="AA299" t="s">
        <v>1303</v>
      </c>
      <c r="AB299" t="s">
        <v>1304</v>
      </c>
      <c r="AC299" t="s">
        <v>1305</v>
      </c>
      <c r="AD299" t="s">
        <v>46</v>
      </c>
      <c r="AE299" t="s">
        <v>240</v>
      </c>
      <c r="AF299" t="s">
        <v>48</v>
      </c>
      <c r="AG299" t="s">
        <v>49</v>
      </c>
      <c r="AH299" t="s">
        <v>50</v>
      </c>
      <c r="AI299" t="s">
        <v>51</v>
      </c>
      <c r="AJ299" t="s">
        <v>51</v>
      </c>
      <c r="AK299" t="s">
        <v>52</v>
      </c>
    </row>
    <row r="300" spans="14:37" x14ac:dyDescent="0.3">
      <c r="N300" s="24"/>
      <c r="O300" s="24"/>
      <c r="Z300" t="s">
        <v>1292</v>
      </c>
      <c r="AA300" t="s">
        <v>1293</v>
      </c>
      <c r="AB300" t="s">
        <v>1294</v>
      </c>
      <c r="AC300" t="s">
        <v>1295</v>
      </c>
      <c r="AD300" t="s">
        <v>46</v>
      </c>
      <c r="AE300" t="s">
        <v>314</v>
      </c>
      <c r="AF300" t="s">
        <v>48</v>
      </c>
      <c r="AG300" t="s">
        <v>49</v>
      </c>
      <c r="AH300" t="s">
        <v>50</v>
      </c>
      <c r="AI300" t="s">
        <v>51</v>
      </c>
      <c r="AJ300" t="s">
        <v>51</v>
      </c>
      <c r="AK300" t="s">
        <v>52</v>
      </c>
    </row>
    <row r="301" spans="14:37" x14ac:dyDescent="0.3">
      <c r="N301" s="24"/>
      <c r="O301" s="24"/>
      <c r="Z301" t="s">
        <v>1292</v>
      </c>
      <c r="AA301" t="s">
        <v>1313</v>
      </c>
      <c r="AB301" t="s">
        <v>1314</v>
      </c>
      <c r="AC301" t="s">
        <v>1315</v>
      </c>
      <c r="AD301" t="s">
        <v>46</v>
      </c>
      <c r="AE301" t="s">
        <v>240</v>
      </c>
      <c r="AF301" t="s">
        <v>48</v>
      </c>
      <c r="AG301" t="s">
        <v>49</v>
      </c>
      <c r="AH301" t="s">
        <v>373</v>
      </c>
      <c r="AI301" t="s">
        <v>51</v>
      </c>
      <c r="AJ301" t="s">
        <v>51</v>
      </c>
      <c r="AK301" t="s">
        <v>52</v>
      </c>
    </row>
    <row r="302" spans="14:37" x14ac:dyDescent="0.3">
      <c r="N302" s="24"/>
      <c r="O302" s="24"/>
      <c r="Z302" t="s">
        <v>1292</v>
      </c>
      <c r="AA302" t="s">
        <v>1338</v>
      </c>
      <c r="AB302" t="s">
        <v>1339</v>
      </c>
      <c r="AC302" t="s">
        <v>1340</v>
      </c>
      <c r="AD302" t="s">
        <v>46</v>
      </c>
      <c r="AE302" t="s">
        <v>47</v>
      </c>
      <c r="AF302" t="s">
        <v>48</v>
      </c>
      <c r="AG302" t="s">
        <v>49</v>
      </c>
      <c r="AH302" t="s">
        <v>50</v>
      </c>
      <c r="AI302" t="s">
        <v>51</v>
      </c>
      <c r="AJ302" t="s">
        <v>51</v>
      </c>
      <c r="AK302" t="s">
        <v>134</v>
      </c>
    </row>
    <row r="303" spans="14:37" x14ac:dyDescent="0.3">
      <c r="N303" s="24"/>
      <c r="O303" s="24"/>
      <c r="Z303" t="s">
        <v>1292</v>
      </c>
      <c r="AA303" t="s">
        <v>1329</v>
      </c>
      <c r="AB303" t="s">
        <v>1330</v>
      </c>
      <c r="AC303" t="s">
        <v>1331</v>
      </c>
      <c r="AD303" t="s">
        <v>46</v>
      </c>
      <c r="AE303" t="s">
        <v>71</v>
      </c>
      <c r="AF303" t="s">
        <v>48</v>
      </c>
      <c r="AG303" t="s">
        <v>49</v>
      </c>
      <c r="AH303" t="s">
        <v>50</v>
      </c>
      <c r="AI303" t="s">
        <v>51</v>
      </c>
      <c r="AJ303" t="s">
        <v>51</v>
      </c>
      <c r="AK303" t="s">
        <v>134</v>
      </c>
    </row>
    <row r="304" spans="14:37" x14ac:dyDescent="0.3">
      <c r="N304" s="24"/>
      <c r="O304" s="24"/>
      <c r="Z304" t="s">
        <v>1292</v>
      </c>
      <c r="AA304" t="s">
        <v>1333</v>
      </c>
      <c r="AB304" t="s">
        <v>1334</v>
      </c>
      <c r="AC304" t="s">
        <v>1335</v>
      </c>
      <c r="AD304" t="s">
        <v>46</v>
      </c>
      <c r="AE304" t="s">
        <v>240</v>
      </c>
      <c r="AF304" t="s">
        <v>48</v>
      </c>
      <c r="AG304" t="s">
        <v>49</v>
      </c>
      <c r="AH304" t="s">
        <v>50</v>
      </c>
      <c r="AI304" t="s">
        <v>51</v>
      </c>
      <c r="AJ304" t="s">
        <v>51</v>
      </c>
      <c r="AK304" t="s">
        <v>134</v>
      </c>
    </row>
    <row r="305" spans="14:37" x14ac:dyDescent="0.3">
      <c r="N305" s="24"/>
      <c r="O305" s="24"/>
      <c r="Z305" t="s">
        <v>1292</v>
      </c>
      <c r="AA305" t="s">
        <v>1308</v>
      </c>
      <c r="AB305" t="s">
        <v>1309</v>
      </c>
      <c r="AC305" t="s">
        <v>1310</v>
      </c>
      <c r="AD305" t="s">
        <v>46</v>
      </c>
      <c r="AE305" t="s">
        <v>47</v>
      </c>
      <c r="AF305" t="s">
        <v>48</v>
      </c>
      <c r="AG305" t="s">
        <v>49</v>
      </c>
      <c r="AH305" t="s">
        <v>50</v>
      </c>
      <c r="AI305" t="s">
        <v>51</v>
      </c>
      <c r="AJ305" t="s">
        <v>51</v>
      </c>
      <c r="AK305" t="s">
        <v>52</v>
      </c>
    </row>
    <row r="306" spans="14:37" x14ac:dyDescent="0.3">
      <c r="N306" s="24"/>
      <c r="O306" s="24"/>
      <c r="Z306" t="s">
        <v>1343</v>
      </c>
      <c r="AA306" t="s">
        <v>1350</v>
      </c>
      <c r="AB306" t="s">
        <v>1351</v>
      </c>
      <c r="AC306" t="s">
        <v>1352</v>
      </c>
      <c r="AD306" t="s">
        <v>46</v>
      </c>
      <c r="AE306" t="s">
        <v>93</v>
      </c>
      <c r="AF306" t="s">
        <v>60</v>
      </c>
      <c r="AG306" t="s">
        <v>49</v>
      </c>
      <c r="AH306" t="s">
        <v>50</v>
      </c>
      <c r="AI306" t="s">
        <v>51</v>
      </c>
      <c r="AJ306" t="s">
        <v>51</v>
      </c>
      <c r="AK306" t="s">
        <v>134</v>
      </c>
    </row>
    <row r="307" spans="14:37" x14ac:dyDescent="0.3">
      <c r="N307" s="24"/>
      <c r="O307" s="24"/>
      <c r="Z307" t="s">
        <v>1343</v>
      </c>
      <c r="AA307" t="s">
        <v>1344</v>
      </c>
      <c r="AB307" t="s">
        <v>941</v>
      </c>
      <c r="AC307" t="s">
        <v>1345</v>
      </c>
      <c r="AD307" t="s">
        <v>46</v>
      </c>
      <c r="AE307" t="s">
        <v>71</v>
      </c>
      <c r="AF307" t="s">
        <v>60</v>
      </c>
      <c r="AG307" t="s">
        <v>49</v>
      </c>
      <c r="AH307" t="s">
        <v>50</v>
      </c>
      <c r="AI307" t="s">
        <v>51</v>
      </c>
      <c r="AJ307" t="s">
        <v>51</v>
      </c>
      <c r="AK307" t="s">
        <v>134</v>
      </c>
    </row>
    <row r="308" spans="14:37" x14ac:dyDescent="0.3">
      <c r="N308" s="24"/>
      <c r="O308" s="24"/>
      <c r="Z308" t="s">
        <v>1343</v>
      </c>
      <c r="AA308" t="s">
        <v>1347</v>
      </c>
      <c r="AB308" t="s">
        <v>1348</v>
      </c>
      <c r="AC308" t="s">
        <v>1349</v>
      </c>
      <c r="AD308" t="s">
        <v>46</v>
      </c>
      <c r="AE308" t="s">
        <v>224</v>
      </c>
      <c r="AF308" t="s">
        <v>60</v>
      </c>
      <c r="AG308" t="s">
        <v>49</v>
      </c>
      <c r="AH308" t="s">
        <v>50</v>
      </c>
      <c r="AI308" t="s">
        <v>51</v>
      </c>
      <c r="AJ308" t="s">
        <v>51</v>
      </c>
      <c r="AK308" t="s">
        <v>134</v>
      </c>
    </row>
  </sheetData>
  <sortState xmlns:xlrd2="http://schemas.microsoft.com/office/spreadsheetml/2017/richdata2" ref="R11:W308">
    <sortCondition ref="W308"/>
  </sortState>
  <conditionalFormatting sqref="S10:V10">
    <cfRule type="cellIs" dxfId="3" priority="2" operator="equal">
      <formula>"nan"</formula>
    </cfRule>
  </conditionalFormatting>
  <conditionalFormatting sqref="Z10:AO10">
    <cfRule type="cellIs" dxfId="2" priority="1" operator="equal">
      <formula>"nan"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AD96-A465-4CF3-BF09-E4C25942884A}">
  <dimension ref="A1:AQ321"/>
  <sheetViews>
    <sheetView zoomScale="102" zoomScaleNormal="80" workbookViewId="0">
      <selection activeCell="C1" sqref="C1"/>
    </sheetView>
  </sheetViews>
  <sheetFormatPr defaultRowHeight="14.4" x14ac:dyDescent="0.3"/>
  <cols>
    <col min="2" max="2" width="3.88671875" bestFit="1" customWidth="1"/>
    <col min="3" max="3" width="21.33203125" customWidth="1"/>
    <col min="4" max="4" width="10.88671875" customWidth="1"/>
    <col min="5" max="5" width="8.88671875" customWidth="1"/>
    <col min="6" max="6" width="8.6640625" customWidth="1"/>
    <col min="7" max="7" width="15.44140625" customWidth="1"/>
    <col min="8" max="8" width="5.33203125" hidden="1" customWidth="1"/>
    <col min="9" max="9" width="4.6640625" hidden="1" customWidth="1"/>
    <col min="10" max="10" width="4.33203125" hidden="1" customWidth="1"/>
    <col min="11" max="11" width="4.6640625" hidden="1" customWidth="1"/>
    <col min="12" max="12" width="5.6640625" hidden="1" customWidth="1"/>
    <col min="13" max="13" width="16.33203125" customWidth="1"/>
    <col min="14" max="14" width="8.44140625" hidden="1" customWidth="1"/>
    <col min="15" max="17" width="6.6640625" hidden="1" customWidth="1"/>
    <col min="18" max="18" width="25.5546875" hidden="1" customWidth="1"/>
    <col min="19" max="19" width="24.109375" style="1" hidden="1" customWidth="1"/>
    <col min="20" max="20" width="38.5546875" style="1" hidden="1" customWidth="1"/>
    <col min="21" max="21" width="30.88671875" style="1" hidden="1" customWidth="1"/>
    <col min="22" max="22" width="30.109375" style="1" hidden="1" customWidth="1"/>
    <col min="23" max="23" width="36.5546875" hidden="1" customWidth="1"/>
    <col min="24" max="24" width="35.88671875" hidden="1" customWidth="1"/>
    <col min="25" max="25" width="25" hidden="1" customWidth="1"/>
    <col min="26" max="26" width="26.44140625" hidden="1" customWidth="1"/>
    <col min="27" max="28" width="21.44140625" style="14" customWidth="1"/>
    <col min="29" max="29" width="18.5546875" hidden="1" customWidth="1"/>
    <col min="30" max="30" width="37.88671875" hidden="1" customWidth="1"/>
    <col min="31" max="31" width="37.109375" hidden="1" customWidth="1"/>
    <col min="32" max="32" width="32.44140625" style="14" hidden="1" customWidth="1"/>
    <col min="33" max="33" width="34.88671875" hidden="1" customWidth="1"/>
    <col min="34" max="34" width="26.109375" hidden="1" customWidth="1"/>
    <col min="35" max="35" width="33.88671875" hidden="1" customWidth="1"/>
    <col min="36" max="36" width="26.88671875" hidden="1" customWidth="1"/>
    <col min="37" max="37" width="33.88671875" hidden="1" customWidth="1"/>
    <col min="38" max="38" width="32.44140625" hidden="1" customWidth="1"/>
    <col min="39" max="39" width="44.44140625" hidden="1" customWidth="1"/>
    <col min="40" max="40" width="33.5546875" hidden="1" customWidth="1"/>
    <col min="41" max="41" width="41" hidden="1" customWidth="1"/>
    <col min="42" max="42" width="33.5546875" hidden="1" customWidth="1"/>
    <col min="43" max="43" width="17.44140625" bestFit="1" customWidth="1"/>
  </cols>
  <sheetData>
    <row r="1" spans="1:43" ht="132" x14ac:dyDescent="0.3">
      <c r="A1" t="s">
        <v>1676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20" t="s">
        <v>25</v>
      </c>
      <c r="AB1" s="21" t="s">
        <v>26</v>
      </c>
      <c r="AC1" s="5" t="s">
        <v>27</v>
      </c>
      <c r="AD1" s="5" t="s">
        <v>28</v>
      </c>
      <c r="AE1" s="5" t="s">
        <v>29</v>
      </c>
      <c r="AF1" s="20" t="s">
        <v>30</v>
      </c>
      <c r="AG1" s="5" t="s">
        <v>31</v>
      </c>
      <c r="AH1" s="5" t="s">
        <v>32</v>
      </c>
      <c r="AI1" s="25" t="s">
        <v>33</v>
      </c>
      <c r="AJ1" s="2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28" t="s">
        <v>41</v>
      </c>
    </row>
    <row r="2" spans="1:43" x14ac:dyDescent="0.3"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51</v>
      </c>
      <c r="M2" t="s">
        <v>52</v>
      </c>
      <c r="N2" t="s">
        <v>53</v>
      </c>
      <c r="O2" t="s">
        <v>54</v>
      </c>
      <c r="P2" t="s">
        <v>54</v>
      </c>
      <c r="Q2" t="s">
        <v>51</v>
      </c>
      <c r="R2" t="s">
        <v>55</v>
      </c>
      <c r="S2" s="1">
        <v>13107416.33</v>
      </c>
      <c r="T2" s="1">
        <v>6325167.21</v>
      </c>
      <c r="U2" s="1">
        <v>13107416.33</v>
      </c>
      <c r="V2" s="1">
        <v>0</v>
      </c>
      <c r="W2" t="s">
        <v>54</v>
      </c>
      <c r="X2">
        <v>0</v>
      </c>
      <c r="Y2">
        <v>0</v>
      </c>
      <c r="Z2">
        <v>0</v>
      </c>
      <c r="AA2" s="14">
        <v>11811971.51</v>
      </c>
      <c r="AB2" s="14">
        <v>103720301.25</v>
      </c>
      <c r="AC2">
        <v>0</v>
      </c>
      <c r="AD2">
        <v>0</v>
      </c>
      <c r="AE2">
        <v>11684206.5</v>
      </c>
      <c r="AF2">
        <v>13107416.33</v>
      </c>
      <c r="AG2">
        <v>0</v>
      </c>
      <c r="AH2" s="14">
        <v>0</v>
      </c>
      <c r="AI2">
        <v>0</v>
      </c>
      <c r="AJ2">
        <v>0</v>
      </c>
      <c r="AK2">
        <v>4396687.58</v>
      </c>
      <c r="AL2">
        <v>4396687.58</v>
      </c>
      <c r="AM2">
        <v>4396687.58</v>
      </c>
      <c r="AN2">
        <v>4396687.58</v>
      </c>
      <c r="AO2">
        <v>0</v>
      </c>
      <c r="AP2">
        <v>0</v>
      </c>
      <c r="AQ2" s="29">
        <f t="shared" ref="AQ2:AQ65" si="0">AA2*100/AB2</f>
        <v>11.388292713814307</v>
      </c>
    </row>
    <row r="3" spans="1:43" x14ac:dyDescent="0.3">
      <c r="B3" t="s">
        <v>42</v>
      </c>
      <c r="C3" t="s">
        <v>56</v>
      </c>
      <c r="D3" t="s">
        <v>57</v>
      </c>
      <c r="E3" t="s">
        <v>58</v>
      </c>
      <c r="F3" t="s">
        <v>46</v>
      </c>
      <c r="G3" t="s">
        <v>59</v>
      </c>
      <c r="H3" t="s">
        <v>60</v>
      </c>
      <c r="I3" t="s">
        <v>49</v>
      </c>
      <c r="J3" t="s">
        <v>50</v>
      </c>
      <c r="K3" t="s">
        <v>51</v>
      </c>
      <c r="L3" t="s">
        <v>51</v>
      </c>
      <c r="M3" t="s">
        <v>52</v>
      </c>
      <c r="N3" t="s">
        <v>61</v>
      </c>
      <c r="O3" t="s">
        <v>54</v>
      </c>
      <c r="P3" t="s">
        <v>54</v>
      </c>
      <c r="Q3" t="s">
        <v>51</v>
      </c>
      <c r="R3" t="s">
        <v>55</v>
      </c>
      <c r="S3" s="1">
        <v>8531737.6300000008</v>
      </c>
      <c r="T3" s="1">
        <v>7155806.1900000004</v>
      </c>
      <c r="U3" s="1">
        <v>10314427.73</v>
      </c>
      <c r="V3" s="1">
        <v>0</v>
      </c>
      <c r="W3" t="s">
        <v>51</v>
      </c>
      <c r="X3">
        <v>407932.32</v>
      </c>
      <c r="Y3">
        <v>0</v>
      </c>
      <c r="Z3">
        <v>99128.6</v>
      </c>
      <c r="AA3" s="14">
        <v>-10051185.58</v>
      </c>
      <c r="AB3" s="14">
        <v>39712876.009999998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5563422.3899999997</v>
      </c>
      <c r="AJ3">
        <v>8531737.6300000008</v>
      </c>
      <c r="AK3">
        <v>0</v>
      </c>
      <c r="AL3">
        <v>0</v>
      </c>
      <c r="AM3">
        <v>156205481.16</v>
      </c>
      <c r="AN3">
        <v>164737218.78999999</v>
      </c>
      <c r="AO3">
        <v>3794518.84</v>
      </c>
      <c r="AP3">
        <v>9762781.2100000009</v>
      </c>
      <c r="AQ3" s="29">
        <f t="shared" si="0"/>
        <v>-25.309639063836716</v>
      </c>
    </row>
    <row r="4" spans="1:43" x14ac:dyDescent="0.3">
      <c r="B4" t="s">
        <v>42</v>
      </c>
      <c r="C4" t="s">
        <v>62</v>
      </c>
      <c r="D4" t="s">
        <v>63</v>
      </c>
      <c r="E4" t="s">
        <v>64</v>
      </c>
      <c r="F4" t="s">
        <v>46</v>
      </c>
      <c r="G4" t="s">
        <v>65</v>
      </c>
      <c r="H4" t="s">
        <v>60</v>
      </c>
      <c r="I4" t="s">
        <v>49</v>
      </c>
      <c r="J4" t="s">
        <v>50</v>
      </c>
      <c r="K4" t="s">
        <v>51</v>
      </c>
      <c r="L4" t="s">
        <v>51</v>
      </c>
      <c r="M4" t="s">
        <v>52</v>
      </c>
      <c r="N4" t="s">
        <v>66</v>
      </c>
      <c r="O4" t="s">
        <v>54</v>
      </c>
      <c r="P4" t="s">
        <v>54</v>
      </c>
      <c r="Q4" t="s">
        <v>51</v>
      </c>
      <c r="R4" t="s">
        <v>55</v>
      </c>
      <c r="S4" s="1">
        <v>0</v>
      </c>
      <c r="T4" s="1">
        <v>0</v>
      </c>
      <c r="U4" s="1">
        <v>0</v>
      </c>
      <c r="V4" s="1">
        <v>0</v>
      </c>
      <c r="W4" t="s">
        <v>51</v>
      </c>
      <c r="X4">
        <v>0</v>
      </c>
      <c r="Y4">
        <v>0</v>
      </c>
      <c r="Z4">
        <v>0</v>
      </c>
      <c r="AA4" s="14">
        <v>0</v>
      </c>
      <c r="AB4" s="1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s="29" t="e">
        <f t="shared" si="0"/>
        <v>#DIV/0!</v>
      </c>
    </row>
    <row r="5" spans="1:43" x14ac:dyDescent="0.3">
      <c r="B5" t="s">
        <v>42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60</v>
      </c>
      <c r="I5" t="s">
        <v>49</v>
      </c>
      <c r="J5" t="s">
        <v>50</v>
      </c>
      <c r="K5" t="s">
        <v>51</v>
      </c>
      <c r="L5" t="s">
        <v>51</v>
      </c>
      <c r="M5" t="s">
        <v>52</v>
      </c>
      <c r="N5" t="s">
        <v>61</v>
      </c>
      <c r="O5" t="s">
        <v>54</v>
      </c>
      <c r="P5" t="s">
        <v>54</v>
      </c>
      <c r="Q5" t="s">
        <v>51</v>
      </c>
      <c r="R5" t="s">
        <v>55</v>
      </c>
      <c r="S5" s="1">
        <v>1776184.34</v>
      </c>
      <c r="T5" s="1">
        <v>1444341.25</v>
      </c>
      <c r="U5" s="1">
        <v>1643842.5</v>
      </c>
      <c r="V5" s="1">
        <v>2348.39</v>
      </c>
      <c r="W5" t="s">
        <v>51</v>
      </c>
      <c r="X5">
        <v>109184.47</v>
      </c>
      <c r="Y5">
        <v>0</v>
      </c>
      <c r="Z5">
        <v>0</v>
      </c>
      <c r="AA5" s="14">
        <v>-2514600.66</v>
      </c>
      <c r="AB5" s="14">
        <v>-199341952.72</v>
      </c>
      <c r="AC5">
        <v>0</v>
      </c>
      <c r="AD5">
        <v>0</v>
      </c>
      <c r="AE5">
        <v>1780362.81</v>
      </c>
      <c r="AF5">
        <v>1774048.96</v>
      </c>
      <c r="AG5">
        <v>0</v>
      </c>
      <c r="AH5" s="14">
        <v>0</v>
      </c>
      <c r="AI5">
        <v>0</v>
      </c>
      <c r="AJ5">
        <v>0</v>
      </c>
      <c r="AK5">
        <v>0</v>
      </c>
      <c r="AL5">
        <v>0</v>
      </c>
      <c r="AM5">
        <v>24365820.859999999</v>
      </c>
      <c r="AN5">
        <v>24365820.859999999</v>
      </c>
      <c r="AO5">
        <v>0</v>
      </c>
      <c r="AP5">
        <v>0</v>
      </c>
      <c r="AQ5" s="29">
        <f t="shared" si="0"/>
        <v>1.2614508013433892</v>
      </c>
    </row>
    <row r="6" spans="1:43" x14ac:dyDescent="0.3">
      <c r="B6" t="s">
        <v>42</v>
      </c>
      <c r="C6" t="s">
        <v>72</v>
      </c>
      <c r="D6" t="s">
        <v>73</v>
      </c>
      <c r="E6" t="s">
        <v>74</v>
      </c>
      <c r="F6" t="s">
        <v>46</v>
      </c>
      <c r="G6" t="s">
        <v>75</v>
      </c>
      <c r="H6" t="s">
        <v>48</v>
      </c>
      <c r="I6" t="s">
        <v>76</v>
      </c>
      <c r="J6" t="s">
        <v>50</v>
      </c>
      <c r="K6" t="s">
        <v>51</v>
      </c>
      <c r="L6" t="s">
        <v>51</v>
      </c>
      <c r="M6" t="s">
        <v>52</v>
      </c>
      <c r="N6" t="s">
        <v>77</v>
      </c>
      <c r="O6" t="s">
        <v>51</v>
      </c>
      <c r="P6" t="s">
        <v>54</v>
      </c>
      <c r="Q6" t="s">
        <v>51</v>
      </c>
      <c r="R6" t="s">
        <v>55</v>
      </c>
      <c r="S6" s="1">
        <v>14729465.32</v>
      </c>
      <c r="T6" s="1">
        <v>13419884.01</v>
      </c>
      <c r="U6" s="1">
        <v>14759181.5</v>
      </c>
      <c r="V6" s="1">
        <v>0</v>
      </c>
      <c r="W6" t="s">
        <v>51</v>
      </c>
      <c r="X6">
        <v>215350.25</v>
      </c>
      <c r="Y6">
        <v>0</v>
      </c>
      <c r="Z6">
        <v>548258.13</v>
      </c>
      <c r="AA6" s="14">
        <v>678045.71</v>
      </c>
      <c r="AB6" s="14">
        <v>7447035.2199999997</v>
      </c>
      <c r="AC6">
        <v>0</v>
      </c>
      <c r="AD6">
        <v>0</v>
      </c>
      <c r="AE6">
        <v>19543507.280000001</v>
      </c>
      <c r="AF6">
        <v>14729465.32</v>
      </c>
      <c r="AG6">
        <v>305753.42</v>
      </c>
      <c r="AH6" s="14">
        <v>170846.03</v>
      </c>
      <c r="AI6">
        <v>0</v>
      </c>
      <c r="AJ6">
        <v>0</v>
      </c>
      <c r="AK6">
        <v>727.45</v>
      </c>
      <c r="AL6">
        <v>727.45</v>
      </c>
      <c r="AM6">
        <v>8219090.9900000002</v>
      </c>
      <c r="AN6">
        <v>8219090.9900000002</v>
      </c>
      <c r="AO6">
        <v>0</v>
      </c>
      <c r="AP6">
        <v>0</v>
      </c>
      <c r="AQ6" s="29">
        <f t="shared" si="0"/>
        <v>9.1049080603112813</v>
      </c>
    </row>
    <row r="7" spans="1:43" x14ac:dyDescent="0.3">
      <c r="B7" t="s">
        <v>42</v>
      </c>
      <c r="C7" t="s">
        <v>78</v>
      </c>
      <c r="D7" t="s">
        <v>79</v>
      </c>
      <c r="E7" t="s">
        <v>80</v>
      </c>
      <c r="F7" t="s">
        <v>46</v>
      </c>
      <c r="G7" t="s">
        <v>65</v>
      </c>
      <c r="H7" t="s">
        <v>60</v>
      </c>
      <c r="I7" t="s">
        <v>49</v>
      </c>
      <c r="J7" t="s">
        <v>50</v>
      </c>
      <c r="K7" t="s">
        <v>51</v>
      </c>
      <c r="L7" t="s">
        <v>51</v>
      </c>
      <c r="M7" t="s">
        <v>52</v>
      </c>
      <c r="N7" t="s">
        <v>81</v>
      </c>
      <c r="O7" t="s">
        <v>54</v>
      </c>
      <c r="P7" t="s">
        <v>54</v>
      </c>
      <c r="Q7" t="s">
        <v>51</v>
      </c>
      <c r="R7" t="s">
        <v>55</v>
      </c>
      <c r="S7" s="1">
        <v>1521026.97</v>
      </c>
      <c r="T7" s="1">
        <v>1483226.97</v>
      </c>
      <c r="U7" s="1">
        <v>1483226.97</v>
      </c>
      <c r="V7" s="1">
        <v>0</v>
      </c>
      <c r="W7" t="s">
        <v>51</v>
      </c>
      <c r="X7">
        <v>233705.73</v>
      </c>
      <c r="Y7">
        <v>0</v>
      </c>
      <c r="Z7">
        <v>0</v>
      </c>
      <c r="AA7" s="14">
        <v>-24631.91</v>
      </c>
      <c r="AB7" s="14">
        <v>3005608118.6599998</v>
      </c>
      <c r="AC7">
        <v>0</v>
      </c>
      <c r="AD7">
        <v>0</v>
      </c>
      <c r="AE7">
        <v>957768.34</v>
      </c>
      <c r="AF7">
        <v>1521026.97</v>
      </c>
      <c r="AG7">
        <v>973545.94</v>
      </c>
      <c r="AH7" s="14">
        <v>1483226.97</v>
      </c>
      <c r="AI7">
        <v>2447100</v>
      </c>
      <c r="AJ7">
        <v>2400000</v>
      </c>
      <c r="AK7">
        <v>3003209100</v>
      </c>
      <c r="AL7">
        <v>3005609100</v>
      </c>
      <c r="AM7">
        <v>3003209100</v>
      </c>
      <c r="AN7">
        <v>3005609100</v>
      </c>
      <c r="AO7">
        <v>3397100</v>
      </c>
      <c r="AP7">
        <v>997100</v>
      </c>
      <c r="AQ7" s="29">
        <f t="shared" si="0"/>
        <v>-8.1953165640841175E-4</v>
      </c>
    </row>
    <row r="8" spans="1:43" ht="57.6" x14ac:dyDescent="0.3">
      <c r="B8" t="s">
        <v>42</v>
      </c>
      <c r="C8" t="s">
        <v>82</v>
      </c>
      <c r="D8" t="s">
        <v>83</v>
      </c>
      <c r="E8" t="s">
        <v>84</v>
      </c>
      <c r="F8" t="s">
        <v>46</v>
      </c>
      <c r="G8" s="6" t="s">
        <v>75</v>
      </c>
      <c r="H8" t="s">
        <v>48</v>
      </c>
      <c r="I8" t="s">
        <v>49</v>
      </c>
      <c r="J8" t="s">
        <v>50</v>
      </c>
      <c r="K8" t="s">
        <v>51</v>
      </c>
      <c r="L8" t="s">
        <v>54</v>
      </c>
      <c r="M8" t="s">
        <v>52</v>
      </c>
      <c r="N8" t="s">
        <v>85</v>
      </c>
      <c r="O8" t="s">
        <v>54</v>
      </c>
      <c r="P8" t="s">
        <v>54</v>
      </c>
      <c r="Q8" t="s">
        <v>51</v>
      </c>
      <c r="R8" t="s">
        <v>55</v>
      </c>
      <c r="S8" s="1">
        <v>2820871.21</v>
      </c>
      <c r="T8" s="1">
        <v>2497093.7799999998</v>
      </c>
      <c r="U8" s="1">
        <v>2820871.21</v>
      </c>
      <c r="V8" s="1">
        <v>1686.87</v>
      </c>
      <c r="W8" t="s">
        <v>51</v>
      </c>
      <c r="X8">
        <v>2183003.7400000002</v>
      </c>
      <c r="Y8">
        <v>0</v>
      </c>
      <c r="Z8">
        <v>0</v>
      </c>
      <c r="AA8" s="14">
        <v>142443.37</v>
      </c>
      <c r="AB8" s="14">
        <v>-88773662.590000004</v>
      </c>
      <c r="AC8">
        <v>0</v>
      </c>
      <c r="AD8">
        <v>0</v>
      </c>
      <c r="AE8">
        <v>2317412.3199999998</v>
      </c>
      <c r="AF8">
        <v>2820871.21</v>
      </c>
      <c r="AG8">
        <v>2147999.34</v>
      </c>
      <c r="AH8" s="14">
        <v>1996951.83</v>
      </c>
      <c r="AI8">
        <v>0</v>
      </c>
      <c r="AJ8">
        <v>0</v>
      </c>
      <c r="AK8">
        <v>0</v>
      </c>
      <c r="AL8">
        <v>0</v>
      </c>
      <c r="AM8">
        <v>416.44</v>
      </c>
      <c r="AN8">
        <v>416.44</v>
      </c>
      <c r="AO8">
        <v>0</v>
      </c>
      <c r="AP8">
        <v>0</v>
      </c>
      <c r="AQ8" s="29">
        <f t="shared" si="0"/>
        <v>-0.16045679072392544</v>
      </c>
    </row>
    <row r="9" spans="1:43" x14ac:dyDescent="0.3">
      <c r="B9" t="s">
        <v>42</v>
      </c>
      <c r="C9" t="s">
        <v>86</v>
      </c>
      <c r="D9" t="s">
        <v>87</v>
      </c>
      <c r="E9" t="s">
        <v>88</v>
      </c>
      <c r="F9" t="s">
        <v>46</v>
      </c>
      <c r="G9" t="s">
        <v>65</v>
      </c>
      <c r="H9" t="s">
        <v>48</v>
      </c>
      <c r="I9" t="s">
        <v>76</v>
      </c>
      <c r="J9" t="s">
        <v>50</v>
      </c>
      <c r="K9" t="s">
        <v>51</v>
      </c>
      <c r="L9" t="s">
        <v>54</v>
      </c>
      <c r="M9" t="s">
        <v>52</v>
      </c>
      <c r="N9" t="s">
        <v>89</v>
      </c>
      <c r="O9" t="s">
        <v>54</v>
      </c>
      <c r="P9" t="s">
        <v>54</v>
      </c>
      <c r="Q9" t="s">
        <v>51</v>
      </c>
      <c r="R9" t="s">
        <v>55</v>
      </c>
      <c r="S9" s="1">
        <v>5026604.34</v>
      </c>
      <c r="T9" s="1">
        <v>3944525.12</v>
      </c>
      <c r="U9" s="1">
        <v>5010920.96</v>
      </c>
      <c r="V9" s="1">
        <v>244185.81</v>
      </c>
      <c r="W9" t="s">
        <v>51</v>
      </c>
      <c r="X9">
        <v>198405.6</v>
      </c>
      <c r="Y9">
        <v>0</v>
      </c>
      <c r="Z9">
        <v>0</v>
      </c>
      <c r="AA9" s="14">
        <v>693377.74</v>
      </c>
      <c r="AB9" s="14">
        <v>6665321.5899999999</v>
      </c>
      <c r="AC9">
        <v>0</v>
      </c>
      <c r="AD9">
        <v>0</v>
      </c>
      <c r="AE9">
        <v>4779201.42</v>
      </c>
      <c r="AF9">
        <v>5010920.96</v>
      </c>
      <c r="AG9">
        <v>410259.38</v>
      </c>
      <c r="AH9" s="14">
        <v>397316.62</v>
      </c>
      <c r="AI9">
        <v>0</v>
      </c>
      <c r="AJ9">
        <v>0</v>
      </c>
      <c r="AK9">
        <v>0</v>
      </c>
      <c r="AL9">
        <v>0</v>
      </c>
      <c r="AM9">
        <v>3791691</v>
      </c>
      <c r="AN9">
        <v>3791691</v>
      </c>
      <c r="AO9">
        <v>0</v>
      </c>
      <c r="AP9">
        <v>0</v>
      </c>
      <c r="AQ9" s="29">
        <f t="shared" si="0"/>
        <v>10.402764977466001</v>
      </c>
    </row>
    <row r="10" spans="1:43" x14ac:dyDescent="0.3">
      <c r="B10" t="s">
        <v>42</v>
      </c>
      <c r="C10" t="s">
        <v>90</v>
      </c>
      <c r="D10" t="s">
        <v>91</v>
      </c>
      <c r="E10" t="s">
        <v>92</v>
      </c>
      <c r="F10" t="s">
        <v>46</v>
      </c>
      <c r="G10" t="s">
        <v>93</v>
      </c>
      <c r="H10" t="s">
        <v>60</v>
      </c>
      <c r="I10" t="s">
        <v>76</v>
      </c>
      <c r="J10" t="s">
        <v>50</v>
      </c>
      <c r="K10" t="s">
        <v>51</v>
      </c>
      <c r="L10" t="s">
        <v>51</v>
      </c>
      <c r="M10" t="s">
        <v>52</v>
      </c>
      <c r="N10" t="s">
        <v>94</v>
      </c>
      <c r="O10" t="s">
        <v>54</v>
      </c>
      <c r="P10" t="s">
        <v>54</v>
      </c>
      <c r="Q10" t="s">
        <v>51</v>
      </c>
      <c r="R10" t="s">
        <v>55</v>
      </c>
      <c r="S10" s="1">
        <v>7431327.0999999996</v>
      </c>
      <c r="T10" s="1">
        <v>6325167.21</v>
      </c>
      <c r="U10" s="1">
        <v>9499084.5800000001</v>
      </c>
      <c r="V10" s="1">
        <v>0</v>
      </c>
      <c r="W10" t="s">
        <v>51</v>
      </c>
      <c r="X10">
        <v>270124.92</v>
      </c>
      <c r="Y10">
        <v>0</v>
      </c>
      <c r="Z10">
        <v>0</v>
      </c>
      <c r="AA10" s="14">
        <v>3953141.14</v>
      </c>
      <c r="AB10" s="14">
        <v>79307669.340000004</v>
      </c>
      <c r="AC10">
        <v>0</v>
      </c>
      <c r="AD10">
        <v>0</v>
      </c>
      <c r="AE10">
        <v>6949505.2199999997</v>
      </c>
      <c r="AF10">
        <v>8771679.8800000008</v>
      </c>
      <c r="AG10">
        <v>8064674.3700000001</v>
      </c>
      <c r="AH10" s="14">
        <v>7204783.3300000001</v>
      </c>
      <c r="AI10">
        <v>0</v>
      </c>
      <c r="AJ10">
        <v>0</v>
      </c>
      <c r="AK10">
        <v>0.99</v>
      </c>
      <c r="AL10">
        <v>0.99</v>
      </c>
      <c r="AM10">
        <v>62840607.310000002</v>
      </c>
      <c r="AN10">
        <v>62840607.310000002</v>
      </c>
      <c r="AO10">
        <v>0</v>
      </c>
      <c r="AP10">
        <v>0</v>
      </c>
      <c r="AQ10" s="29">
        <f t="shared" si="0"/>
        <v>4.984563501737119</v>
      </c>
    </row>
    <row r="11" spans="1:43" x14ac:dyDescent="0.3">
      <c r="B11" t="s">
        <v>42</v>
      </c>
      <c r="C11" t="s">
        <v>95</v>
      </c>
      <c r="D11" t="s">
        <v>96</v>
      </c>
      <c r="E11" t="s">
        <v>97</v>
      </c>
      <c r="F11" t="s">
        <v>70</v>
      </c>
      <c r="G11" t="s">
        <v>65</v>
      </c>
      <c r="H11" t="s">
        <v>48</v>
      </c>
      <c r="I11" t="s">
        <v>76</v>
      </c>
      <c r="J11" t="s">
        <v>50</v>
      </c>
      <c r="K11" t="s">
        <v>51</v>
      </c>
      <c r="L11" t="s">
        <v>54</v>
      </c>
      <c r="M11" t="s">
        <v>52</v>
      </c>
      <c r="N11" t="s">
        <v>98</v>
      </c>
      <c r="O11" t="s">
        <v>51</v>
      </c>
      <c r="P11" t="s">
        <v>54</v>
      </c>
      <c r="Q11" t="s">
        <v>51</v>
      </c>
      <c r="R11" t="s">
        <v>55</v>
      </c>
      <c r="S11" s="1">
        <v>1705223.56</v>
      </c>
      <c r="T11" s="1">
        <v>1658046.44</v>
      </c>
      <c r="U11" s="1">
        <v>1658621.44</v>
      </c>
      <c r="V11" s="1">
        <v>0</v>
      </c>
      <c r="W11" t="s">
        <v>51</v>
      </c>
      <c r="X11">
        <v>1040941.44</v>
      </c>
      <c r="Y11">
        <v>0</v>
      </c>
      <c r="Z11">
        <v>0</v>
      </c>
      <c r="AA11" s="14">
        <v>46963.39</v>
      </c>
      <c r="AB11" s="14">
        <v>5690130.8300000001</v>
      </c>
      <c r="AC11">
        <v>0</v>
      </c>
      <c r="AD11">
        <v>0</v>
      </c>
      <c r="AE11">
        <v>1397964.12</v>
      </c>
      <c r="AF11">
        <v>1705223.56</v>
      </c>
      <c r="AG11">
        <v>0</v>
      </c>
      <c r="AH11" s="14">
        <v>0</v>
      </c>
      <c r="AI11">
        <v>0</v>
      </c>
      <c r="AJ11">
        <v>0</v>
      </c>
      <c r="AK11">
        <v>3958917.22</v>
      </c>
      <c r="AL11">
        <v>3595917.22</v>
      </c>
      <c r="AM11">
        <v>3598917.22</v>
      </c>
      <c r="AN11">
        <v>3598917.22</v>
      </c>
      <c r="AO11">
        <v>0</v>
      </c>
      <c r="AP11">
        <v>0</v>
      </c>
      <c r="AQ11" s="29">
        <f t="shared" si="0"/>
        <v>0.82534815811959106</v>
      </c>
    </row>
    <row r="12" spans="1:43" x14ac:dyDescent="0.3">
      <c r="B12" t="s">
        <v>42</v>
      </c>
      <c r="C12" t="s">
        <v>99</v>
      </c>
      <c r="D12" t="s">
        <v>100</v>
      </c>
      <c r="E12" t="s">
        <v>101</v>
      </c>
      <c r="F12" t="s">
        <v>46</v>
      </c>
      <c r="G12" t="s">
        <v>102</v>
      </c>
      <c r="H12" t="s">
        <v>48</v>
      </c>
      <c r="I12" t="s">
        <v>76</v>
      </c>
      <c r="J12" t="s">
        <v>50</v>
      </c>
      <c r="K12" t="s">
        <v>51</v>
      </c>
      <c r="L12" t="s">
        <v>51</v>
      </c>
      <c r="M12" t="s">
        <v>52</v>
      </c>
      <c r="N12" t="s">
        <v>103</v>
      </c>
      <c r="O12" t="s">
        <v>54</v>
      </c>
      <c r="P12" t="s">
        <v>54</v>
      </c>
      <c r="Q12" t="s">
        <v>51</v>
      </c>
      <c r="R12" t="s">
        <v>55</v>
      </c>
      <c r="S12" s="1">
        <v>23737120.780000001</v>
      </c>
      <c r="T12" s="1">
        <v>18707804.190000001</v>
      </c>
      <c r="U12" s="1">
        <v>22994300.600000001</v>
      </c>
      <c r="V12" s="1">
        <v>0</v>
      </c>
      <c r="W12" t="s">
        <v>51</v>
      </c>
      <c r="X12">
        <v>349852.72</v>
      </c>
      <c r="Y12">
        <v>0</v>
      </c>
      <c r="Z12">
        <v>5040</v>
      </c>
      <c r="AA12" s="14">
        <v>167735.67999999999</v>
      </c>
      <c r="AB12" s="14">
        <v>-8249.7900000000009</v>
      </c>
      <c r="AC12">
        <v>0</v>
      </c>
      <c r="AD12">
        <v>0</v>
      </c>
      <c r="AE12">
        <v>21676919.109999999</v>
      </c>
      <c r="AF12">
        <v>23737120.780000001</v>
      </c>
      <c r="AG12">
        <v>0</v>
      </c>
      <c r="AH12" s="14">
        <v>0</v>
      </c>
      <c r="AI12">
        <v>2052870.8</v>
      </c>
      <c r="AJ12">
        <v>2149510.2400000002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29">
        <f t="shared" si="0"/>
        <v>-2033.2115120506096</v>
      </c>
    </row>
    <row r="13" spans="1:43" x14ac:dyDescent="0.3">
      <c r="B13" t="s">
        <v>42</v>
      </c>
      <c r="C13" t="s">
        <v>104</v>
      </c>
      <c r="D13" t="s">
        <v>105</v>
      </c>
      <c r="E13" t="s">
        <v>106</v>
      </c>
      <c r="F13" t="s">
        <v>46</v>
      </c>
      <c r="G13" t="s">
        <v>107</v>
      </c>
      <c r="H13" t="s">
        <v>60</v>
      </c>
      <c r="I13" t="s">
        <v>76</v>
      </c>
      <c r="J13" t="s">
        <v>50</v>
      </c>
      <c r="K13" t="s">
        <v>51</v>
      </c>
      <c r="L13" t="s">
        <v>51</v>
      </c>
      <c r="M13" t="s">
        <v>52</v>
      </c>
      <c r="N13" t="s">
        <v>108</v>
      </c>
      <c r="O13" t="s">
        <v>54</v>
      </c>
      <c r="P13" t="s">
        <v>54</v>
      </c>
      <c r="Q13" t="s">
        <v>51</v>
      </c>
      <c r="R13" t="s">
        <v>55</v>
      </c>
      <c r="S13" s="1">
        <v>0</v>
      </c>
      <c r="T13" s="1">
        <v>22880993.43</v>
      </c>
      <c r="U13" s="1">
        <v>22972685.960000001</v>
      </c>
      <c r="V13" s="1">
        <v>0</v>
      </c>
      <c r="W13" t="s">
        <v>51</v>
      </c>
      <c r="X13">
        <v>0</v>
      </c>
      <c r="Y13">
        <v>0</v>
      </c>
      <c r="Z13">
        <v>0</v>
      </c>
      <c r="AA13" s="14">
        <v>91692.53</v>
      </c>
      <c r="AB13" s="14">
        <v>19805480.949999999</v>
      </c>
      <c r="AC13">
        <v>0</v>
      </c>
      <c r="AD13">
        <v>0</v>
      </c>
      <c r="AE13">
        <v>3364776.23</v>
      </c>
      <c r="AF13">
        <v>3547857.37</v>
      </c>
      <c r="AG13">
        <v>0</v>
      </c>
      <c r="AH13" s="14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s="29">
        <f t="shared" si="0"/>
        <v>0.46296542977917438</v>
      </c>
    </row>
    <row r="14" spans="1:43" x14ac:dyDescent="0.3">
      <c r="B14" t="s">
        <v>109</v>
      </c>
      <c r="C14" t="s">
        <v>110</v>
      </c>
      <c r="D14" t="s">
        <v>111</v>
      </c>
      <c r="E14" t="s">
        <v>112</v>
      </c>
      <c r="F14" t="s">
        <v>46</v>
      </c>
      <c r="G14" t="s">
        <v>71</v>
      </c>
      <c r="H14" t="s">
        <v>60</v>
      </c>
      <c r="I14" t="s">
        <v>49</v>
      </c>
      <c r="J14" t="s">
        <v>50</v>
      </c>
      <c r="K14" t="s">
        <v>51</v>
      </c>
      <c r="L14" t="s">
        <v>54</v>
      </c>
      <c r="M14" t="s">
        <v>52</v>
      </c>
      <c r="N14" t="s">
        <v>113</v>
      </c>
      <c r="O14" t="s">
        <v>54</v>
      </c>
      <c r="P14" t="s">
        <v>54</v>
      </c>
      <c r="Q14" t="s">
        <v>51</v>
      </c>
      <c r="R14" t="s">
        <v>55</v>
      </c>
      <c r="S14" s="1">
        <v>-7615000</v>
      </c>
      <c r="T14" s="1">
        <v>651000</v>
      </c>
      <c r="U14" s="1">
        <v>8475000</v>
      </c>
      <c r="V14" s="1">
        <v>0</v>
      </c>
      <c r="W14" t="s">
        <v>51</v>
      </c>
      <c r="X14">
        <v>119587</v>
      </c>
      <c r="Y14">
        <v>0</v>
      </c>
      <c r="Z14">
        <v>0</v>
      </c>
      <c r="AA14" s="14">
        <v>-7444000</v>
      </c>
      <c r="AB14" s="14">
        <v>45079000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8041</v>
      </c>
      <c r="AL14">
        <v>8041</v>
      </c>
      <c r="AM14">
        <v>80414000</v>
      </c>
      <c r="AN14">
        <v>80414000</v>
      </c>
      <c r="AO14">
        <v>0</v>
      </c>
      <c r="AP14">
        <v>0</v>
      </c>
      <c r="AQ14" s="29">
        <f t="shared" si="0"/>
        <v>-16.513232325473059</v>
      </c>
    </row>
    <row r="15" spans="1:43" x14ac:dyDescent="0.3">
      <c r="B15" t="s">
        <v>109</v>
      </c>
      <c r="C15" t="s">
        <v>114</v>
      </c>
      <c r="D15" t="s">
        <v>115</v>
      </c>
      <c r="E15" t="s">
        <v>116</v>
      </c>
      <c r="F15" t="s">
        <v>70</v>
      </c>
      <c r="G15" t="s">
        <v>93</v>
      </c>
      <c r="H15" t="s">
        <v>60</v>
      </c>
      <c r="I15" t="s">
        <v>49</v>
      </c>
      <c r="J15" t="s">
        <v>50</v>
      </c>
      <c r="K15" t="s">
        <v>51</v>
      </c>
      <c r="L15" t="s">
        <v>51</v>
      </c>
      <c r="M15" t="s">
        <v>52</v>
      </c>
      <c r="N15" t="s">
        <v>117</v>
      </c>
      <c r="O15" t="s">
        <v>51</v>
      </c>
      <c r="P15" t="s">
        <v>54</v>
      </c>
      <c r="Q15" t="s">
        <v>51</v>
      </c>
      <c r="R15" t="s">
        <v>55</v>
      </c>
      <c r="S15" s="1">
        <v>918583.9</v>
      </c>
      <c r="T15" s="1">
        <v>16778.87</v>
      </c>
      <c r="U15" s="1">
        <v>376826.32</v>
      </c>
      <c r="V15" s="1">
        <v>323632.27</v>
      </c>
      <c r="W15" t="s">
        <v>51</v>
      </c>
      <c r="X15">
        <v>218125.31</v>
      </c>
      <c r="Y15">
        <v>0</v>
      </c>
      <c r="Z15">
        <v>0</v>
      </c>
      <c r="AA15" s="14">
        <v>-22558097.949999999</v>
      </c>
      <c r="AB15" s="14">
        <v>19491992.390000001</v>
      </c>
      <c r="AD15">
        <v>0</v>
      </c>
      <c r="AE15">
        <v>5776972.8600000003</v>
      </c>
      <c r="AF15">
        <v>2734521.95</v>
      </c>
      <c r="AG15">
        <v>109554974.48</v>
      </c>
      <c r="AH15" s="14">
        <v>109619225.59</v>
      </c>
      <c r="AI15">
        <v>0</v>
      </c>
      <c r="AJ15">
        <v>0</v>
      </c>
      <c r="AK15">
        <v>0</v>
      </c>
      <c r="AL15">
        <v>0</v>
      </c>
      <c r="AM15">
        <v>20251520.620000001</v>
      </c>
      <c r="AN15">
        <v>20251520.620000001</v>
      </c>
      <c r="AO15">
        <v>0</v>
      </c>
      <c r="AP15">
        <v>0</v>
      </c>
      <c r="AQ15" s="29">
        <f t="shared" si="0"/>
        <v>-115.73007776040897</v>
      </c>
    </row>
    <row r="16" spans="1:43" x14ac:dyDescent="0.3">
      <c r="B16" t="s">
        <v>109</v>
      </c>
      <c r="C16" t="s">
        <v>118</v>
      </c>
      <c r="D16" t="s">
        <v>119</v>
      </c>
      <c r="E16" t="s">
        <v>120</v>
      </c>
      <c r="F16" t="s">
        <v>70</v>
      </c>
      <c r="G16" t="s">
        <v>121</v>
      </c>
      <c r="H16" t="s">
        <v>60</v>
      </c>
      <c r="I16" t="s">
        <v>49</v>
      </c>
      <c r="J16" t="s">
        <v>50</v>
      </c>
      <c r="K16" t="s">
        <v>51</v>
      </c>
      <c r="L16" t="s">
        <v>51</v>
      </c>
      <c r="M16" t="s">
        <v>52</v>
      </c>
      <c r="N16" t="s">
        <v>66</v>
      </c>
      <c r="O16" t="s">
        <v>51</v>
      </c>
      <c r="P16" t="s">
        <v>54</v>
      </c>
      <c r="Q16" t="s">
        <v>51</v>
      </c>
      <c r="R16" t="s">
        <v>55</v>
      </c>
      <c r="S16" s="1">
        <v>416573.91</v>
      </c>
      <c r="T16" s="1">
        <v>4793.9399999999996</v>
      </c>
      <c r="U16" s="1">
        <v>4793.9399999999996</v>
      </c>
      <c r="V16" s="1">
        <v>0</v>
      </c>
      <c r="W16" t="s">
        <v>51</v>
      </c>
      <c r="X16">
        <v>62321.22</v>
      </c>
      <c r="Y16">
        <v>0</v>
      </c>
      <c r="Z16">
        <v>152320.29</v>
      </c>
      <c r="AA16" s="14">
        <v>86544.66</v>
      </c>
      <c r="AB16" s="14">
        <v>-50970.82</v>
      </c>
      <c r="AD16">
        <v>0</v>
      </c>
      <c r="AE16">
        <v>354932.54</v>
      </c>
      <c r="AF16">
        <v>430375.27</v>
      </c>
      <c r="AG16">
        <v>837615.8</v>
      </c>
      <c r="AH16" s="14">
        <v>837615.8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s="29">
        <f t="shared" si="0"/>
        <v>-169.79255974300591</v>
      </c>
    </row>
    <row r="17" spans="2:43" x14ac:dyDescent="0.3">
      <c r="B17" t="s">
        <v>109</v>
      </c>
      <c r="C17" t="s">
        <v>122</v>
      </c>
      <c r="D17" t="s">
        <v>123</v>
      </c>
      <c r="E17" t="s">
        <v>124</v>
      </c>
      <c r="F17" t="s">
        <v>70</v>
      </c>
      <c r="G17" t="s">
        <v>71</v>
      </c>
      <c r="H17" t="s">
        <v>60</v>
      </c>
      <c r="I17" t="s">
        <v>49</v>
      </c>
      <c r="J17" t="s">
        <v>50</v>
      </c>
      <c r="K17" t="s">
        <v>51</v>
      </c>
      <c r="L17" t="s">
        <v>51</v>
      </c>
      <c r="M17" t="s">
        <v>52</v>
      </c>
      <c r="N17" t="s">
        <v>125</v>
      </c>
      <c r="O17" t="s">
        <v>51</v>
      </c>
      <c r="P17" t="s">
        <v>54</v>
      </c>
      <c r="Q17" t="s">
        <v>51</v>
      </c>
      <c r="R17" t="s">
        <v>55</v>
      </c>
      <c r="S17" s="1">
        <v>538686.31999999995</v>
      </c>
      <c r="T17" s="1">
        <v>554179.85</v>
      </c>
      <c r="U17" s="1">
        <v>20349597.219999999</v>
      </c>
      <c r="V17" s="1">
        <v>0</v>
      </c>
      <c r="W17" t="s">
        <v>51</v>
      </c>
      <c r="X17">
        <v>325324.89</v>
      </c>
      <c r="Y17">
        <v>0</v>
      </c>
      <c r="Z17">
        <v>0</v>
      </c>
      <c r="AA17" s="14">
        <v>-20349597.219999999</v>
      </c>
      <c r="AB17" s="14">
        <v>120732790.76000001</v>
      </c>
      <c r="AD17">
        <v>0</v>
      </c>
      <c r="AE17">
        <v>100000</v>
      </c>
      <c r="AF17">
        <v>100000</v>
      </c>
      <c r="AG17">
        <v>0</v>
      </c>
      <c r="AH17" s="14">
        <v>0</v>
      </c>
      <c r="AI17">
        <v>0</v>
      </c>
      <c r="AJ17">
        <v>16000000</v>
      </c>
      <c r="AK17">
        <v>6750</v>
      </c>
      <c r="AL17">
        <v>6750</v>
      </c>
      <c r="AM17">
        <v>499811100.00999999</v>
      </c>
      <c r="AN17">
        <v>499811100.00999999</v>
      </c>
      <c r="AO17">
        <v>0</v>
      </c>
      <c r="AP17">
        <v>0</v>
      </c>
      <c r="AQ17" s="29">
        <f t="shared" si="0"/>
        <v>-16.85507068287038</v>
      </c>
    </row>
    <row r="18" spans="2:43" x14ac:dyDescent="0.3">
      <c r="B18" t="s">
        <v>109</v>
      </c>
      <c r="C18" t="s">
        <v>126</v>
      </c>
      <c r="D18" t="s">
        <v>127</v>
      </c>
      <c r="E18" t="s">
        <v>128</v>
      </c>
      <c r="F18" t="s">
        <v>70</v>
      </c>
      <c r="G18" t="s">
        <v>59</v>
      </c>
      <c r="H18" t="s">
        <v>60</v>
      </c>
      <c r="I18" t="s">
        <v>49</v>
      </c>
      <c r="J18" t="s">
        <v>50</v>
      </c>
      <c r="K18" t="s">
        <v>51</v>
      </c>
      <c r="L18" t="s">
        <v>51</v>
      </c>
      <c r="M18" t="s">
        <v>52</v>
      </c>
      <c r="N18" t="s">
        <v>129</v>
      </c>
      <c r="O18" t="s">
        <v>51</v>
      </c>
      <c r="P18" t="s">
        <v>54</v>
      </c>
      <c r="Q18" t="s">
        <v>51</v>
      </c>
      <c r="R18" t="s">
        <v>55</v>
      </c>
      <c r="S18" s="1">
        <v>539804.76</v>
      </c>
      <c r="T18" s="1">
        <v>41523.440000000002</v>
      </c>
      <c r="U18" s="1">
        <v>42358.91</v>
      </c>
      <c r="V18" s="1">
        <v>0</v>
      </c>
      <c r="W18" t="s">
        <v>51</v>
      </c>
      <c r="X18">
        <v>539804.72</v>
      </c>
      <c r="Y18">
        <v>0</v>
      </c>
      <c r="Z18">
        <v>0</v>
      </c>
      <c r="AA18" s="14">
        <v>0</v>
      </c>
      <c r="AB18" s="14">
        <v>-1653049.78</v>
      </c>
      <c r="AD18">
        <v>0</v>
      </c>
      <c r="AE18">
        <v>1018063.95</v>
      </c>
      <c r="AF18">
        <v>387314.54</v>
      </c>
      <c r="AG18">
        <v>3889423.1</v>
      </c>
      <c r="AH18" s="14">
        <v>3855251.38</v>
      </c>
      <c r="AI18">
        <v>0</v>
      </c>
      <c r="AJ18">
        <v>0</v>
      </c>
      <c r="AK18">
        <v>0</v>
      </c>
      <c r="AL18">
        <v>0</v>
      </c>
      <c r="AM18">
        <v>-505486.95</v>
      </c>
      <c r="AN18">
        <v>-505486.95</v>
      </c>
      <c r="AO18">
        <v>0</v>
      </c>
      <c r="AP18">
        <v>0</v>
      </c>
      <c r="AQ18" s="29">
        <f t="shared" si="0"/>
        <v>0</v>
      </c>
    </row>
    <row r="19" spans="2:43" x14ac:dyDescent="0.3">
      <c r="B19" t="s">
        <v>109</v>
      </c>
      <c r="C19" t="s">
        <v>130</v>
      </c>
      <c r="D19" t="s">
        <v>131</v>
      </c>
      <c r="E19" t="s">
        <v>132</v>
      </c>
      <c r="F19" t="s">
        <v>46</v>
      </c>
      <c r="G19" t="s">
        <v>133</v>
      </c>
      <c r="H19" t="s">
        <v>48</v>
      </c>
      <c r="I19" t="s">
        <v>49</v>
      </c>
      <c r="J19" t="s">
        <v>50</v>
      </c>
      <c r="K19" t="s">
        <v>51</v>
      </c>
      <c r="L19" t="s">
        <v>51</v>
      </c>
      <c r="M19" t="s">
        <v>134</v>
      </c>
      <c r="N19" t="s">
        <v>135</v>
      </c>
      <c r="O19" t="s">
        <v>54</v>
      </c>
      <c r="P19" t="s">
        <v>54</v>
      </c>
      <c r="Q19" t="s">
        <v>51</v>
      </c>
      <c r="R19" t="s">
        <v>55</v>
      </c>
      <c r="S19" s="1">
        <v>5313174.59</v>
      </c>
      <c r="T19" s="1">
        <v>2192507.7200000002</v>
      </c>
      <c r="U19" s="1">
        <v>7586434.21</v>
      </c>
      <c r="V19" s="1">
        <v>0</v>
      </c>
      <c r="W19" t="s">
        <v>51</v>
      </c>
      <c r="X19">
        <v>405711.63</v>
      </c>
      <c r="Y19">
        <v>0</v>
      </c>
      <c r="Z19">
        <v>0</v>
      </c>
      <c r="AA19" s="14">
        <v>646243.59</v>
      </c>
      <c r="AB19" s="14">
        <v>1354881.68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10000000</v>
      </c>
      <c r="AN19">
        <v>0</v>
      </c>
      <c r="AO19">
        <v>0</v>
      </c>
      <c r="AP19">
        <v>0</v>
      </c>
      <c r="AQ19" s="29">
        <f t="shared" si="0"/>
        <v>47.697418862435285</v>
      </c>
    </row>
    <row r="20" spans="2:43" x14ac:dyDescent="0.3">
      <c r="B20" t="s">
        <v>109</v>
      </c>
      <c r="C20" t="s">
        <v>136</v>
      </c>
      <c r="D20" t="s">
        <v>137</v>
      </c>
      <c r="E20" t="s">
        <v>138</v>
      </c>
      <c r="F20" t="s">
        <v>46</v>
      </c>
      <c r="G20" t="s">
        <v>139</v>
      </c>
      <c r="H20" t="s">
        <v>60</v>
      </c>
      <c r="I20" t="s">
        <v>49</v>
      </c>
      <c r="J20" t="s">
        <v>50</v>
      </c>
      <c r="K20" t="s">
        <v>51</v>
      </c>
      <c r="L20" t="s">
        <v>51</v>
      </c>
      <c r="M20" t="s">
        <v>134</v>
      </c>
      <c r="N20" t="s">
        <v>140</v>
      </c>
      <c r="O20" t="s">
        <v>54</v>
      </c>
      <c r="P20" t="s">
        <v>54</v>
      </c>
      <c r="Q20" t="s">
        <v>54</v>
      </c>
      <c r="R20" t="s">
        <v>141</v>
      </c>
      <c r="S20" s="1">
        <v>452797131.62</v>
      </c>
      <c r="T20" s="1">
        <v>25539770.41</v>
      </c>
      <c r="U20" s="1">
        <v>457193681.31</v>
      </c>
      <c r="V20" s="1">
        <v>34430657.700000003</v>
      </c>
      <c r="W20" t="s">
        <v>51</v>
      </c>
      <c r="X20">
        <v>398267.27</v>
      </c>
      <c r="Y20">
        <v>0</v>
      </c>
      <c r="Z20">
        <v>0</v>
      </c>
      <c r="AA20" s="14">
        <v>40882909.780000001</v>
      </c>
      <c r="AB20" s="14">
        <v>140652177.31</v>
      </c>
      <c r="AD20">
        <v>10638724.09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2873892.97</v>
      </c>
      <c r="AL20">
        <v>3212493.37</v>
      </c>
      <c r="AM20">
        <v>23729600.300000001</v>
      </c>
      <c r="AN20">
        <v>26525400.059999999</v>
      </c>
      <c r="AO20">
        <v>0</v>
      </c>
      <c r="AP20">
        <v>0</v>
      </c>
      <c r="AQ20" s="29">
        <f t="shared" si="0"/>
        <v>29.066673948383542</v>
      </c>
    </row>
    <row r="21" spans="2:43" x14ac:dyDescent="0.3">
      <c r="B21" t="s">
        <v>109</v>
      </c>
      <c r="C21" t="s">
        <v>142</v>
      </c>
      <c r="D21" t="s">
        <v>143</v>
      </c>
      <c r="E21" t="s">
        <v>144</v>
      </c>
      <c r="F21" t="s">
        <v>46</v>
      </c>
      <c r="G21" t="s">
        <v>107</v>
      </c>
      <c r="H21" t="s">
        <v>60</v>
      </c>
      <c r="I21" t="s">
        <v>49</v>
      </c>
      <c r="J21" t="s">
        <v>50</v>
      </c>
      <c r="K21" t="s">
        <v>51</v>
      </c>
      <c r="L21" t="s">
        <v>51</v>
      </c>
      <c r="M21" t="s">
        <v>134</v>
      </c>
      <c r="N21" t="s">
        <v>145</v>
      </c>
      <c r="O21" t="s">
        <v>54</v>
      </c>
      <c r="P21" t="s">
        <v>54</v>
      </c>
      <c r="Q21" t="s">
        <v>54</v>
      </c>
      <c r="R21" t="s">
        <v>146</v>
      </c>
      <c r="S21" s="1">
        <v>464911233</v>
      </c>
      <c r="T21" s="1">
        <v>109360615</v>
      </c>
      <c r="U21" s="1">
        <v>543831809.48000002</v>
      </c>
      <c r="V21" s="1">
        <v>11453707.220000001</v>
      </c>
      <c r="W21" t="s">
        <v>51</v>
      </c>
      <c r="X21">
        <v>475077.99</v>
      </c>
      <c r="Y21">
        <v>0</v>
      </c>
      <c r="Z21">
        <v>23628.57</v>
      </c>
      <c r="AA21" s="14">
        <v>76660074</v>
      </c>
      <c r="AB21" s="14">
        <v>6571826958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44880272.469999999</v>
      </c>
      <c r="AJ21">
        <v>51271902.340000004</v>
      </c>
      <c r="AK21">
        <v>1364435968.8099999</v>
      </c>
      <c r="AL21">
        <v>1364435968.8099999</v>
      </c>
      <c r="AM21">
        <v>469681938.81</v>
      </c>
      <c r="AN21">
        <v>525570038.81</v>
      </c>
      <c r="AO21">
        <v>287699727.52999997</v>
      </c>
      <c r="AP21">
        <v>231811627.53</v>
      </c>
      <c r="AQ21" s="29">
        <f t="shared" si="0"/>
        <v>1.1664956257967254</v>
      </c>
    </row>
    <row r="22" spans="2:43" x14ac:dyDescent="0.3">
      <c r="B22" t="s">
        <v>109</v>
      </c>
      <c r="C22" t="s">
        <v>147</v>
      </c>
      <c r="D22" t="s">
        <v>148</v>
      </c>
      <c r="E22" t="s">
        <v>149</v>
      </c>
      <c r="F22" t="s">
        <v>46</v>
      </c>
      <c r="G22" t="s">
        <v>150</v>
      </c>
      <c r="H22" t="s">
        <v>60</v>
      </c>
      <c r="I22" t="s">
        <v>49</v>
      </c>
      <c r="J22" t="s">
        <v>50</v>
      </c>
      <c r="K22" t="s">
        <v>51</v>
      </c>
      <c r="L22" t="s">
        <v>51</v>
      </c>
      <c r="M22" t="s">
        <v>134</v>
      </c>
      <c r="N22" t="s">
        <v>151</v>
      </c>
      <c r="O22" t="s">
        <v>54</v>
      </c>
      <c r="P22" t="s">
        <v>54</v>
      </c>
      <c r="Q22" t="s">
        <v>51</v>
      </c>
      <c r="R22" t="s">
        <v>152</v>
      </c>
      <c r="S22" s="1">
        <v>17985777.949999999</v>
      </c>
      <c r="T22" s="1">
        <v>12885085.75</v>
      </c>
      <c r="U22" s="1">
        <v>20957137.050000001</v>
      </c>
      <c r="V22" s="1">
        <v>0</v>
      </c>
      <c r="W22" t="s">
        <v>51</v>
      </c>
      <c r="X22">
        <v>298779.51</v>
      </c>
      <c r="Y22">
        <v>0</v>
      </c>
      <c r="Z22">
        <v>0</v>
      </c>
      <c r="AA22" s="14">
        <v>-5899240.4000000004</v>
      </c>
      <c r="AB22" s="14">
        <v>217370.56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10083000</v>
      </c>
      <c r="AL22">
        <v>10083000</v>
      </c>
      <c r="AM22">
        <v>10083000</v>
      </c>
      <c r="AN22">
        <v>10083000</v>
      </c>
      <c r="AO22">
        <v>0</v>
      </c>
      <c r="AP22">
        <v>0</v>
      </c>
      <c r="AQ22" s="29">
        <f t="shared" si="0"/>
        <v>-2713.9095561054819</v>
      </c>
    </row>
    <row r="23" spans="2:43" x14ac:dyDescent="0.3">
      <c r="B23" t="s">
        <v>153</v>
      </c>
      <c r="C23" t="s">
        <v>154</v>
      </c>
      <c r="D23" t="s">
        <v>155</v>
      </c>
      <c r="E23" t="s">
        <v>156</v>
      </c>
      <c r="F23" t="s">
        <v>46</v>
      </c>
      <c r="G23" t="s">
        <v>65</v>
      </c>
      <c r="H23" t="s">
        <v>48</v>
      </c>
      <c r="I23" t="s">
        <v>49</v>
      </c>
      <c r="J23" t="s">
        <v>50</v>
      </c>
      <c r="K23" t="s">
        <v>51</v>
      </c>
      <c r="L23" t="s">
        <v>51</v>
      </c>
      <c r="M23" t="s">
        <v>52</v>
      </c>
      <c r="N23" t="s">
        <v>157</v>
      </c>
      <c r="O23" t="s">
        <v>54</v>
      </c>
      <c r="P23" t="s">
        <v>54</v>
      </c>
      <c r="Q23" t="s">
        <v>51</v>
      </c>
      <c r="R23" t="s">
        <v>158</v>
      </c>
      <c r="S23" s="1">
        <v>1890024.01</v>
      </c>
      <c r="T23" s="1">
        <v>4164370.39</v>
      </c>
      <c r="U23" s="1">
        <v>135665693.66999999</v>
      </c>
      <c r="V23" s="1">
        <v>0</v>
      </c>
      <c r="W23" t="s">
        <v>51</v>
      </c>
      <c r="X23">
        <v>180416.58</v>
      </c>
      <c r="Y23">
        <v>0</v>
      </c>
      <c r="Z23">
        <v>133966.39999999999</v>
      </c>
      <c r="AA23" s="14">
        <v>-4743532.0199999996</v>
      </c>
      <c r="AB23" s="14">
        <v>795178.7</v>
      </c>
      <c r="AC23">
        <v>0</v>
      </c>
      <c r="AD23">
        <v>0</v>
      </c>
      <c r="AE23">
        <v>102148016.19</v>
      </c>
      <c r="AF23">
        <v>125829889.81999999</v>
      </c>
      <c r="AG23">
        <v>0</v>
      </c>
      <c r="AH23" s="14">
        <v>0</v>
      </c>
      <c r="AI23">
        <v>0</v>
      </c>
      <c r="AJ23">
        <v>0</v>
      </c>
      <c r="AK23">
        <v>0</v>
      </c>
      <c r="AL23">
        <v>0</v>
      </c>
      <c r="AM23">
        <v>10000000</v>
      </c>
      <c r="AN23">
        <v>10000000</v>
      </c>
      <c r="AO23">
        <v>0</v>
      </c>
      <c r="AP23">
        <v>0</v>
      </c>
      <c r="AQ23" s="29">
        <f t="shared" si="0"/>
        <v>-596.53660491660548</v>
      </c>
    </row>
    <row r="24" spans="2:43" x14ac:dyDescent="0.3">
      <c r="B24" t="s">
        <v>153</v>
      </c>
      <c r="C24" t="s">
        <v>159</v>
      </c>
      <c r="D24" t="s">
        <v>160</v>
      </c>
      <c r="E24" t="s">
        <v>161</v>
      </c>
      <c r="F24" t="s">
        <v>46</v>
      </c>
      <c r="G24" t="s">
        <v>162</v>
      </c>
      <c r="H24" t="s">
        <v>48</v>
      </c>
      <c r="I24" t="s">
        <v>76</v>
      </c>
      <c r="J24" t="s">
        <v>50</v>
      </c>
      <c r="K24" t="s">
        <v>51</v>
      </c>
      <c r="L24" t="s">
        <v>51</v>
      </c>
      <c r="M24" t="s">
        <v>52</v>
      </c>
      <c r="N24" t="s">
        <v>163</v>
      </c>
      <c r="O24" t="s">
        <v>54</v>
      </c>
      <c r="P24" t="s">
        <v>54</v>
      </c>
      <c r="Q24" t="s">
        <v>54</v>
      </c>
      <c r="R24" t="s">
        <v>164</v>
      </c>
      <c r="S24" s="1">
        <v>631607.64</v>
      </c>
      <c r="T24" s="1">
        <v>13648434.779999999</v>
      </c>
      <c r="U24" s="1">
        <v>104858079.98999999</v>
      </c>
      <c r="V24" s="1">
        <v>38772283</v>
      </c>
      <c r="W24" t="s">
        <v>51</v>
      </c>
      <c r="X24">
        <v>407740</v>
      </c>
      <c r="Y24">
        <v>0</v>
      </c>
      <c r="Z24">
        <v>0</v>
      </c>
      <c r="AA24" s="14">
        <v>-803617.85</v>
      </c>
      <c r="AB24" s="14">
        <v>4189166.07</v>
      </c>
      <c r="AC24">
        <v>0</v>
      </c>
      <c r="AD24">
        <v>0</v>
      </c>
      <c r="AE24">
        <v>71978545.769999996</v>
      </c>
      <c r="AF24">
        <v>104258633.95999999</v>
      </c>
      <c r="AG24">
        <v>2807045.37</v>
      </c>
      <c r="AH24" s="14">
        <v>6734566.1699999999</v>
      </c>
      <c r="AI24">
        <v>0</v>
      </c>
      <c r="AJ24">
        <v>0</v>
      </c>
      <c r="AK24">
        <v>1</v>
      </c>
      <c r="AL24">
        <v>1</v>
      </c>
      <c r="AM24">
        <v>27123375.379999999</v>
      </c>
      <c r="AN24">
        <v>27123375.379999999</v>
      </c>
      <c r="AO24">
        <v>0</v>
      </c>
      <c r="AP24">
        <v>0</v>
      </c>
      <c r="AQ24" s="29">
        <f t="shared" si="0"/>
        <v>-19.183241642172472</v>
      </c>
    </row>
    <row r="25" spans="2:43" x14ac:dyDescent="0.3">
      <c r="B25" t="s">
        <v>153</v>
      </c>
      <c r="C25" t="s">
        <v>165</v>
      </c>
      <c r="D25" t="s">
        <v>166</v>
      </c>
      <c r="E25" t="s">
        <v>167</v>
      </c>
      <c r="F25" t="s">
        <v>46</v>
      </c>
      <c r="G25" t="s">
        <v>65</v>
      </c>
      <c r="H25" t="s">
        <v>60</v>
      </c>
      <c r="I25" t="s">
        <v>49</v>
      </c>
      <c r="J25" t="s">
        <v>50</v>
      </c>
      <c r="K25" t="s">
        <v>51</v>
      </c>
      <c r="L25" t="s">
        <v>51</v>
      </c>
      <c r="M25" t="s">
        <v>52</v>
      </c>
      <c r="N25" t="s">
        <v>168</v>
      </c>
      <c r="O25" t="s">
        <v>54</v>
      </c>
      <c r="P25" t="s">
        <v>54</v>
      </c>
      <c r="Q25" t="s">
        <v>51</v>
      </c>
      <c r="R25" t="s">
        <v>169</v>
      </c>
      <c r="S25" s="1">
        <v>0</v>
      </c>
      <c r="T25" s="1">
        <v>30883606.66</v>
      </c>
      <c r="U25" s="1">
        <v>35833133.880000003</v>
      </c>
      <c r="V25" s="1">
        <v>0</v>
      </c>
      <c r="W25" t="s">
        <v>51</v>
      </c>
      <c r="X25">
        <v>758106.55</v>
      </c>
      <c r="Y25">
        <v>0</v>
      </c>
      <c r="Z25">
        <v>6500</v>
      </c>
      <c r="AA25" s="14">
        <v>-18991278.859999999</v>
      </c>
      <c r="AB25" s="14">
        <v>53266635.340000004</v>
      </c>
      <c r="AC25">
        <v>0</v>
      </c>
      <c r="AD25">
        <v>0</v>
      </c>
      <c r="AE25">
        <v>30817836.329999998</v>
      </c>
      <c r="AF25">
        <v>17074546.300000001</v>
      </c>
      <c r="AG25">
        <v>0</v>
      </c>
      <c r="AH25" s="14">
        <v>0</v>
      </c>
      <c r="AI25">
        <v>0</v>
      </c>
      <c r="AJ25">
        <v>16526312.359999999</v>
      </c>
      <c r="AK25">
        <v>62880631</v>
      </c>
      <c r="AL25">
        <v>66058773</v>
      </c>
      <c r="AM25">
        <v>326979280.27999997</v>
      </c>
      <c r="AN25">
        <v>343505592.63999999</v>
      </c>
      <c r="AO25">
        <v>49020719.719999999</v>
      </c>
      <c r="AP25">
        <v>32494407.359999999</v>
      </c>
      <c r="AQ25" s="29">
        <f t="shared" si="0"/>
        <v>-35.653235348504744</v>
      </c>
    </row>
    <row r="26" spans="2:43" x14ac:dyDescent="0.3">
      <c r="B26" t="s">
        <v>153</v>
      </c>
      <c r="C26" t="s">
        <v>170</v>
      </c>
      <c r="D26" t="s">
        <v>171</v>
      </c>
      <c r="E26" t="s">
        <v>172</v>
      </c>
      <c r="F26" t="s">
        <v>46</v>
      </c>
      <c r="G26" t="s">
        <v>107</v>
      </c>
      <c r="H26" t="s">
        <v>60</v>
      </c>
      <c r="I26" t="s">
        <v>49</v>
      </c>
      <c r="J26" t="s">
        <v>50</v>
      </c>
      <c r="K26" t="s">
        <v>51</v>
      </c>
      <c r="L26" t="s">
        <v>51</v>
      </c>
      <c r="M26" t="s">
        <v>52</v>
      </c>
      <c r="N26" t="s">
        <v>173</v>
      </c>
      <c r="O26" t="s">
        <v>54</v>
      </c>
      <c r="P26" t="s">
        <v>54</v>
      </c>
      <c r="Q26" t="s">
        <v>51</v>
      </c>
      <c r="R26" t="s">
        <v>174</v>
      </c>
      <c r="S26" s="1">
        <v>73990520.629999995</v>
      </c>
      <c r="T26" s="1">
        <v>45340671.369999997</v>
      </c>
      <c r="U26" s="1">
        <v>83896774.049999997</v>
      </c>
      <c r="V26" s="1">
        <v>4303097.24</v>
      </c>
      <c r="W26" t="s">
        <v>51</v>
      </c>
      <c r="X26">
        <v>469688.87</v>
      </c>
      <c r="Y26">
        <v>0</v>
      </c>
      <c r="Z26">
        <v>4525.34</v>
      </c>
      <c r="AA26" s="14">
        <v>-8231341.8700000001</v>
      </c>
      <c r="AB26" s="14">
        <v>-22972208.93</v>
      </c>
      <c r="AC26">
        <v>0</v>
      </c>
      <c r="AD26">
        <v>0</v>
      </c>
      <c r="AE26">
        <v>47283701.479999997</v>
      </c>
      <c r="AF26">
        <v>49576265.740000002</v>
      </c>
      <c r="AG26">
        <v>0</v>
      </c>
      <c r="AH26" s="14">
        <v>0</v>
      </c>
      <c r="AI26">
        <v>4042877.04</v>
      </c>
      <c r="AJ26">
        <v>1290000</v>
      </c>
      <c r="AK26">
        <v>22094870827</v>
      </c>
      <c r="AL26">
        <v>22094870827</v>
      </c>
      <c r="AM26">
        <v>533862739.94999999</v>
      </c>
      <c r="AN26">
        <v>533862739.94999999</v>
      </c>
      <c r="AO26">
        <v>0</v>
      </c>
      <c r="AP26">
        <v>0</v>
      </c>
      <c r="AQ26" s="29">
        <f t="shared" si="0"/>
        <v>35.831738667718966</v>
      </c>
    </row>
    <row r="27" spans="2:43" x14ac:dyDescent="0.3">
      <c r="B27" t="s">
        <v>153</v>
      </c>
      <c r="C27" t="s">
        <v>175</v>
      </c>
      <c r="D27" t="s">
        <v>176</v>
      </c>
      <c r="E27" t="s">
        <v>177</v>
      </c>
      <c r="F27" t="s">
        <v>46</v>
      </c>
      <c r="G27" t="s">
        <v>71</v>
      </c>
      <c r="H27" t="s">
        <v>48</v>
      </c>
      <c r="I27" t="s">
        <v>49</v>
      </c>
      <c r="J27" t="s">
        <v>50</v>
      </c>
      <c r="K27" t="s">
        <v>51</v>
      </c>
      <c r="L27" t="s">
        <v>51</v>
      </c>
      <c r="M27" t="s">
        <v>134</v>
      </c>
      <c r="N27" t="s">
        <v>178</v>
      </c>
      <c r="O27" t="s">
        <v>54</v>
      </c>
      <c r="P27" t="s">
        <v>54</v>
      </c>
      <c r="Q27" t="s">
        <v>54</v>
      </c>
      <c r="R27" t="s">
        <v>179</v>
      </c>
      <c r="S27" s="1">
        <v>26835089</v>
      </c>
      <c r="T27" s="1">
        <v>50347132.960000001</v>
      </c>
      <c r="U27" s="1">
        <v>372372597.11000001</v>
      </c>
      <c r="V27" s="1">
        <v>322025464.14999998</v>
      </c>
      <c r="W27" t="s">
        <v>51</v>
      </c>
      <c r="X27">
        <v>567085.72</v>
      </c>
      <c r="Y27">
        <v>0</v>
      </c>
      <c r="Z27">
        <v>34305.43</v>
      </c>
      <c r="AA27" s="14">
        <v>14463129.66</v>
      </c>
      <c r="AB27" s="14">
        <v>125785991.54000001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103963256</v>
      </c>
      <c r="AL27">
        <v>106465046</v>
      </c>
      <c r="AM27">
        <v>103963256</v>
      </c>
      <c r="AN27">
        <v>106465046</v>
      </c>
      <c r="AO27">
        <v>0</v>
      </c>
      <c r="AP27">
        <v>0</v>
      </c>
      <c r="AQ27" s="29">
        <f t="shared" si="0"/>
        <v>11.498203800699633</v>
      </c>
    </row>
    <row r="28" spans="2:43" x14ac:dyDescent="0.3">
      <c r="B28" t="s">
        <v>153</v>
      </c>
      <c r="C28" t="s">
        <v>180</v>
      </c>
      <c r="D28" t="s">
        <v>181</v>
      </c>
      <c r="E28" t="s">
        <v>182</v>
      </c>
      <c r="F28" t="s">
        <v>46</v>
      </c>
      <c r="G28" t="s">
        <v>133</v>
      </c>
      <c r="H28" t="s">
        <v>48</v>
      </c>
      <c r="I28" t="s">
        <v>49</v>
      </c>
      <c r="J28" t="s">
        <v>50</v>
      </c>
      <c r="K28" t="s">
        <v>51</v>
      </c>
      <c r="L28" t="s">
        <v>51</v>
      </c>
      <c r="M28" t="s">
        <v>134</v>
      </c>
      <c r="N28" t="s">
        <v>183</v>
      </c>
      <c r="O28" t="s">
        <v>54</v>
      </c>
      <c r="P28" t="s">
        <v>54</v>
      </c>
      <c r="Q28" t="s">
        <v>54</v>
      </c>
      <c r="R28" t="s">
        <v>184</v>
      </c>
      <c r="S28" s="1">
        <v>765121</v>
      </c>
      <c r="T28" s="1">
        <v>4383063</v>
      </c>
      <c r="U28" s="1">
        <v>4974652</v>
      </c>
      <c r="V28" s="1">
        <v>0</v>
      </c>
      <c r="W28" t="s">
        <v>51</v>
      </c>
      <c r="X28">
        <v>439200</v>
      </c>
      <c r="Y28">
        <v>0</v>
      </c>
      <c r="Z28">
        <v>6500</v>
      </c>
      <c r="AA28" s="14">
        <v>6811743</v>
      </c>
      <c r="AB28" s="14">
        <v>153408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6000000</v>
      </c>
      <c r="AJ28">
        <v>4000000</v>
      </c>
      <c r="AK28">
        <v>15000000</v>
      </c>
      <c r="AL28">
        <v>19000000</v>
      </c>
      <c r="AM28">
        <v>15000000</v>
      </c>
      <c r="AN28">
        <v>19000000</v>
      </c>
      <c r="AO28">
        <v>0</v>
      </c>
      <c r="AP28">
        <v>0</v>
      </c>
      <c r="AQ28" s="29">
        <f t="shared" si="0"/>
        <v>4440.2788642052565</v>
      </c>
    </row>
    <row r="29" spans="2:43" x14ac:dyDescent="0.3">
      <c r="B29" t="s">
        <v>153</v>
      </c>
      <c r="C29" t="s">
        <v>185</v>
      </c>
      <c r="D29" t="s">
        <v>186</v>
      </c>
      <c r="E29" t="s">
        <v>187</v>
      </c>
      <c r="F29" t="s">
        <v>46</v>
      </c>
      <c r="G29" t="s">
        <v>139</v>
      </c>
      <c r="H29" t="s">
        <v>60</v>
      </c>
      <c r="I29" t="s">
        <v>49</v>
      </c>
      <c r="J29" t="s">
        <v>50</v>
      </c>
      <c r="K29" t="s">
        <v>51</v>
      </c>
      <c r="L29" t="s">
        <v>51</v>
      </c>
      <c r="M29" t="s">
        <v>134</v>
      </c>
      <c r="N29" t="s">
        <v>188</v>
      </c>
      <c r="O29" t="s">
        <v>54</v>
      </c>
      <c r="P29" t="s">
        <v>54</v>
      </c>
      <c r="Q29" t="s">
        <v>51</v>
      </c>
      <c r="R29" t="s">
        <v>189</v>
      </c>
      <c r="S29" s="1">
        <v>3553037371.2399998</v>
      </c>
      <c r="T29" s="1">
        <v>2056766.34</v>
      </c>
      <c r="U29" s="1">
        <v>3376108206.3499999</v>
      </c>
      <c r="V29" s="1">
        <v>22339239.859999999</v>
      </c>
      <c r="W29" t="s">
        <v>54</v>
      </c>
      <c r="X29">
        <v>765000</v>
      </c>
      <c r="Y29">
        <v>45000</v>
      </c>
      <c r="Z29">
        <v>14048</v>
      </c>
      <c r="AA29" s="14">
        <v>197284083.28999999</v>
      </c>
      <c r="AB29" s="14">
        <v>505089714.62</v>
      </c>
      <c r="AC29">
        <v>0</v>
      </c>
      <c r="AD29">
        <v>11365846.16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12059543</v>
      </c>
      <c r="AL29">
        <v>12059543</v>
      </c>
      <c r="AM29">
        <v>45042129.149999999</v>
      </c>
      <c r="AN29">
        <v>58100044.649999999</v>
      </c>
      <c r="AO29">
        <v>0</v>
      </c>
      <c r="AP29">
        <v>0</v>
      </c>
      <c r="AQ29" s="29">
        <f t="shared" si="0"/>
        <v>39.059216131222357</v>
      </c>
    </row>
    <row r="30" spans="2:43" x14ac:dyDescent="0.3">
      <c r="B30" t="s">
        <v>153</v>
      </c>
      <c r="C30" t="s">
        <v>190</v>
      </c>
      <c r="D30" t="s">
        <v>191</v>
      </c>
      <c r="E30" t="s">
        <v>192</v>
      </c>
      <c r="F30" t="s">
        <v>46</v>
      </c>
      <c r="G30" t="s">
        <v>47</v>
      </c>
      <c r="H30" t="s">
        <v>60</v>
      </c>
      <c r="I30" t="s">
        <v>49</v>
      </c>
      <c r="J30" t="s">
        <v>50</v>
      </c>
      <c r="K30" t="s">
        <v>51</v>
      </c>
      <c r="L30" t="s">
        <v>51</v>
      </c>
      <c r="M30" t="s">
        <v>134</v>
      </c>
      <c r="N30" t="s">
        <v>193</v>
      </c>
      <c r="O30" t="s">
        <v>54</v>
      </c>
      <c r="P30" t="s">
        <v>54</v>
      </c>
      <c r="Q30" t="s">
        <v>54</v>
      </c>
      <c r="R30" t="s">
        <v>194</v>
      </c>
      <c r="S30" s="1">
        <v>136009915</v>
      </c>
      <c r="T30" s="1">
        <v>69725561</v>
      </c>
      <c r="U30" s="1">
        <v>78824023</v>
      </c>
      <c r="V30" s="1">
        <v>9098462</v>
      </c>
      <c r="W30" t="s">
        <v>51</v>
      </c>
      <c r="X30">
        <v>730797.6</v>
      </c>
      <c r="Y30">
        <v>0</v>
      </c>
      <c r="Z30">
        <v>23926.98</v>
      </c>
      <c r="AA30" s="14">
        <v>9749845</v>
      </c>
      <c r="AB30" s="14">
        <v>25157069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99.89</v>
      </c>
      <c r="AL30">
        <v>99.89</v>
      </c>
      <c r="AM30">
        <v>45193991</v>
      </c>
      <c r="AN30">
        <v>45193991</v>
      </c>
      <c r="AO30">
        <v>0</v>
      </c>
      <c r="AP30">
        <v>0</v>
      </c>
      <c r="AQ30" s="29">
        <f t="shared" si="0"/>
        <v>38.755886069239622</v>
      </c>
    </row>
    <row r="31" spans="2:43" x14ac:dyDescent="0.3">
      <c r="B31" t="s">
        <v>195</v>
      </c>
      <c r="C31" t="s">
        <v>196</v>
      </c>
      <c r="D31" t="s">
        <v>197</v>
      </c>
      <c r="E31" t="s">
        <v>198</v>
      </c>
      <c r="F31" t="s">
        <v>46</v>
      </c>
      <c r="G31" t="s">
        <v>107</v>
      </c>
      <c r="H31" t="s">
        <v>60</v>
      </c>
      <c r="I31" t="s">
        <v>49</v>
      </c>
      <c r="J31" t="s">
        <v>50</v>
      </c>
      <c r="K31" t="s">
        <v>51</v>
      </c>
      <c r="L31" t="s">
        <v>51</v>
      </c>
      <c r="M31" t="s">
        <v>52</v>
      </c>
      <c r="N31" t="s">
        <v>199</v>
      </c>
      <c r="O31" t="s">
        <v>54</v>
      </c>
      <c r="P31" t="s">
        <v>54</v>
      </c>
      <c r="Q31" t="s">
        <v>51</v>
      </c>
      <c r="R31" t="s">
        <v>200</v>
      </c>
      <c r="S31" s="1">
        <v>2764377.26</v>
      </c>
      <c r="T31" s="1">
        <v>45689257.880000003</v>
      </c>
      <c r="U31" s="1">
        <v>126082680.95999999</v>
      </c>
      <c r="V31" s="1">
        <v>519101.98</v>
      </c>
      <c r="W31" t="s">
        <v>51</v>
      </c>
      <c r="X31">
        <v>284698.07</v>
      </c>
      <c r="Y31">
        <v>0</v>
      </c>
      <c r="Z31">
        <v>200076.6</v>
      </c>
      <c r="AA31" s="14">
        <v>-123318303.7</v>
      </c>
      <c r="AB31" s="14">
        <v>121298484.36</v>
      </c>
      <c r="AC31">
        <v>0</v>
      </c>
      <c r="AD31">
        <v>0</v>
      </c>
      <c r="AE31">
        <v>51326172.649999999</v>
      </c>
      <c r="AF31">
        <v>51535694.859999999</v>
      </c>
      <c r="AG31">
        <v>158572310.09999999</v>
      </c>
      <c r="AH31" s="14">
        <v>111865380.09999999</v>
      </c>
      <c r="AI31">
        <v>51326172.649999999</v>
      </c>
      <c r="AJ31">
        <v>51535694.859999999</v>
      </c>
      <c r="AK31">
        <v>5245225458</v>
      </c>
      <c r="AL31">
        <v>5245225458</v>
      </c>
      <c r="AM31">
        <v>506959171.86000001</v>
      </c>
      <c r="AN31">
        <v>559820138.57000005</v>
      </c>
      <c r="AO31">
        <v>52860966.710000001</v>
      </c>
      <c r="AP31">
        <v>52607136.350000001</v>
      </c>
      <c r="AQ31" s="29">
        <f t="shared" si="0"/>
        <v>-101.66516453248121</v>
      </c>
    </row>
    <row r="32" spans="2:43" x14ac:dyDescent="0.3">
      <c r="B32" t="s">
        <v>195</v>
      </c>
      <c r="C32" t="s">
        <v>201</v>
      </c>
      <c r="D32" t="s">
        <v>202</v>
      </c>
      <c r="E32" t="s">
        <v>203</v>
      </c>
      <c r="F32" t="s">
        <v>46</v>
      </c>
      <c r="G32" t="s">
        <v>71</v>
      </c>
      <c r="H32" t="s">
        <v>48</v>
      </c>
      <c r="I32" t="s">
        <v>49</v>
      </c>
      <c r="J32" t="s">
        <v>50</v>
      </c>
      <c r="K32" t="s">
        <v>51</v>
      </c>
      <c r="L32" t="s">
        <v>51</v>
      </c>
      <c r="M32" t="s">
        <v>134</v>
      </c>
      <c r="N32" t="s">
        <v>204</v>
      </c>
      <c r="O32" t="s">
        <v>54</v>
      </c>
      <c r="P32" t="s">
        <v>54</v>
      </c>
      <c r="Q32" t="s">
        <v>51</v>
      </c>
      <c r="R32" t="s">
        <v>55</v>
      </c>
      <c r="S32" s="1">
        <v>11665247.24</v>
      </c>
      <c r="T32" s="1">
        <v>4546633.3600000003</v>
      </c>
      <c r="U32" s="1">
        <v>13015640.720000001</v>
      </c>
      <c r="V32" s="1">
        <v>0</v>
      </c>
      <c r="W32" t="s">
        <v>51</v>
      </c>
      <c r="X32">
        <v>204363.69</v>
      </c>
      <c r="Y32">
        <v>0</v>
      </c>
      <c r="Z32">
        <v>63428.18</v>
      </c>
      <c r="AA32" s="14">
        <v>-1045966.91</v>
      </c>
      <c r="AB32" s="14">
        <v>16811613.52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39255740</v>
      </c>
      <c r="AL32">
        <v>39255740</v>
      </c>
      <c r="AM32">
        <v>34455740.380000003</v>
      </c>
      <c r="AN32">
        <v>39255740.079999998</v>
      </c>
      <c r="AO32">
        <v>34455740</v>
      </c>
      <c r="AP32">
        <v>39255740.079999998</v>
      </c>
      <c r="AQ32" s="29">
        <f t="shared" si="0"/>
        <v>-6.2216925743365534</v>
      </c>
    </row>
    <row r="33" spans="2:43" x14ac:dyDescent="0.3">
      <c r="B33" t="s">
        <v>195</v>
      </c>
      <c r="C33" t="s">
        <v>205</v>
      </c>
      <c r="D33" t="s">
        <v>206</v>
      </c>
      <c r="E33" t="s">
        <v>207</v>
      </c>
      <c r="F33" t="s">
        <v>46</v>
      </c>
      <c r="G33" t="s">
        <v>139</v>
      </c>
      <c r="H33" t="s">
        <v>60</v>
      </c>
      <c r="I33" t="s">
        <v>49</v>
      </c>
      <c r="J33" t="s">
        <v>50</v>
      </c>
      <c r="K33" t="s">
        <v>51</v>
      </c>
      <c r="L33" t="s">
        <v>51</v>
      </c>
      <c r="M33" t="s">
        <v>134</v>
      </c>
      <c r="N33" t="s">
        <v>208</v>
      </c>
      <c r="O33" t="s">
        <v>54</v>
      </c>
      <c r="P33" t="s">
        <v>54</v>
      </c>
      <c r="Q33" t="s">
        <v>51</v>
      </c>
      <c r="R33" t="s">
        <v>209</v>
      </c>
      <c r="S33" s="1">
        <v>0</v>
      </c>
      <c r="T33" s="1">
        <v>169282.13</v>
      </c>
      <c r="U33" s="1">
        <v>312664.81</v>
      </c>
      <c r="V33" s="1">
        <v>0</v>
      </c>
      <c r="W33" t="s">
        <v>51</v>
      </c>
      <c r="X33">
        <v>58275</v>
      </c>
      <c r="Y33">
        <v>0</v>
      </c>
      <c r="Z33">
        <v>0</v>
      </c>
      <c r="AA33" s="14">
        <v>332463.03000000003</v>
      </c>
      <c r="AB33" s="14">
        <v>135120.81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790500</v>
      </c>
      <c r="AL33">
        <v>790500</v>
      </c>
      <c r="AM33">
        <v>2999000</v>
      </c>
      <c r="AN33">
        <v>31000</v>
      </c>
      <c r="AO33">
        <v>101000</v>
      </c>
      <c r="AP33">
        <v>0</v>
      </c>
      <c r="AQ33" s="29">
        <f t="shared" si="0"/>
        <v>246.04872484112553</v>
      </c>
    </row>
    <row r="34" spans="2:43" ht="57.6" x14ac:dyDescent="0.3">
      <c r="B34" t="s">
        <v>210</v>
      </c>
      <c r="C34" t="s">
        <v>211</v>
      </c>
      <c r="D34" t="s">
        <v>212</v>
      </c>
      <c r="E34" t="s">
        <v>213</v>
      </c>
      <c r="F34" t="s">
        <v>46</v>
      </c>
      <c r="G34" s="6" t="s">
        <v>75</v>
      </c>
      <c r="H34" t="s">
        <v>60</v>
      </c>
      <c r="I34" t="s">
        <v>49</v>
      </c>
      <c r="J34" t="s">
        <v>50</v>
      </c>
      <c r="K34" t="s">
        <v>51</v>
      </c>
      <c r="L34" t="s">
        <v>51</v>
      </c>
      <c r="M34" t="s">
        <v>52</v>
      </c>
      <c r="N34" t="s">
        <v>214</v>
      </c>
      <c r="O34" t="s">
        <v>54</v>
      </c>
      <c r="P34" t="s">
        <v>54</v>
      </c>
      <c r="Q34" t="s">
        <v>51</v>
      </c>
      <c r="R34" t="s">
        <v>215</v>
      </c>
      <c r="S34" s="1">
        <v>83617</v>
      </c>
      <c r="T34" s="1">
        <v>13857900</v>
      </c>
      <c r="U34" s="1">
        <v>28561677.5</v>
      </c>
      <c r="V34" s="1">
        <v>865276</v>
      </c>
      <c r="W34" t="s">
        <v>51</v>
      </c>
      <c r="X34">
        <v>379709.85</v>
      </c>
      <c r="Y34">
        <v>0</v>
      </c>
      <c r="Z34">
        <v>0</v>
      </c>
      <c r="AA34" s="14">
        <v>3377901</v>
      </c>
      <c r="AB34" s="14">
        <v>-3362003</v>
      </c>
      <c r="AC34">
        <v>0</v>
      </c>
      <c r="AD34">
        <v>0</v>
      </c>
      <c r="AE34">
        <v>5400883</v>
      </c>
      <c r="AF34">
        <v>6890791.4100000001</v>
      </c>
      <c r="AG34">
        <v>2558600</v>
      </c>
      <c r="AH34" s="14">
        <v>2762929</v>
      </c>
      <c r="AI34">
        <v>0</v>
      </c>
      <c r="AJ34">
        <v>0</v>
      </c>
      <c r="AK34">
        <v>16079007</v>
      </c>
      <c r="AL34">
        <v>16079007</v>
      </c>
      <c r="AM34">
        <v>4824688.6399999997</v>
      </c>
      <c r="AN34">
        <v>4824688.6399999997</v>
      </c>
      <c r="AO34">
        <v>0</v>
      </c>
      <c r="AP34">
        <v>0</v>
      </c>
      <c r="AQ34" s="29">
        <f t="shared" si="0"/>
        <v>-100.47287286775176</v>
      </c>
    </row>
    <row r="35" spans="2:43" x14ac:dyDescent="0.3">
      <c r="B35" t="s">
        <v>210</v>
      </c>
      <c r="C35" t="s">
        <v>216</v>
      </c>
      <c r="D35" t="s">
        <v>217</v>
      </c>
      <c r="E35" t="s">
        <v>218</v>
      </c>
      <c r="F35" t="s">
        <v>46</v>
      </c>
      <c r="G35" t="s">
        <v>65</v>
      </c>
      <c r="H35" t="s">
        <v>48</v>
      </c>
      <c r="I35" t="s">
        <v>49</v>
      </c>
      <c r="J35" t="s">
        <v>50</v>
      </c>
      <c r="K35" t="s">
        <v>51</v>
      </c>
      <c r="L35" t="s">
        <v>51</v>
      </c>
      <c r="M35" t="s">
        <v>52</v>
      </c>
      <c r="N35" t="s">
        <v>219</v>
      </c>
      <c r="O35" t="s">
        <v>54</v>
      </c>
      <c r="P35" t="s">
        <v>54</v>
      </c>
      <c r="Q35" t="s">
        <v>51</v>
      </c>
      <c r="R35" t="s">
        <v>220</v>
      </c>
      <c r="S35" s="1">
        <v>63124352</v>
      </c>
      <c r="T35" s="1">
        <v>43114341.420000002</v>
      </c>
      <c r="U35" s="1">
        <v>60917575.439999998</v>
      </c>
      <c r="V35" s="1">
        <v>0</v>
      </c>
      <c r="W35" t="s">
        <v>51</v>
      </c>
      <c r="X35">
        <v>463700.92</v>
      </c>
      <c r="Y35">
        <v>0</v>
      </c>
      <c r="Z35">
        <v>4892.8</v>
      </c>
      <c r="AA35" s="14">
        <v>2270183.67</v>
      </c>
      <c r="AB35" s="14">
        <v>-37037212.280000001</v>
      </c>
      <c r="AC35">
        <v>0</v>
      </c>
      <c r="AD35">
        <v>0</v>
      </c>
      <c r="AE35">
        <v>51115066.740000002</v>
      </c>
      <c r="AF35">
        <v>62005725.579999998</v>
      </c>
      <c r="AG35">
        <v>0</v>
      </c>
      <c r="AH35" s="14">
        <v>0</v>
      </c>
      <c r="AI35">
        <v>0</v>
      </c>
      <c r="AJ35">
        <v>0</v>
      </c>
      <c r="AK35">
        <v>13542532</v>
      </c>
      <c r="AL35">
        <v>13542532</v>
      </c>
      <c r="AM35">
        <v>13542532.35</v>
      </c>
      <c r="AN35">
        <v>13542532.35</v>
      </c>
      <c r="AO35">
        <v>12549845.65</v>
      </c>
      <c r="AP35">
        <v>12513332.199999999</v>
      </c>
      <c r="AQ35" s="29">
        <f t="shared" si="0"/>
        <v>-6.1294669070595607</v>
      </c>
    </row>
    <row r="36" spans="2:43" x14ac:dyDescent="0.3">
      <c r="B36" t="s">
        <v>210</v>
      </c>
      <c r="C36" t="s">
        <v>221</v>
      </c>
      <c r="D36" t="s">
        <v>222</v>
      </c>
      <c r="E36" t="s">
        <v>223</v>
      </c>
      <c r="F36" t="s">
        <v>46</v>
      </c>
      <c r="G36" t="s">
        <v>224</v>
      </c>
      <c r="H36" t="s">
        <v>60</v>
      </c>
      <c r="I36" t="s">
        <v>49</v>
      </c>
      <c r="J36" t="s">
        <v>50</v>
      </c>
      <c r="K36" t="s">
        <v>51</v>
      </c>
      <c r="L36" t="s">
        <v>51</v>
      </c>
      <c r="M36" t="s">
        <v>52</v>
      </c>
      <c r="N36" t="s">
        <v>225</v>
      </c>
      <c r="O36" t="s">
        <v>54</v>
      </c>
      <c r="P36" t="s">
        <v>54</v>
      </c>
      <c r="Q36" t="s">
        <v>51</v>
      </c>
      <c r="R36" t="s">
        <v>226</v>
      </c>
      <c r="S36" s="1">
        <v>57231013.100000001</v>
      </c>
      <c r="T36" s="1">
        <v>53051335.289999999</v>
      </c>
      <c r="U36" s="1">
        <v>95695329.400000006</v>
      </c>
      <c r="V36" s="1">
        <v>787226</v>
      </c>
      <c r="W36" t="s">
        <v>51</v>
      </c>
      <c r="X36">
        <v>463398.48</v>
      </c>
      <c r="Y36">
        <v>0</v>
      </c>
      <c r="Z36">
        <v>16133.11</v>
      </c>
      <c r="AA36" s="14">
        <v>-10532825.51</v>
      </c>
      <c r="AB36" s="14">
        <v>-83137844.530000001</v>
      </c>
      <c r="AC36">
        <v>0</v>
      </c>
      <c r="AD36">
        <v>0</v>
      </c>
      <c r="AE36">
        <v>6087023.9100000001</v>
      </c>
      <c r="AF36">
        <v>8346554.7000000002</v>
      </c>
      <c r="AG36">
        <v>0</v>
      </c>
      <c r="AH36" s="14">
        <v>0</v>
      </c>
      <c r="AI36">
        <v>0</v>
      </c>
      <c r="AJ36">
        <v>0</v>
      </c>
      <c r="AK36">
        <v>99991387</v>
      </c>
      <c r="AL36">
        <v>99991387</v>
      </c>
      <c r="AM36">
        <v>100000000</v>
      </c>
      <c r="AN36">
        <v>100000000</v>
      </c>
      <c r="AO36">
        <v>0</v>
      </c>
      <c r="AP36">
        <v>0</v>
      </c>
      <c r="AQ36" s="29">
        <f t="shared" si="0"/>
        <v>12.669110643347587</v>
      </c>
    </row>
    <row r="37" spans="2:43" x14ac:dyDescent="0.3">
      <c r="B37" t="s">
        <v>210</v>
      </c>
      <c r="C37" t="s">
        <v>227</v>
      </c>
      <c r="D37" t="s">
        <v>228</v>
      </c>
      <c r="E37" t="s">
        <v>229</v>
      </c>
      <c r="F37" t="s">
        <v>46</v>
      </c>
      <c r="G37" t="s">
        <v>107</v>
      </c>
      <c r="H37" t="s">
        <v>60</v>
      </c>
      <c r="I37" t="s">
        <v>49</v>
      </c>
      <c r="J37" t="s">
        <v>50</v>
      </c>
      <c r="K37" t="s">
        <v>51</v>
      </c>
      <c r="L37" t="s">
        <v>51</v>
      </c>
      <c r="M37" t="s">
        <v>52</v>
      </c>
      <c r="N37" t="s">
        <v>230</v>
      </c>
      <c r="O37" t="s">
        <v>54</v>
      </c>
      <c r="P37" t="s">
        <v>54</v>
      </c>
      <c r="Q37" t="s">
        <v>54</v>
      </c>
      <c r="R37" t="s">
        <v>231</v>
      </c>
      <c r="S37" s="1">
        <v>12267646.41</v>
      </c>
      <c r="T37" s="1">
        <v>40632220.409999996</v>
      </c>
      <c r="U37" s="1">
        <v>159755868.88</v>
      </c>
      <c r="V37" s="1">
        <v>86292044.930000007</v>
      </c>
      <c r="W37" t="s">
        <v>54</v>
      </c>
      <c r="X37">
        <v>445266.58</v>
      </c>
      <c r="Y37">
        <v>17139.34</v>
      </c>
      <c r="Z37">
        <v>0</v>
      </c>
      <c r="AA37" s="14">
        <v>14284705.449999999</v>
      </c>
      <c r="AB37" s="14">
        <v>7166576.2199999997</v>
      </c>
      <c r="AC37">
        <v>0</v>
      </c>
      <c r="AD37">
        <v>0</v>
      </c>
      <c r="AE37">
        <v>122801246.42</v>
      </c>
      <c r="AF37">
        <v>147100523.08000001</v>
      </c>
      <c r="AG37">
        <v>0</v>
      </c>
      <c r="AH37" s="14">
        <v>59733783.950000003</v>
      </c>
      <c r="AI37">
        <v>0</v>
      </c>
      <c r="AJ37">
        <v>0</v>
      </c>
      <c r="AK37">
        <v>99.65</v>
      </c>
      <c r="AL37">
        <v>99.65</v>
      </c>
      <c r="AM37">
        <v>131206906</v>
      </c>
      <c r="AN37">
        <v>131206906</v>
      </c>
      <c r="AO37">
        <v>0</v>
      </c>
      <c r="AP37">
        <v>0</v>
      </c>
      <c r="AQ37" s="29">
        <f t="shared" si="0"/>
        <v>199.32398695677307</v>
      </c>
    </row>
    <row r="38" spans="2:43" x14ac:dyDescent="0.3">
      <c r="B38" t="s">
        <v>210</v>
      </c>
      <c r="C38" t="s">
        <v>232</v>
      </c>
      <c r="D38" t="s">
        <v>233</v>
      </c>
      <c r="E38" t="s">
        <v>234</v>
      </c>
      <c r="F38" t="s">
        <v>46</v>
      </c>
      <c r="G38" t="s">
        <v>93</v>
      </c>
      <c r="H38" t="s">
        <v>48</v>
      </c>
      <c r="I38" t="s">
        <v>76</v>
      </c>
      <c r="J38" t="s">
        <v>50</v>
      </c>
      <c r="K38" t="s">
        <v>51</v>
      </c>
      <c r="L38" t="s">
        <v>51</v>
      </c>
      <c r="M38" t="s">
        <v>52</v>
      </c>
      <c r="N38" t="s">
        <v>235</v>
      </c>
      <c r="O38" t="s">
        <v>54</v>
      </c>
      <c r="P38" t="s">
        <v>54</v>
      </c>
      <c r="Q38" t="s">
        <v>51</v>
      </c>
      <c r="R38" t="s">
        <v>236</v>
      </c>
      <c r="S38" s="1">
        <v>376906293.16000003</v>
      </c>
      <c r="T38" s="1">
        <v>42386835.710000001</v>
      </c>
      <c r="U38" s="1">
        <v>396136057.79000002</v>
      </c>
      <c r="V38" s="1">
        <v>0</v>
      </c>
      <c r="W38" t="s">
        <v>51</v>
      </c>
      <c r="X38">
        <v>451672.48</v>
      </c>
      <c r="Y38">
        <v>0</v>
      </c>
      <c r="Z38">
        <v>11888.24</v>
      </c>
      <c r="AA38" s="14">
        <v>-14979510.74</v>
      </c>
      <c r="AB38" s="14">
        <v>175100694.96000001</v>
      </c>
      <c r="AC38">
        <v>0</v>
      </c>
      <c r="AD38">
        <v>0</v>
      </c>
      <c r="AE38">
        <v>1316954725.4100001</v>
      </c>
      <c r="AF38">
        <v>1126313629.8399999</v>
      </c>
      <c r="AG38">
        <v>0</v>
      </c>
      <c r="AH38" s="14">
        <v>0</v>
      </c>
      <c r="AI38">
        <v>0</v>
      </c>
      <c r="AJ38">
        <v>0</v>
      </c>
      <c r="AK38">
        <v>16803753.66</v>
      </c>
      <c r="AL38">
        <v>16803753.66</v>
      </c>
      <c r="AM38">
        <v>16803753</v>
      </c>
      <c r="AN38">
        <v>16803753.66</v>
      </c>
      <c r="AO38">
        <v>0</v>
      </c>
      <c r="AP38">
        <v>0</v>
      </c>
      <c r="AQ38" s="29">
        <f t="shared" si="0"/>
        <v>-8.5547979940467496</v>
      </c>
    </row>
    <row r="39" spans="2:43" x14ac:dyDescent="0.3">
      <c r="B39" t="s">
        <v>210</v>
      </c>
      <c r="C39" t="s">
        <v>237</v>
      </c>
      <c r="D39" t="s">
        <v>238</v>
      </c>
      <c r="E39" t="s">
        <v>239</v>
      </c>
      <c r="F39" t="s">
        <v>46</v>
      </c>
      <c r="G39" t="s">
        <v>240</v>
      </c>
      <c r="H39" t="s">
        <v>48</v>
      </c>
      <c r="I39" t="s">
        <v>49</v>
      </c>
      <c r="J39" t="s">
        <v>50</v>
      </c>
      <c r="K39" t="s">
        <v>51</v>
      </c>
      <c r="L39" t="s">
        <v>51</v>
      </c>
      <c r="M39" t="s">
        <v>52</v>
      </c>
      <c r="N39" t="s">
        <v>241</v>
      </c>
      <c r="O39" t="s">
        <v>54</v>
      </c>
      <c r="P39" t="s">
        <v>54</v>
      </c>
      <c r="Q39" t="s">
        <v>51</v>
      </c>
      <c r="R39" t="s">
        <v>55</v>
      </c>
      <c r="S39" s="1">
        <v>5213304.97</v>
      </c>
      <c r="T39" s="1">
        <v>23508720.550000001</v>
      </c>
      <c r="U39" s="1">
        <v>260937720.55000001</v>
      </c>
      <c r="V39" s="1">
        <v>237429000</v>
      </c>
      <c r="W39" t="s">
        <v>51</v>
      </c>
      <c r="X39">
        <v>433360.48</v>
      </c>
      <c r="Y39">
        <v>0</v>
      </c>
      <c r="Z39">
        <v>0</v>
      </c>
      <c r="AA39" s="14">
        <v>-11730794.859999999</v>
      </c>
      <c r="AB39" s="14">
        <v>40896905.369999997</v>
      </c>
      <c r="AC39">
        <v>0</v>
      </c>
      <c r="AD39">
        <v>0</v>
      </c>
      <c r="AE39">
        <v>59945660.219999999</v>
      </c>
      <c r="AF39">
        <v>277357652.89999998</v>
      </c>
      <c r="AG39">
        <v>0</v>
      </c>
      <c r="AH39" s="14">
        <v>0</v>
      </c>
      <c r="AI39">
        <v>0</v>
      </c>
      <c r="AJ39">
        <v>0</v>
      </c>
      <c r="AK39">
        <v>159700077</v>
      </c>
      <c r="AL39">
        <v>159700077</v>
      </c>
      <c r="AM39">
        <v>139654487.18000001</v>
      </c>
      <c r="AN39">
        <v>139654487.18000001</v>
      </c>
      <c r="AO39">
        <v>22737270.41</v>
      </c>
      <c r="AP39">
        <v>22737270.41</v>
      </c>
      <c r="AQ39" s="29">
        <f t="shared" si="0"/>
        <v>-28.683820337675591</v>
      </c>
    </row>
    <row r="40" spans="2:43" x14ac:dyDescent="0.3">
      <c r="B40" t="s">
        <v>210</v>
      </c>
      <c r="C40" t="s">
        <v>242</v>
      </c>
      <c r="D40" t="s">
        <v>243</v>
      </c>
      <c r="E40" t="s">
        <v>244</v>
      </c>
      <c r="F40" t="s">
        <v>46</v>
      </c>
      <c r="G40" t="s">
        <v>139</v>
      </c>
      <c r="H40" t="s">
        <v>60</v>
      </c>
      <c r="I40" t="s">
        <v>49</v>
      </c>
      <c r="J40" t="s">
        <v>50</v>
      </c>
      <c r="K40" t="s">
        <v>51</v>
      </c>
      <c r="L40" t="s">
        <v>51</v>
      </c>
      <c r="M40" t="s">
        <v>134</v>
      </c>
      <c r="N40" t="s">
        <v>245</v>
      </c>
      <c r="O40" t="s">
        <v>54</v>
      </c>
      <c r="P40" t="s">
        <v>54</v>
      </c>
      <c r="Q40" t="s">
        <v>54</v>
      </c>
      <c r="R40" t="s">
        <v>246</v>
      </c>
      <c r="S40" s="1">
        <v>3128385341.6500001</v>
      </c>
      <c r="T40" s="1">
        <v>103012287.98</v>
      </c>
      <c r="U40" s="1">
        <v>552970028.78999996</v>
      </c>
      <c r="V40" s="1">
        <v>236254413.09999999</v>
      </c>
      <c r="W40" t="s">
        <v>54</v>
      </c>
      <c r="X40">
        <v>560751.35999999999</v>
      </c>
      <c r="Y40">
        <v>103582.81</v>
      </c>
      <c r="Z40">
        <v>0</v>
      </c>
      <c r="AA40" s="14">
        <v>197681366.03999999</v>
      </c>
      <c r="AB40" s="14">
        <v>1137863930.4300001</v>
      </c>
      <c r="AC40">
        <v>0</v>
      </c>
      <c r="AD40">
        <v>66931377.329999998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13490874</v>
      </c>
      <c r="AL40">
        <v>15162188</v>
      </c>
      <c r="AM40">
        <v>316726740.44999999</v>
      </c>
      <c r="AN40">
        <v>355964332.77999997</v>
      </c>
      <c r="AO40">
        <v>0</v>
      </c>
      <c r="AP40">
        <v>0</v>
      </c>
      <c r="AQ40" s="29">
        <f t="shared" si="0"/>
        <v>17.373023324967861</v>
      </c>
    </row>
    <row r="41" spans="2:43" x14ac:dyDescent="0.3">
      <c r="B41" t="s">
        <v>210</v>
      </c>
      <c r="C41" t="s">
        <v>247</v>
      </c>
      <c r="D41" t="s">
        <v>248</v>
      </c>
      <c r="E41" t="s">
        <v>249</v>
      </c>
      <c r="F41" t="s">
        <v>46</v>
      </c>
      <c r="G41" t="s">
        <v>133</v>
      </c>
      <c r="H41" t="s">
        <v>60</v>
      </c>
      <c r="I41" t="s">
        <v>49</v>
      </c>
      <c r="J41" t="s">
        <v>50</v>
      </c>
      <c r="K41" t="s">
        <v>51</v>
      </c>
      <c r="L41" t="s">
        <v>51</v>
      </c>
      <c r="M41" t="s">
        <v>134</v>
      </c>
      <c r="N41" t="s">
        <v>250</v>
      </c>
      <c r="O41" t="s">
        <v>54</v>
      </c>
      <c r="P41" t="s">
        <v>54</v>
      </c>
      <c r="Q41" t="s">
        <v>51</v>
      </c>
      <c r="R41" t="s">
        <v>251</v>
      </c>
      <c r="S41" s="1">
        <v>6063811.6399999997</v>
      </c>
      <c r="T41" s="1">
        <v>7903369.4699999997</v>
      </c>
      <c r="U41" s="1">
        <v>10655650.75</v>
      </c>
      <c r="V41" s="1">
        <v>204804.5</v>
      </c>
      <c r="W41" t="s">
        <v>51</v>
      </c>
      <c r="X41">
        <v>506760.26</v>
      </c>
      <c r="Y41">
        <v>0</v>
      </c>
      <c r="Z41">
        <v>14325.42</v>
      </c>
      <c r="AA41" s="14">
        <v>-7564609.4500000002</v>
      </c>
      <c r="AB41" s="14">
        <v>64281864.259999998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8545000</v>
      </c>
      <c r="AJ41">
        <v>5000000</v>
      </c>
      <c r="AK41">
        <v>80735673.400000006</v>
      </c>
      <c r="AL41">
        <v>92280673.400000006</v>
      </c>
      <c r="AM41">
        <v>80735673</v>
      </c>
      <c r="AN41">
        <v>92280673.400000006</v>
      </c>
      <c r="AO41">
        <v>0</v>
      </c>
      <c r="AP41">
        <v>2000000</v>
      </c>
      <c r="AQ41" s="29">
        <f t="shared" si="0"/>
        <v>-11.767875025222549</v>
      </c>
    </row>
    <row r="42" spans="2:43" x14ac:dyDescent="0.3">
      <c r="B42" t="s">
        <v>210</v>
      </c>
      <c r="C42" t="s">
        <v>252</v>
      </c>
      <c r="D42" t="s">
        <v>253</v>
      </c>
      <c r="E42" t="s">
        <v>254</v>
      </c>
      <c r="F42" t="s">
        <v>46</v>
      </c>
      <c r="G42" t="s">
        <v>71</v>
      </c>
      <c r="H42" t="s">
        <v>60</v>
      </c>
      <c r="I42" t="s">
        <v>49</v>
      </c>
      <c r="J42" t="s">
        <v>50</v>
      </c>
      <c r="K42" t="s">
        <v>51</v>
      </c>
      <c r="L42" t="s">
        <v>51</v>
      </c>
      <c r="M42" t="s">
        <v>134</v>
      </c>
      <c r="N42" t="s">
        <v>255</v>
      </c>
      <c r="O42" t="s">
        <v>54</v>
      </c>
      <c r="P42" t="s">
        <v>54</v>
      </c>
      <c r="Q42" t="s">
        <v>54</v>
      </c>
      <c r="R42" t="s">
        <v>256</v>
      </c>
      <c r="S42" s="1">
        <v>284655935.30000001</v>
      </c>
      <c r="T42" s="1">
        <v>67101416.450000003</v>
      </c>
      <c r="U42" s="1">
        <v>189419203.11000001</v>
      </c>
      <c r="V42" s="1">
        <v>0</v>
      </c>
      <c r="W42" t="s">
        <v>54</v>
      </c>
      <c r="X42">
        <v>479397.25</v>
      </c>
      <c r="Y42">
        <v>81554.61</v>
      </c>
      <c r="Z42">
        <v>24077.13</v>
      </c>
      <c r="AA42" s="14">
        <v>96535176.269999996</v>
      </c>
      <c r="AB42" s="14">
        <v>827539253.77999997</v>
      </c>
      <c r="AC42">
        <v>0</v>
      </c>
      <c r="AD42">
        <v>33994927.219999999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142301765100</v>
      </c>
      <c r="AL42">
        <v>142301765100</v>
      </c>
      <c r="AM42">
        <v>623897248.22000003</v>
      </c>
      <c r="AN42">
        <v>623897248.22000003</v>
      </c>
      <c r="AO42">
        <v>0</v>
      </c>
      <c r="AP42">
        <v>0</v>
      </c>
      <c r="AQ42" s="29">
        <f t="shared" si="0"/>
        <v>11.665328965248545</v>
      </c>
    </row>
    <row r="43" spans="2:43" x14ac:dyDescent="0.3">
      <c r="B43" t="s">
        <v>210</v>
      </c>
      <c r="C43" t="s">
        <v>257</v>
      </c>
      <c r="D43" t="s">
        <v>258</v>
      </c>
      <c r="E43" t="s">
        <v>259</v>
      </c>
      <c r="F43" t="s">
        <v>46</v>
      </c>
      <c r="G43" t="s">
        <v>47</v>
      </c>
      <c r="H43" t="s">
        <v>48</v>
      </c>
      <c r="I43" t="s">
        <v>76</v>
      </c>
      <c r="J43" t="s">
        <v>50</v>
      </c>
      <c r="K43" t="s">
        <v>51</v>
      </c>
      <c r="L43" t="s">
        <v>51</v>
      </c>
      <c r="M43" t="s">
        <v>134</v>
      </c>
      <c r="N43" t="s">
        <v>260</v>
      </c>
      <c r="O43" t="s">
        <v>54</v>
      </c>
      <c r="P43" t="s">
        <v>54</v>
      </c>
      <c r="Q43" t="s">
        <v>54</v>
      </c>
      <c r="R43" t="s">
        <v>55</v>
      </c>
      <c r="S43" s="1">
        <v>130963997</v>
      </c>
      <c r="T43" s="1">
        <v>17342286</v>
      </c>
      <c r="U43" s="1">
        <v>141706642</v>
      </c>
      <c r="V43" s="1">
        <v>0</v>
      </c>
      <c r="W43" t="s">
        <v>51</v>
      </c>
      <c r="X43">
        <v>393665</v>
      </c>
      <c r="Y43">
        <v>0</v>
      </c>
      <c r="Z43">
        <v>0</v>
      </c>
      <c r="AA43" s="14">
        <v>5291485</v>
      </c>
      <c r="AB43" s="14">
        <v>67555971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44726598</v>
      </c>
      <c r="AN43">
        <v>44726598</v>
      </c>
      <c r="AO43">
        <v>0</v>
      </c>
      <c r="AP43">
        <v>0</v>
      </c>
      <c r="AQ43" s="29">
        <f t="shared" si="0"/>
        <v>7.8327421272651092</v>
      </c>
    </row>
    <row r="44" spans="2:43" x14ac:dyDescent="0.3">
      <c r="B44" t="s">
        <v>210</v>
      </c>
      <c r="C44" t="s">
        <v>261</v>
      </c>
      <c r="D44" t="s">
        <v>262</v>
      </c>
      <c r="E44" t="s">
        <v>263</v>
      </c>
      <c r="F44" t="s">
        <v>46</v>
      </c>
      <c r="G44" t="s">
        <v>107</v>
      </c>
      <c r="H44" t="s">
        <v>60</v>
      </c>
      <c r="I44" t="s">
        <v>49</v>
      </c>
      <c r="J44" t="s">
        <v>50</v>
      </c>
      <c r="K44" t="s">
        <v>51</v>
      </c>
      <c r="L44" t="s">
        <v>51</v>
      </c>
      <c r="M44" t="s">
        <v>134</v>
      </c>
      <c r="N44" t="s">
        <v>264</v>
      </c>
      <c r="O44" t="s">
        <v>54</v>
      </c>
      <c r="P44" t="s">
        <v>54</v>
      </c>
      <c r="Q44" t="s">
        <v>54</v>
      </c>
      <c r="R44" t="s">
        <v>265</v>
      </c>
      <c r="S44" s="1">
        <v>5731957321.4700003</v>
      </c>
      <c r="T44" s="1">
        <v>1012331245.99</v>
      </c>
      <c r="U44" s="1">
        <v>5876901598.9700003</v>
      </c>
      <c r="V44" s="1">
        <v>1167333164.6900001</v>
      </c>
      <c r="W44" t="s">
        <v>54</v>
      </c>
      <c r="X44">
        <v>894298.57</v>
      </c>
      <c r="Y44">
        <v>70401.289999999994</v>
      </c>
      <c r="Z44">
        <v>18004.38</v>
      </c>
      <c r="AA44" s="14">
        <v>1007478338.8099999</v>
      </c>
      <c r="AB44" s="14">
        <v>8270897875.4499998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698044720</v>
      </c>
      <c r="AL44">
        <v>713145896</v>
      </c>
      <c r="AM44">
        <v>4942156617.6000004</v>
      </c>
      <c r="AN44">
        <v>5049072943.6800003</v>
      </c>
      <c r="AO44">
        <v>106916330.43000001</v>
      </c>
      <c r="AP44">
        <v>57503611.32</v>
      </c>
      <c r="AQ44" s="29">
        <f t="shared" si="0"/>
        <v>12.18100324754869</v>
      </c>
    </row>
    <row r="45" spans="2:43" x14ac:dyDescent="0.3">
      <c r="B45" t="s">
        <v>210</v>
      </c>
      <c r="C45" t="s">
        <v>266</v>
      </c>
      <c r="D45" t="s">
        <v>267</v>
      </c>
      <c r="E45" t="s">
        <v>268</v>
      </c>
      <c r="F45" t="s">
        <v>46</v>
      </c>
      <c r="G45" t="s">
        <v>47</v>
      </c>
      <c r="H45" t="s">
        <v>60</v>
      </c>
      <c r="I45" t="s">
        <v>49</v>
      </c>
      <c r="J45" t="s">
        <v>50</v>
      </c>
      <c r="K45" t="s">
        <v>51</v>
      </c>
      <c r="L45" t="s">
        <v>51</v>
      </c>
      <c r="M45" t="s">
        <v>134</v>
      </c>
      <c r="N45" t="s">
        <v>269</v>
      </c>
      <c r="O45" t="s">
        <v>54</v>
      </c>
      <c r="P45" t="s">
        <v>54</v>
      </c>
      <c r="Q45" t="s">
        <v>54</v>
      </c>
      <c r="R45" t="s">
        <v>270</v>
      </c>
      <c r="S45" s="1">
        <v>185116460</v>
      </c>
      <c r="T45" s="1">
        <v>107881314.31999999</v>
      </c>
      <c r="U45" s="1">
        <v>154405800</v>
      </c>
      <c r="V45" s="1">
        <v>10868764</v>
      </c>
      <c r="W45" t="s">
        <v>51</v>
      </c>
      <c r="X45">
        <v>556998.24</v>
      </c>
      <c r="Y45">
        <v>0</v>
      </c>
      <c r="Z45">
        <v>0</v>
      </c>
      <c r="AA45" s="14">
        <v>18634675</v>
      </c>
      <c r="AB45" s="14">
        <v>119512584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21180689150.799999</v>
      </c>
      <c r="AL45">
        <v>21180689150.799999</v>
      </c>
      <c r="AM45">
        <v>111887147</v>
      </c>
      <c r="AN45">
        <v>118292477</v>
      </c>
      <c r="AO45">
        <v>8829991</v>
      </c>
      <c r="AP45">
        <v>2424661</v>
      </c>
      <c r="AQ45" s="29">
        <f t="shared" si="0"/>
        <v>15.592228346430867</v>
      </c>
    </row>
    <row r="46" spans="2:43" x14ac:dyDescent="0.3">
      <c r="B46" t="s">
        <v>210</v>
      </c>
      <c r="C46" t="s">
        <v>271</v>
      </c>
      <c r="D46" t="s">
        <v>272</v>
      </c>
      <c r="E46" t="s">
        <v>273</v>
      </c>
      <c r="F46" t="s">
        <v>70</v>
      </c>
      <c r="G46" t="s">
        <v>93</v>
      </c>
      <c r="H46" t="s">
        <v>60</v>
      </c>
      <c r="I46" t="s">
        <v>49</v>
      </c>
      <c r="J46" t="s">
        <v>50</v>
      </c>
      <c r="K46" t="s">
        <v>51</v>
      </c>
      <c r="L46" t="s">
        <v>51</v>
      </c>
      <c r="M46" t="s">
        <v>134</v>
      </c>
      <c r="N46" t="s">
        <v>274</v>
      </c>
      <c r="O46" t="s">
        <v>54</v>
      </c>
      <c r="P46" t="s">
        <v>54</v>
      </c>
      <c r="Q46" t="s">
        <v>51</v>
      </c>
      <c r="R46" t="s">
        <v>55</v>
      </c>
      <c r="S46" s="1">
        <v>804650.42</v>
      </c>
      <c r="T46" s="1">
        <v>9675773.0199999996</v>
      </c>
      <c r="U46" s="1">
        <v>84070078.870000005</v>
      </c>
      <c r="V46" s="1">
        <v>0</v>
      </c>
      <c r="W46" t="s">
        <v>51</v>
      </c>
      <c r="X46">
        <v>348209.88</v>
      </c>
      <c r="Y46">
        <v>0</v>
      </c>
      <c r="Z46">
        <v>0</v>
      </c>
      <c r="AA46" s="14">
        <v>-72337244.980000004</v>
      </c>
      <c r="AB46" s="14">
        <v>-110468503.03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1764492195</v>
      </c>
      <c r="AL46">
        <v>1765390210</v>
      </c>
      <c r="AM46">
        <v>353078042</v>
      </c>
      <c r="AN46">
        <v>353078042</v>
      </c>
      <c r="AO46">
        <v>0</v>
      </c>
      <c r="AP46">
        <v>0</v>
      </c>
      <c r="AQ46" s="29">
        <f t="shared" si="0"/>
        <v>65.482235203599458</v>
      </c>
    </row>
    <row r="47" spans="2:43" x14ac:dyDescent="0.3">
      <c r="B47" t="s">
        <v>275</v>
      </c>
      <c r="C47" t="s">
        <v>276</v>
      </c>
      <c r="D47" t="s">
        <v>91</v>
      </c>
      <c r="E47" t="s">
        <v>277</v>
      </c>
      <c r="F47" t="s">
        <v>70</v>
      </c>
      <c r="G47" t="s">
        <v>93</v>
      </c>
      <c r="H47" t="s">
        <v>60</v>
      </c>
      <c r="I47" t="s">
        <v>49</v>
      </c>
      <c r="J47" t="s">
        <v>50</v>
      </c>
      <c r="K47" t="s">
        <v>51</v>
      </c>
      <c r="L47" t="s">
        <v>51</v>
      </c>
      <c r="M47" t="s">
        <v>52</v>
      </c>
      <c r="N47" t="s">
        <v>278</v>
      </c>
      <c r="O47" t="s">
        <v>51</v>
      </c>
      <c r="P47" t="s">
        <v>54</v>
      </c>
      <c r="Q47" t="s">
        <v>51</v>
      </c>
      <c r="R47" t="s">
        <v>55</v>
      </c>
      <c r="S47" s="1">
        <v>889561.62</v>
      </c>
      <c r="T47" s="1">
        <v>2958289.75</v>
      </c>
      <c r="U47" s="1">
        <v>14936810.07</v>
      </c>
      <c r="V47" s="1">
        <v>66780</v>
      </c>
      <c r="W47" t="s">
        <v>51</v>
      </c>
      <c r="X47">
        <v>121610.4</v>
      </c>
      <c r="Y47">
        <v>0</v>
      </c>
      <c r="Z47">
        <v>0</v>
      </c>
      <c r="AA47" s="14">
        <v>-10281440.119999999</v>
      </c>
      <c r="AB47" s="14">
        <v>-315559232.82999998</v>
      </c>
      <c r="AD47">
        <v>0</v>
      </c>
      <c r="AE47">
        <v>9400117.8300000001</v>
      </c>
      <c r="AF47">
        <v>3685417.15</v>
      </c>
      <c r="AG47">
        <v>724948576.66999996</v>
      </c>
      <c r="AH47" s="14">
        <v>731821385.75999999</v>
      </c>
      <c r="AI47">
        <v>0</v>
      </c>
      <c r="AJ47">
        <v>0</v>
      </c>
      <c r="AK47">
        <v>29404405</v>
      </c>
      <c r="AL47">
        <v>29404405</v>
      </c>
      <c r="AM47">
        <v>29404405</v>
      </c>
      <c r="AN47">
        <v>29404405</v>
      </c>
      <c r="AO47">
        <v>0</v>
      </c>
      <c r="AP47">
        <v>0</v>
      </c>
      <c r="AQ47" s="29">
        <f t="shared" si="0"/>
        <v>3.2581648864442765</v>
      </c>
    </row>
    <row r="48" spans="2:43" x14ac:dyDescent="0.3">
      <c r="B48" t="s">
        <v>275</v>
      </c>
      <c r="C48" t="s">
        <v>279</v>
      </c>
      <c r="D48" t="s">
        <v>280</v>
      </c>
      <c r="E48" t="s">
        <v>281</v>
      </c>
      <c r="F48" t="s">
        <v>46</v>
      </c>
      <c r="G48" t="s">
        <v>102</v>
      </c>
      <c r="H48" t="s">
        <v>48</v>
      </c>
      <c r="I48" t="s">
        <v>76</v>
      </c>
      <c r="J48" t="s">
        <v>50</v>
      </c>
      <c r="K48" t="s">
        <v>51</v>
      </c>
      <c r="L48" t="s">
        <v>51</v>
      </c>
      <c r="M48" t="s">
        <v>52</v>
      </c>
      <c r="N48" t="s">
        <v>282</v>
      </c>
      <c r="O48" t="s">
        <v>54</v>
      </c>
      <c r="P48" t="s">
        <v>54</v>
      </c>
      <c r="Q48" t="s">
        <v>51</v>
      </c>
      <c r="R48" t="s">
        <v>55</v>
      </c>
      <c r="S48" s="1">
        <v>135630426.81999999</v>
      </c>
      <c r="T48" s="1">
        <v>121307888.15000001</v>
      </c>
      <c r="U48" s="1">
        <v>136081576.31999999</v>
      </c>
      <c r="V48" s="1">
        <v>0</v>
      </c>
      <c r="W48" t="s">
        <v>51</v>
      </c>
      <c r="X48">
        <v>503399.06</v>
      </c>
      <c r="Y48">
        <v>0</v>
      </c>
      <c r="Z48">
        <v>0</v>
      </c>
      <c r="AA48" s="14">
        <v>-476324.62</v>
      </c>
      <c r="AB48" s="14">
        <v>-93996136.260000005</v>
      </c>
      <c r="AD48">
        <v>0</v>
      </c>
      <c r="AE48">
        <v>125847483.44</v>
      </c>
      <c r="AF48">
        <v>135698855.31999999</v>
      </c>
      <c r="AG48">
        <v>0</v>
      </c>
      <c r="AH48" s="14">
        <v>0</v>
      </c>
      <c r="AI48">
        <v>0</v>
      </c>
      <c r="AJ48">
        <v>0</v>
      </c>
      <c r="AK48">
        <v>0</v>
      </c>
      <c r="AL48">
        <v>0</v>
      </c>
      <c r="AM48">
        <v>2511583.84</v>
      </c>
      <c r="AN48">
        <v>2511583.84</v>
      </c>
      <c r="AO48">
        <v>0</v>
      </c>
      <c r="AP48">
        <v>0</v>
      </c>
      <c r="AQ48" s="29">
        <f t="shared" si="0"/>
        <v>0.50674914837185669</v>
      </c>
    </row>
    <row r="49" spans="2:43" x14ac:dyDescent="0.3">
      <c r="B49" t="s">
        <v>275</v>
      </c>
      <c r="C49" t="s">
        <v>283</v>
      </c>
      <c r="D49" t="s">
        <v>284</v>
      </c>
      <c r="E49" t="s">
        <v>285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K49" t="s">
        <v>51</v>
      </c>
      <c r="L49" t="s">
        <v>51</v>
      </c>
      <c r="M49" t="s">
        <v>52</v>
      </c>
      <c r="N49" t="s">
        <v>286</v>
      </c>
      <c r="O49" t="s">
        <v>54</v>
      </c>
      <c r="P49" t="s">
        <v>54</v>
      </c>
      <c r="Q49" t="s">
        <v>51</v>
      </c>
      <c r="R49" t="s">
        <v>287</v>
      </c>
      <c r="S49" s="1">
        <v>336115591</v>
      </c>
      <c r="T49" s="1">
        <v>58947805</v>
      </c>
      <c r="U49" s="1">
        <v>315592968</v>
      </c>
      <c r="V49" s="1">
        <v>141910</v>
      </c>
      <c r="W49" t="s">
        <v>51</v>
      </c>
      <c r="X49">
        <v>534130</v>
      </c>
      <c r="Y49">
        <v>0</v>
      </c>
      <c r="Z49">
        <v>0</v>
      </c>
      <c r="AA49" s="14">
        <v>23493609</v>
      </c>
      <c r="AB49" s="14">
        <v>40007116</v>
      </c>
      <c r="AD49">
        <v>0</v>
      </c>
      <c r="AE49">
        <v>50337610</v>
      </c>
      <c r="AF49">
        <v>52846766</v>
      </c>
      <c r="AG49">
        <v>0</v>
      </c>
      <c r="AH49" s="14">
        <v>0</v>
      </c>
      <c r="AI49">
        <v>0</v>
      </c>
      <c r="AJ49">
        <v>0</v>
      </c>
      <c r="AK49">
        <v>100</v>
      </c>
      <c r="AL49">
        <v>100</v>
      </c>
      <c r="AM49">
        <v>50000</v>
      </c>
      <c r="AN49">
        <v>13748706</v>
      </c>
      <c r="AO49">
        <v>0</v>
      </c>
      <c r="AP49">
        <v>0</v>
      </c>
      <c r="AQ49" s="29">
        <f t="shared" si="0"/>
        <v>58.723575575905045</v>
      </c>
    </row>
    <row r="50" spans="2:43" x14ac:dyDescent="0.3">
      <c r="B50" t="s">
        <v>275</v>
      </c>
      <c r="C50" t="s">
        <v>288</v>
      </c>
      <c r="D50" t="s">
        <v>289</v>
      </c>
      <c r="E50" t="s">
        <v>290</v>
      </c>
      <c r="F50" t="s">
        <v>46</v>
      </c>
      <c r="G50" t="s">
        <v>65</v>
      </c>
      <c r="H50" t="s">
        <v>60</v>
      </c>
      <c r="I50" t="s">
        <v>49</v>
      </c>
      <c r="J50" t="s">
        <v>50</v>
      </c>
      <c r="K50" t="s">
        <v>51</v>
      </c>
      <c r="L50" t="s">
        <v>51</v>
      </c>
      <c r="M50" t="s">
        <v>134</v>
      </c>
      <c r="N50" t="s">
        <v>291</v>
      </c>
      <c r="O50" t="s">
        <v>54</v>
      </c>
      <c r="P50" t="s">
        <v>54</v>
      </c>
      <c r="Q50" t="s">
        <v>51</v>
      </c>
      <c r="R50" t="s">
        <v>55</v>
      </c>
      <c r="S50" s="1">
        <v>58806792.469999999</v>
      </c>
      <c r="T50" s="1">
        <v>22091401.059999999</v>
      </c>
      <c r="U50" s="1">
        <v>68162153.469999999</v>
      </c>
      <c r="V50" s="1">
        <v>26175954</v>
      </c>
      <c r="W50" t="s">
        <v>51</v>
      </c>
      <c r="X50">
        <v>282690.40000000002</v>
      </c>
      <c r="Y50">
        <v>0</v>
      </c>
      <c r="Z50">
        <v>0</v>
      </c>
      <c r="AA50" s="14">
        <v>16820593</v>
      </c>
      <c r="AB50" s="14">
        <v>227573064.31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18922127</v>
      </c>
      <c r="AK50">
        <v>124633269</v>
      </c>
      <c r="AL50">
        <v>135966352</v>
      </c>
      <c r="AM50">
        <v>151568606</v>
      </c>
      <c r="AN50">
        <v>170490733.16999999</v>
      </c>
      <c r="AO50">
        <v>0</v>
      </c>
      <c r="AP50">
        <v>0</v>
      </c>
      <c r="AQ50" s="29">
        <f t="shared" si="0"/>
        <v>7.391293451621757</v>
      </c>
    </row>
    <row r="51" spans="2:43" x14ac:dyDescent="0.3">
      <c r="B51" t="s">
        <v>275</v>
      </c>
      <c r="C51" t="s">
        <v>292</v>
      </c>
      <c r="D51" t="s">
        <v>293</v>
      </c>
      <c r="E51" t="s">
        <v>294</v>
      </c>
      <c r="F51" t="s">
        <v>46</v>
      </c>
      <c r="G51" t="s">
        <v>107</v>
      </c>
      <c r="H51" t="s">
        <v>60</v>
      </c>
      <c r="I51" t="s">
        <v>49</v>
      </c>
      <c r="J51" t="s">
        <v>50</v>
      </c>
      <c r="K51" t="s">
        <v>51</v>
      </c>
      <c r="L51" t="s">
        <v>51</v>
      </c>
      <c r="M51" t="s">
        <v>134</v>
      </c>
      <c r="N51" t="s">
        <v>295</v>
      </c>
      <c r="O51" t="s">
        <v>54</v>
      </c>
      <c r="P51" t="s">
        <v>54</v>
      </c>
      <c r="Q51" t="s">
        <v>54</v>
      </c>
      <c r="R51" t="s">
        <v>296</v>
      </c>
      <c r="S51" s="1">
        <v>3137018287.46</v>
      </c>
      <c r="T51" s="1">
        <v>750561236.65999997</v>
      </c>
      <c r="U51" s="1">
        <v>4102888488.98</v>
      </c>
      <c r="V51" s="1">
        <v>1319920214.5</v>
      </c>
      <c r="W51" t="s">
        <v>54</v>
      </c>
      <c r="X51">
        <v>796275.06</v>
      </c>
      <c r="Y51">
        <v>51422.73</v>
      </c>
      <c r="Z51">
        <v>64733.55</v>
      </c>
      <c r="AA51" s="14">
        <v>354050012.94</v>
      </c>
      <c r="AB51" s="14">
        <v>3317676522.0100002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38334495.700000003</v>
      </c>
      <c r="AJ51">
        <v>82919564.620000005</v>
      </c>
      <c r="AK51">
        <v>164603035</v>
      </c>
      <c r="AL51">
        <v>169275465</v>
      </c>
      <c r="AM51">
        <v>2169101698.3000002</v>
      </c>
      <c r="AN51">
        <v>2336259188.1100001</v>
      </c>
      <c r="AO51">
        <v>0</v>
      </c>
      <c r="AP51">
        <v>0</v>
      </c>
      <c r="AQ51" s="29">
        <f t="shared" si="0"/>
        <v>10.671625476178139</v>
      </c>
    </row>
    <row r="52" spans="2:43" x14ac:dyDescent="0.3">
      <c r="B52" t="s">
        <v>275</v>
      </c>
      <c r="C52" t="s">
        <v>297</v>
      </c>
      <c r="D52" t="s">
        <v>298</v>
      </c>
      <c r="E52" t="s">
        <v>299</v>
      </c>
      <c r="F52" t="s">
        <v>46</v>
      </c>
      <c r="G52" t="s">
        <v>133</v>
      </c>
      <c r="H52" t="s">
        <v>60</v>
      </c>
      <c r="I52" t="s">
        <v>49</v>
      </c>
      <c r="J52" t="s">
        <v>50</v>
      </c>
      <c r="K52" t="s">
        <v>51</v>
      </c>
      <c r="L52" t="s">
        <v>51</v>
      </c>
      <c r="M52" t="s">
        <v>134</v>
      </c>
      <c r="N52" t="s">
        <v>300</v>
      </c>
      <c r="O52" t="s">
        <v>54</v>
      </c>
      <c r="P52" t="s">
        <v>54</v>
      </c>
      <c r="Q52" t="s">
        <v>51</v>
      </c>
      <c r="R52" t="s">
        <v>301</v>
      </c>
      <c r="S52" s="1">
        <v>6085723.7599999998</v>
      </c>
      <c r="T52" s="1">
        <v>4250289.68</v>
      </c>
      <c r="U52" s="1">
        <v>5176423.6399999997</v>
      </c>
      <c r="V52" s="1">
        <v>88157.72</v>
      </c>
      <c r="W52" t="s">
        <v>51</v>
      </c>
      <c r="X52">
        <v>193581.5</v>
      </c>
      <c r="Y52">
        <v>0</v>
      </c>
      <c r="Z52">
        <v>0</v>
      </c>
      <c r="AA52" s="14">
        <v>-245882.77</v>
      </c>
      <c r="AB52" s="14">
        <v>1042708.63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4999999</v>
      </c>
      <c r="AL52">
        <v>4999999</v>
      </c>
      <c r="AM52">
        <v>5000000</v>
      </c>
      <c r="AN52">
        <v>5000000</v>
      </c>
      <c r="AO52">
        <v>0</v>
      </c>
      <c r="AP52">
        <v>0</v>
      </c>
      <c r="AQ52" s="29">
        <f t="shared" si="0"/>
        <v>-23.581158046040148</v>
      </c>
    </row>
    <row r="53" spans="2:43" x14ac:dyDescent="0.3">
      <c r="B53" t="s">
        <v>275</v>
      </c>
      <c r="C53" t="s">
        <v>302</v>
      </c>
      <c r="D53" t="s">
        <v>303</v>
      </c>
      <c r="E53" t="s">
        <v>304</v>
      </c>
      <c r="F53" t="s">
        <v>46</v>
      </c>
      <c r="G53" t="s">
        <v>75</v>
      </c>
      <c r="H53" t="s">
        <v>60</v>
      </c>
      <c r="I53" t="s">
        <v>49</v>
      </c>
      <c r="J53" t="s">
        <v>50</v>
      </c>
      <c r="K53" t="s">
        <v>51</v>
      </c>
      <c r="L53" t="s">
        <v>51</v>
      </c>
      <c r="M53" t="s">
        <v>134</v>
      </c>
      <c r="N53" t="s">
        <v>305</v>
      </c>
      <c r="O53" t="s">
        <v>54</v>
      </c>
      <c r="P53" t="s">
        <v>54</v>
      </c>
      <c r="Q53" t="s">
        <v>51</v>
      </c>
      <c r="R53" t="s">
        <v>55</v>
      </c>
      <c r="S53" s="1">
        <v>34174606</v>
      </c>
      <c r="T53" s="1">
        <v>18912827</v>
      </c>
      <c r="U53" s="1">
        <v>34254277</v>
      </c>
      <c r="V53" s="1">
        <v>0</v>
      </c>
      <c r="W53" t="s">
        <v>51</v>
      </c>
      <c r="X53">
        <v>180982.64</v>
      </c>
      <c r="Y53">
        <v>0</v>
      </c>
      <c r="Z53">
        <v>0</v>
      </c>
      <c r="AA53" s="14">
        <v>66798</v>
      </c>
      <c r="AB53" s="14">
        <v>7171691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3729073</v>
      </c>
      <c r="AL53">
        <v>3729073</v>
      </c>
      <c r="AM53">
        <v>3729073</v>
      </c>
      <c r="AN53">
        <v>3729073</v>
      </c>
      <c r="AO53">
        <v>0</v>
      </c>
      <c r="AP53">
        <v>0</v>
      </c>
      <c r="AQ53" s="29">
        <f t="shared" si="0"/>
        <v>0.93141213139272172</v>
      </c>
    </row>
    <row r="54" spans="2:43" x14ac:dyDescent="0.3">
      <c r="B54" t="s">
        <v>275</v>
      </c>
      <c r="C54" t="s">
        <v>306</v>
      </c>
      <c r="D54" t="s">
        <v>307</v>
      </c>
      <c r="E54" t="s">
        <v>308</v>
      </c>
      <c r="F54" t="s">
        <v>46</v>
      </c>
      <c r="G54" t="s">
        <v>139</v>
      </c>
      <c r="H54" t="s">
        <v>60</v>
      </c>
      <c r="I54" t="s">
        <v>49</v>
      </c>
      <c r="J54" t="s">
        <v>50</v>
      </c>
      <c r="K54" t="s">
        <v>51</v>
      </c>
      <c r="L54" t="s">
        <v>51</v>
      </c>
      <c r="M54" t="s">
        <v>134</v>
      </c>
      <c r="N54" t="s">
        <v>309</v>
      </c>
      <c r="O54" t="s">
        <v>54</v>
      </c>
      <c r="P54" t="s">
        <v>54</v>
      </c>
      <c r="Q54" t="s">
        <v>54</v>
      </c>
      <c r="R54" t="s">
        <v>310</v>
      </c>
      <c r="S54" s="1">
        <v>647904534.29999995</v>
      </c>
      <c r="T54" s="1">
        <v>14145214.57</v>
      </c>
      <c r="U54" s="1">
        <v>718676601.82000005</v>
      </c>
      <c r="V54" s="1">
        <v>35321589.490000002</v>
      </c>
      <c r="W54" t="s">
        <v>54</v>
      </c>
      <c r="X54">
        <v>403935.4</v>
      </c>
      <c r="Y54">
        <v>44869</v>
      </c>
      <c r="Z54">
        <v>0</v>
      </c>
      <c r="AA54" s="14">
        <v>53836634.670000002</v>
      </c>
      <c r="AB54" s="14">
        <v>272709448.97000003</v>
      </c>
      <c r="AD54">
        <v>11982824.789999999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11449572</v>
      </c>
      <c r="AL54">
        <v>11449572</v>
      </c>
      <c r="AM54">
        <v>54393290.270000003</v>
      </c>
      <c r="AN54">
        <v>58681099.810000002</v>
      </c>
      <c r="AO54">
        <v>0</v>
      </c>
      <c r="AP54">
        <v>0</v>
      </c>
      <c r="AQ54" s="29">
        <f t="shared" si="0"/>
        <v>19.741389553363959</v>
      </c>
    </row>
    <row r="55" spans="2:43" x14ac:dyDescent="0.3">
      <c r="B55" t="s">
        <v>275</v>
      </c>
      <c r="C55" t="s">
        <v>311</v>
      </c>
      <c r="D55" t="s">
        <v>312</v>
      </c>
      <c r="E55" t="s">
        <v>313</v>
      </c>
      <c r="F55" t="s">
        <v>46</v>
      </c>
      <c r="G55" t="s">
        <v>314</v>
      </c>
      <c r="H55" t="s">
        <v>60</v>
      </c>
      <c r="I55" t="s">
        <v>49</v>
      </c>
      <c r="J55" t="s">
        <v>50</v>
      </c>
      <c r="K55" t="s">
        <v>51</v>
      </c>
      <c r="L55" t="s">
        <v>51</v>
      </c>
      <c r="M55" t="s">
        <v>134</v>
      </c>
      <c r="N55" t="s">
        <v>219</v>
      </c>
      <c r="O55" t="s">
        <v>54</v>
      </c>
      <c r="P55" t="s">
        <v>54</v>
      </c>
      <c r="Q55" t="s">
        <v>54</v>
      </c>
      <c r="R55" t="s">
        <v>315</v>
      </c>
      <c r="S55" s="1">
        <v>291104183.95999998</v>
      </c>
      <c r="T55" s="1">
        <v>94346584.5</v>
      </c>
      <c r="U55" s="1">
        <v>209076283.08000001</v>
      </c>
      <c r="V55" s="1">
        <v>49933261.369999997</v>
      </c>
      <c r="W55" t="s">
        <v>51</v>
      </c>
      <c r="X55">
        <v>626720.41</v>
      </c>
      <c r="Y55">
        <v>0</v>
      </c>
      <c r="Z55">
        <v>68522.289999999994</v>
      </c>
      <c r="AA55" s="14">
        <v>98567134.510000005</v>
      </c>
      <c r="AB55" s="14">
        <v>1350756494.48</v>
      </c>
      <c r="AC55">
        <v>1350756494.48</v>
      </c>
      <c r="AD55">
        <v>17219203.34</v>
      </c>
      <c r="AE55">
        <v>0</v>
      </c>
      <c r="AF55">
        <v>0</v>
      </c>
      <c r="AG55">
        <v>600274.64</v>
      </c>
      <c r="AH55">
        <v>2645714.34</v>
      </c>
      <c r="AI55">
        <v>0</v>
      </c>
      <c r="AJ55">
        <v>0</v>
      </c>
      <c r="AK55">
        <v>123848859</v>
      </c>
      <c r="AL55">
        <v>123848859</v>
      </c>
      <c r="AM55">
        <v>748760646.33000004</v>
      </c>
      <c r="AN55">
        <v>748760646.33000004</v>
      </c>
      <c r="AO55">
        <v>0</v>
      </c>
      <c r="AP55">
        <v>0</v>
      </c>
      <c r="AQ55" s="29">
        <f t="shared" si="0"/>
        <v>7.2971801292686242</v>
      </c>
    </row>
    <row r="56" spans="2:43" x14ac:dyDescent="0.3">
      <c r="B56" t="s">
        <v>275</v>
      </c>
      <c r="C56" t="s">
        <v>316</v>
      </c>
      <c r="D56" t="s">
        <v>317</v>
      </c>
      <c r="E56" t="s">
        <v>318</v>
      </c>
      <c r="F56" t="s">
        <v>46</v>
      </c>
      <c r="G56" t="s">
        <v>107</v>
      </c>
      <c r="H56" t="s">
        <v>60</v>
      </c>
      <c r="I56" t="s">
        <v>49</v>
      </c>
      <c r="J56" t="s">
        <v>50</v>
      </c>
      <c r="K56" t="s">
        <v>51</v>
      </c>
      <c r="L56" t="s">
        <v>51</v>
      </c>
      <c r="M56" t="s">
        <v>134</v>
      </c>
      <c r="N56" t="s">
        <v>319</v>
      </c>
      <c r="O56" t="s">
        <v>54</v>
      </c>
      <c r="P56" t="s">
        <v>54</v>
      </c>
      <c r="Q56" t="s">
        <v>54</v>
      </c>
      <c r="R56" t="s">
        <v>320</v>
      </c>
      <c r="S56" s="1">
        <v>228237130</v>
      </c>
      <c r="T56" s="1">
        <v>110210112</v>
      </c>
      <c r="U56" s="1">
        <v>221229629</v>
      </c>
      <c r="V56" s="1">
        <v>13273633</v>
      </c>
      <c r="W56" t="s">
        <v>54</v>
      </c>
      <c r="X56">
        <v>561341.06000000006</v>
      </c>
      <c r="Y56">
        <v>33292.639999999999</v>
      </c>
      <c r="Z56">
        <v>0</v>
      </c>
      <c r="AA56" s="14">
        <v>14241975</v>
      </c>
      <c r="AB56" s="14">
        <v>275152984</v>
      </c>
      <c r="AC56">
        <v>275152984</v>
      </c>
      <c r="AD56">
        <v>1201000</v>
      </c>
      <c r="AE56">
        <v>0</v>
      </c>
      <c r="AF56">
        <v>0</v>
      </c>
      <c r="AG56">
        <v>0</v>
      </c>
      <c r="AH56">
        <v>0</v>
      </c>
      <c r="AI56">
        <v>3350355</v>
      </c>
      <c r="AJ56">
        <v>5701731</v>
      </c>
      <c r="AK56">
        <v>161410751</v>
      </c>
      <c r="AL56">
        <v>161410758</v>
      </c>
      <c r="AM56">
        <v>152912091</v>
      </c>
      <c r="AN56">
        <v>158613822</v>
      </c>
      <c r="AO56">
        <v>8498667</v>
      </c>
      <c r="AP56">
        <v>2796936</v>
      </c>
      <c r="AQ56" s="29">
        <f t="shared" si="0"/>
        <v>5.176020551534342</v>
      </c>
    </row>
    <row r="57" spans="2:43" x14ac:dyDescent="0.3">
      <c r="B57" t="s">
        <v>275</v>
      </c>
      <c r="C57" t="s">
        <v>321</v>
      </c>
      <c r="D57" t="s">
        <v>322</v>
      </c>
      <c r="E57" t="s">
        <v>323</v>
      </c>
      <c r="F57" t="s">
        <v>46</v>
      </c>
      <c r="G57" t="s">
        <v>240</v>
      </c>
      <c r="H57" t="s">
        <v>60</v>
      </c>
      <c r="I57" t="s">
        <v>49</v>
      </c>
      <c r="J57" t="s">
        <v>50</v>
      </c>
      <c r="K57" t="s">
        <v>51</v>
      </c>
      <c r="L57" t="s">
        <v>51</v>
      </c>
      <c r="M57" s="11" t="s">
        <v>134</v>
      </c>
      <c r="N57" t="s">
        <v>324</v>
      </c>
      <c r="O57" t="s">
        <v>54</v>
      </c>
      <c r="P57" t="s">
        <v>54</v>
      </c>
      <c r="Q57" t="s">
        <v>54</v>
      </c>
      <c r="R57" t="s">
        <v>325</v>
      </c>
      <c r="S57" s="1">
        <v>244101816.68000001</v>
      </c>
      <c r="T57" s="1">
        <v>132754655.79000001</v>
      </c>
      <c r="U57" s="1">
        <v>369161449.20999998</v>
      </c>
      <c r="V57" s="1">
        <v>8617638.5399999991</v>
      </c>
      <c r="W57" t="s">
        <v>51</v>
      </c>
      <c r="X57">
        <v>326294.08</v>
      </c>
      <c r="Y57">
        <v>0</v>
      </c>
      <c r="Z57">
        <v>0</v>
      </c>
      <c r="AA57" s="14">
        <v>-67338882.650000006</v>
      </c>
      <c r="AB57" s="14">
        <v>915953575.92999995</v>
      </c>
      <c r="AD57">
        <v>0</v>
      </c>
      <c r="AE57">
        <v>194001671.97999999</v>
      </c>
      <c r="AF57" s="14">
        <v>215011888.31</v>
      </c>
      <c r="AG57">
        <v>0</v>
      </c>
      <c r="AH57" s="14">
        <v>0</v>
      </c>
      <c r="AI57">
        <v>4400000</v>
      </c>
      <c r="AJ57">
        <v>4000000</v>
      </c>
      <c r="AK57">
        <v>2995022400</v>
      </c>
      <c r="AL57">
        <v>3000302400</v>
      </c>
      <c r="AM57">
        <v>2495852000</v>
      </c>
      <c r="AN57">
        <v>2500252000</v>
      </c>
      <c r="AO57">
        <v>0</v>
      </c>
      <c r="AP57">
        <v>0</v>
      </c>
      <c r="AQ57" s="29">
        <f t="shared" si="0"/>
        <v>-7.3517790005490689</v>
      </c>
    </row>
    <row r="58" spans="2:43" x14ac:dyDescent="0.3">
      <c r="B58" t="s">
        <v>275</v>
      </c>
      <c r="C58" t="s">
        <v>326</v>
      </c>
      <c r="D58" t="s">
        <v>327</v>
      </c>
      <c r="E58" t="s">
        <v>328</v>
      </c>
      <c r="F58" t="s">
        <v>46</v>
      </c>
      <c r="G58" t="s">
        <v>65</v>
      </c>
      <c r="H58" t="s">
        <v>60</v>
      </c>
      <c r="I58" t="s">
        <v>49</v>
      </c>
      <c r="J58" t="s">
        <v>50</v>
      </c>
      <c r="K58" t="s">
        <v>51</v>
      </c>
      <c r="L58" t="s">
        <v>54</v>
      </c>
      <c r="M58" t="s">
        <v>134</v>
      </c>
      <c r="N58" t="s">
        <v>103</v>
      </c>
      <c r="O58" t="s">
        <v>54</v>
      </c>
      <c r="P58" t="s">
        <v>54</v>
      </c>
      <c r="Q58" t="s">
        <v>51</v>
      </c>
      <c r="R58" t="s">
        <v>329</v>
      </c>
      <c r="S58" s="1">
        <v>44297902.909999996</v>
      </c>
      <c r="T58" s="1">
        <v>17924084.109999999</v>
      </c>
      <c r="U58" s="1">
        <v>29998259.710000001</v>
      </c>
      <c r="V58" s="1">
        <v>3495688.47</v>
      </c>
      <c r="W58" t="s">
        <v>54</v>
      </c>
      <c r="X58">
        <v>287117.15999999997</v>
      </c>
      <c r="Y58">
        <v>147625.29999999999</v>
      </c>
      <c r="Z58">
        <v>0</v>
      </c>
      <c r="AA58" s="14">
        <v>13568036.050000001</v>
      </c>
      <c r="AB58" s="14">
        <v>35820464.140000001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29">
        <f t="shared" si="0"/>
        <v>37.877890127193645</v>
      </c>
    </row>
    <row r="59" spans="2:43" x14ac:dyDescent="0.3">
      <c r="B59" t="s">
        <v>330</v>
      </c>
      <c r="C59" t="s">
        <v>331</v>
      </c>
      <c r="D59" t="s">
        <v>332</v>
      </c>
      <c r="E59" t="s">
        <v>333</v>
      </c>
      <c r="F59" t="s">
        <v>46</v>
      </c>
      <c r="G59" t="s">
        <v>133</v>
      </c>
      <c r="H59" t="s">
        <v>48</v>
      </c>
      <c r="I59" t="s">
        <v>49</v>
      </c>
      <c r="J59" t="s">
        <v>50</v>
      </c>
      <c r="K59" t="s">
        <v>51</v>
      </c>
      <c r="L59" t="s">
        <v>54</v>
      </c>
      <c r="M59" t="s">
        <v>52</v>
      </c>
      <c r="N59" t="s">
        <v>129</v>
      </c>
      <c r="O59" t="s">
        <v>54</v>
      </c>
      <c r="P59" t="s">
        <v>54</v>
      </c>
      <c r="Q59" t="s">
        <v>51</v>
      </c>
      <c r="R59" t="s">
        <v>55</v>
      </c>
      <c r="S59" s="1">
        <v>0</v>
      </c>
      <c r="T59" s="1">
        <v>1328051.04</v>
      </c>
      <c r="U59" s="1">
        <v>1363008.78</v>
      </c>
      <c r="V59" s="1">
        <v>0</v>
      </c>
      <c r="W59" t="s">
        <v>51</v>
      </c>
      <c r="X59">
        <v>128223.55</v>
      </c>
      <c r="Y59">
        <v>0</v>
      </c>
      <c r="Z59">
        <v>0</v>
      </c>
      <c r="AA59" s="14">
        <v>-96518.78</v>
      </c>
      <c r="AB59" s="14">
        <v>-355358.16</v>
      </c>
      <c r="AD59">
        <v>0</v>
      </c>
      <c r="AE59">
        <v>1480509.27</v>
      </c>
      <c r="AF59">
        <v>1363008.78</v>
      </c>
      <c r="AG59">
        <v>69761.27</v>
      </c>
      <c r="AH59" s="14">
        <v>95150.19</v>
      </c>
      <c r="AI59">
        <v>0</v>
      </c>
      <c r="AJ59">
        <v>0</v>
      </c>
      <c r="AK59">
        <v>1226666971</v>
      </c>
      <c r="AL59">
        <v>1226666971</v>
      </c>
      <c r="AM59">
        <v>1226666971</v>
      </c>
      <c r="AN59">
        <v>1226666971</v>
      </c>
      <c r="AO59">
        <v>0</v>
      </c>
      <c r="AP59">
        <v>0</v>
      </c>
      <c r="AQ59" s="29">
        <f t="shared" si="0"/>
        <v>27.16098597538889</v>
      </c>
    </row>
    <row r="60" spans="2:43" x14ac:dyDescent="0.3">
      <c r="B60" t="s">
        <v>330</v>
      </c>
      <c r="C60" t="s">
        <v>334</v>
      </c>
      <c r="D60" t="s">
        <v>335</v>
      </c>
      <c r="E60" t="s">
        <v>336</v>
      </c>
      <c r="F60" t="s">
        <v>46</v>
      </c>
      <c r="G60" t="s">
        <v>93</v>
      </c>
      <c r="H60" t="s">
        <v>48</v>
      </c>
      <c r="I60" t="s">
        <v>76</v>
      </c>
      <c r="J60" t="s">
        <v>50</v>
      </c>
      <c r="K60" t="s">
        <v>51</v>
      </c>
      <c r="L60" t="s">
        <v>51</v>
      </c>
      <c r="M60" t="s">
        <v>52</v>
      </c>
      <c r="N60" t="s">
        <v>337</v>
      </c>
      <c r="O60" t="s">
        <v>54</v>
      </c>
      <c r="P60" t="s">
        <v>54</v>
      </c>
      <c r="Q60" t="s">
        <v>54</v>
      </c>
      <c r="R60" t="s">
        <v>55</v>
      </c>
      <c r="S60" s="1">
        <v>12622751.58</v>
      </c>
      <c r="T60" s="1">
        <v>42072586.509999998</v>
      </c>
      <c r="U60" s="1">
        <v>69122330.090000004</v>
      </c>
      <c r="V60" s="1">
        <v>0</v>
      </c>
      <c r="W60" t="s">
        <v>51</v>
      </c>
      <c r="X60">
        <v>242075.5</v>
      </c>
      <c r="Y60">
        <v>0</v>
      </c>
      <c r="Z60">
        <v>0</v>
      </c>
      <c r="AA60" s="14">
        <v>-56499578.509999998</v>
      </c>
      <c r="AB60" s="14">
        <v>233776023.19</v>
      </c>
      <c r="AD60">
        <v>0</v>
      </c>
      <c r="AE60">
        <v>85133717.780000001</v>
      </c>
      <c r="AF60">
        <v>100786406.64</v>
      </c>
      <c r="AG60">
        <v>0</v>
      </c>
      <c r="AH60" s="14">
        <v>0</v>
      </c>
      <c r="AI60">
        <v>0</v>
      </c>
      <c r="AJ60">
        <v>0</v>
      </c>
      <c r="AK60">
        <v>0</v>
      </c>
      <c r="AL60">
        <v>0</v>
      </c>
      <c r="AM60">
        <v>37029932</v>
      </c>
      <c r="AN60">
        <v>37029932</v>
      </c>
      <c r="AO60">
        <v>37029932</v>
      </c>
      <c r="AP60">
        <v>37029932</v>
      </c>
      <c r="AQ60" s="29">
        <f t="shared" si="0"/>
        <v>-24.168252046994709</v>
      </c>
    </row>
    <row r="61" spans="2:43" x14ac:dyDescent="0.3">
      <c r="B61" t="s">
        <v>330</v>
      </c>
      <c r="C61" t="s">
        <v>338</v>
      </c>
      <c r="D61" t="s">
        <v>339</v>
      </c>
      <c r="E61" t="s">
        <v>340</v>
      </c>
      <c r="F61" t="s">
        <v>46</v>
      </c>
      <c r="G61" t="s">
        <v>102</v>
      </c>
      <c r="H61" t="s">
        <v>48</v>
      </c>
      <c r="I61" t="s">
        <v>76</v>
      </c>
      <c r="J61" t="s">
        <v>50</v>
      </c>
      <c r="K61" t="s">
        <v>51</v>
      </c>
      <c r="L61" t="s">
        <v>51</v>
      </c>
      <c r="M61" t="s">
        <v>52</v>
      </c>
      <c r="N61" t="s">
        <v>341</v>
      </c>
      <c r="O61" t="s">
        <v>54</v>
      </c>
      <c r="P61" t="s">
        <v>54</v>
      </c>
      <c r="Q61" t="s">
        <v>54</v>
      </c>
      <c r="R61" t="s">
        <v>342</v>
      </c>
      <c r="S61" s="1">
        <v>55522.87</v>
      </c>
      <c r="T61" s="1">
        <v>139373719.37</v>
      </c>
      <c r="U61" s="1">
        <v>161187692.62</v>
      </c>
      <c r="V61" s="1">
        <v>0</v>
      </c>
      <c r="W61" t="s">
        <v>51</v>
      </c>
      <c r="X61">
        <v>712722.87</v>
      </c>
      <c r="Y61">
        <v>0</v>
      </c>
      <c r="Z61">
        <v>0</v>
      </c>
      <c r="AA61" s="14">
        <v>19285188.129999999</v>
      </c>
      <c r="AB61" s="14">
        <v>677760.52</v>
      </c>
      <c r="AD61">
        <v>0</v>
      </c>
      <c r="AE61">
        <v>133796149.77</v>
      </c>
      <c r="AF61">
        <v>147655864.81999999</v>
      </c>
      <c r="AG61">
        <v>0</v>
      </c>
      <c r="AH61" s="14">
        <v>0</v>
      </c>
      <c r="AI61">
        <v>0</v>
      </c>
      <c r="AJ61">
        <v>0</v>
      </c>
      <c r="AK61">
        <v>0</v>
      </c>
      <c r="AL61">
        <v>0</v>
      </c>
      <c r="AM61">
        <v>677760.52</v>
      </c>
      <c r="AN61">
        <v>677760.52</v>
      </c>
      <c r="AO61">
        <v>10350559.109999999</v>
      </c>
      <c r="AP61">
        <v>10350559.109999999</v>
      </c>
      <c r="AQ61" s="29">
        <f t="shared" si="0"/>
        <v>2845.4280768670324</v>
      </c>
    </row>
    <row r="62" spans="2:43" x14ac:dyDescent="0.3">
      <c r="B62" t="s">
        <v>330</v>
      </c>
      <c r="C62" t="s">
        <v>343</v>
      </c>
      <c r="D62" t="s">
        <v>344</v>
      </c>
      <c r="E62" t="s">
        <v>345</v>
      </c>
      <c r="F62" t="s">
        <v>46</v>
      </c>
      <c r="G62" t="s">
        <v>65</v>
      </c>
      <c r="H62" t="s">
        <v>60</v>
      </c>
      <c r="I62" t="s">
        <v>49</v>
      </c>
      <c r="J62" t="s">
        <v>50</v>
      </c>
      <c r="K62" t="s">
        <v>51</v>
      </c>
      <c r="L62" t="s">
        <v>54</v>
      </c>
      <c r="M62" t="s">
        <v>52</v>
      </c>
      <c r="N62" t="s">
        <v>346</v>
      </c>
      <c r="O62" t="s">
        <v>54</v>
      </c>
      <c r="P62" t="s">
        <v>54</v>
      </c>
      <c r="Q62" t="s">
        <v>54</v>
      </c>
      <c r="R62" t="s">
        <v>55</v>
      </c>
      <c r="S62" s="1">
        <v>0</v>
      </c>
      <c r="T62" s="1">
        <v>7222325.5700000003</v>
      </c>
      <c r="U62" s="1">
        <v>10203665.640000001</v>
      </c>
      <c r="V62" s="1">
        <v>859790</v>
      </c>
      <c r="W62" t="s">
        <v>54</v>
      </c>
      <c r="X62">
        <v>561405.34</v>
      </c>
      <c r="Y62">
        <v>15889.45</v>
      </c>
      <c r="Z62">
        <v>33884.160000000003</v>
      </c>
      <c r="AA62" s="14">
        <v>-9380301</v>
      </c>
      <c r="AB62" s="14">
        <v>880741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5840466.29</v>
      </c>
      <c r="AJ62">
        <v>10203665.640000001</v>
      </c>
      <c r="AK62">
        <v>10</v>
      </c>
      <c r="AL62">
        <v>100</v>
      </c>
      <c r="AM62">
        <v>50000</v>
      </c>
      <c r="AN62">
        <v>50000</v>
      </c>
      <c r="AO62">
        <v>45000</v>
      </c>
      <c r="AP62">
        <v>0</v>
      </c>
      <c r="AQ62" s="29">
        <f t="shared" si="0"/>
        <v>-1065.0464779089425</v>
      </c>
    </row>
    <row r="63" spans="2:43" x14ac:dyDescent="0.3">
      <c r="B63" t="s">
        <v>330</v>
      </c>
      <c r="C63" t="s">
        <v>347</v>
      </c>
      <c r="D63" t="s">
        <v>348</v>
      </c>
      <c r="E63" t="s">
        <v>349</v>
      </c>
      <c r="F63" t="s">
        <v>46</v>
      </c>
      <c r="G63" t="s">
        <v>240</v>
      </c>
      <c r="H63" t="s">
        <v>48</v>
      </c>
      <c r="I63" t="s">
        <v>76</v>
      </c>
      <c r="J63" t="s">
        <v>50</v>
      </c>
      <c r="K63" t="s">
        <v>51</v>
      </c>
      <c r="L63" t="s">
        <v>51</v>
      </c>
      <c r="M63" t="s">
        <v>52</v>
      </c>
      <c r="N63" t="s">
        <v>350</v>
      </c>
      <c r="O63" t="s">
        <v>54</v>
      </c>
      <c r="P63" t="s">
        <v>54</v>
      </c>
      <c r="Q63" t="s">
        <v>51</v>
      </c>
      <c r="R63" t="s">
        <v>351</v>
      </c>
      <c r="S63" s="1">
        <v>192510639.05000001</v>
      </c>
      <c r="T63" s="1">
        <v>310291677.88999999</v>
      </c>
      <c r="U63" s="1">
        <v>1116894177.4300001</v>
      </c>
      <c r="V63" s="1">
        <v>51402371.659999996</v>
      </c>
      <c r="W63" t="s">
        <v>51</v>
      </c>
      <c r="X63">
        <v>812490.74</v>
      </c>
      <c r="Y63">
        <v>0</v>
      </c>
      <c r="Z63">
        <v>23512.62</v>
      </c>
      <c r="AA63" s="14">
        <v>-540400194.94000006</v>
      </c>
      <c r="AB63" s="14">
        <v>1368475260.0699999</v>
      </c>
      <c r="AD63">
        <v>0</v>
      </c>
      <c r="AE63">
        <v>369615946.13</v>
      </c>
      <c r="AF63">
        <v>468667402.27999997</v>
      </c>
      <c r="AG63">
        <v>0</v>
      </c>
      <c r="AH63" s="14">
        <v>0</v>
      </c>
      <c r="AI63">
        <v>2233538.6</v>
      </c>
      <c r="AJ63">
        <v>44635186.689999998</v>
      </c>
      <c r="AK63">
        <v>30689692</v>
      </c>
      <c r="AL63">
        <v>30713387</v>
      </c>
      <c r="AM63">
        <v>2893424161.7600002</v>
      </c>
      <c r="AN63">
        <v>2895658126.3600001</v>
      </c>
      <c r="AO63">
        <v>2233538.6</v>
      </c>
      <c r="AP63">
        <v>44635186.689999998</v>
      </c>
      <c r="AQ63" s="29">
        <f t="shared" si="0"/>
        <v>-39.489219184887396</v>
      </c>
    </row>
    <row r="64" spans="2:43" x14ac:dyDescent="0.3">
      <c r="B64" t="s">
        <v>330</v>
      </c>
      <c r="C64" t="s">
        <v>352</v>
      </c>
      <c r="D64" t="s">
        <v>353</v>
      </c>
      <c r="E64" t="s">
        <v>354</v>
      </c>
      <c r="F64" t="s">
        <v>46</v>
      </c>
      <c r="G64" t="s">
        <v>93</v>
      </c>
      <c r="H64" t="s">
        <v>48</v>
      </c>
      <c r="I64" t="s">
        <v>49</v>
      </c>
      <c r="J64" t="s">
        <v>50</v>
      </c>
      <c r="K64" t="s">
        <v>51</v>
      </c>
      <c r="L64" t="s">
        <v>51</v>
      </c>
      <c r="M64" t="s">
        <v>52</v>
      </c>
      <c r="N64" t="s">
        <v>355</v>
      </c>
      <c r="O64" t="s">
        <v>54</v>
      </c>
      <c r="P64" t="s">
        <v>54</v>
      </c>
      <c r="Q64" t="s">
        <v>51</v>
      </c>
      <c r="R64" t="s">
        <v>55</v>
      </c>
      <c r="S64" s="1">
        <v>0</v>
      </c>
      <c r="T64" s="1">
        <v>0</v>
      </c>
      <c r="U64" s="1">
        <v>536246883</v>
      </c>
      <c r="V64" s="1">
        <v>2827683.65</v>
      </c>
      <c r="W64" t="s">
        <v>51</v>
      </c>
      <c r="X64">
        <v>539262.19999999995</v>
      </c>
      <c r="Y64">
        <v>0</v>
      </c>
      <c r="Z64">
        <v>0</v>
      </c>
      <c r="AA64" s="14">
        <v>-35717755.619999997</v>
      </c>
      <c r="AB64" s="14">
        <v>822044474.27999997</v>
      </c>
      <c r="AD64">
        <v>0</v>
      </c>
      <c r="AE64">
        <v>1394076156.54</v>
      </c>
      <c r="AF64">
        <v>2057436824.46</v>
      </c>
      <c r="AG64">
        <v>0</v>
      </c>
      <c r="AH64" s="14">
        <v>0</v>
      </c>
      <c r="AI64">
        <v>7272937</v>
      </c>
      <c r="AJ64">
        <v>7272937</v>
      </c>
      <c r="AK64">
        <v>280600</v>
      </c>
      <c r="AL64">
        <v>280600</v>
      </c>
      <c r="AM64">
        <v>26713076.280000001</v>
      </c>
      <c r="AN64">
        <v>26716076.280000001</v>
      </c>
      <c r="AO64">
        <v>0</v>
      </c>
      <c r="AP64">
        <v>0</v>
      </c>
      <c r="AQ64" s="29">
        <f t="shared" si="0"/>
        <v>-4.3449906589645204</v>
      </c>
    </row>
    <row r="65" spans="2:43" x14ac:dyDescent="0.3">
      <c r="B65" t="s">
        <v>330</v>
      </c>
      <c r="C65" t="s">
        <v>356</v>
      </c>
      <c r="D65" t="s">
        <v>357</v>
      </c>
      <c r="E65" t="s">
        <v>358</v>
      </c>
      <c r="F65" t="s">
        <v>70</v>
      </c>
      <c r="G65" t="s">
        <v>107</v>
      </c>
      <c r="H65" t="s">
        <v>48</v>
      </c>
      <c r="I65" t="s">
        <v>49</v>
      </c>
      <c r="J65" t="s">
        <v>50</v>
      </c>
      <c r="K65" t="s">
        <v>51</v>
      </c>
      <c r="L65" t="s">
        <v>51</v>
      </c>
      <c r="M65" t="s">
        <v>52</v>
      </c>
      <c r="N65" t="s">
        <v>359</v>
      </c>
      <c r="O65" t="s">
        <v>54</v>
      </c>
      <c r="P65" t="s">
        <v>54</v>
      </c>
      <c r="Q65" t="s">
        <v>51</v>
      </c>
      <c r="R65" t="s">
        <v>55</v>
      </c>
      <c r="S65" s="1">
        <v>21550611.93</v>
      </c>
      <c r="T65" s="1">
        <v>21157093.600000001</v>
      </c>
      <c r="U65" s="1">
        <v>21297959.780000001</v>
      </c>
      <c r="V65" s="1">
        <v>0</v>
      </c>
      <c r="W65" t="s">
        <v>51</v>
      </c>
      <c r="X65">
        <v>287369.68</v>
      </c>
      <c r="Y65">
        <v>0</v>
      </c>
      <c r="Z65">
        <v>0</v>
      </c>
      <c r="AA65" s="14">
        <v>252652.15</v>
      </c>
      <c r="AB65" s="14">
        <v>-1727395.76</v>
      </c>
      <c r="AD65">
        <v>0</v>
      </c>
      <c r="AE65">
        <v>20598560.109999999</v>
      </c>
      <c r="AF65">
        <v>21416536.550000001</v>
      </c>
      <c r="AG65">
        <v>0</v>
      </c>
      <c r="AH65" s="14">
        <v>0</v>
      </c>
      <c r="AI65">
        <v>22.3</v>
      </c>
      <c r="AJ65">
        <v>0</v>
      </c>
      <c r="AK65">
        <v>1636885749</v>
      </c>
      <c r="AL65">
        <v>1636885749</v>
      </c>
      <c r="AM65">
        <v>16368857.49</v>
      </c>
      <c r="AN65">
        <v>16368857.49</v>
      </c>
      <c r="AO65">
        <v>0</v>
      </c>
      <c r="AP65">
        <v>0</v>
      </c>
      <c r="AQ65" s="29">
        <f t="shared" si="0"/>
        <v>-14.626187921174473</v>
      </c>
    </row>
    <row r="66" spans="2:43" x14ac:dyDescent="0.3">
      <c r="B66" t="s">
        <v>330</v>
      </c>
      <c r="C66" t="s">
        <v>360</v>
      </c>
      <c r="D66" t="s">
        <v>361</v>
      </c>
      <c r="E66" t="s">
        <v>362</v>
      </c>
      <c r="F66" t="s">
        <v>46</v>
      </c>
      <c r="G66" t="s">
        <v>240</v>
      </c>
      <c r="H66" t="s">
        <v>48</v>
      </c>
      <c r="I66" t="s">
        <v>363</v>
      </c>
      <c r="J66" t="s">
        <v>50</v>
      </c>
      <c r="K66" t="s">
        <v>51</v>
      </c>
      <c r="L66" t="s">
        <v>51</v>
      </c>
      <c r="M66" t="s">
        <v>52</v>
      </c>
      <c r="N66" t="s">
        <v>364</v>
      </c>
      <c r="O66" t="s">
        <v>54</v>
      </c>
      <c r="P66" t="s">
        <v>54</v>
      </c>
      <c r="Q66" t="s">
        <v>51</v>
      </c>
      <c r="R66" t="s">
        <v>55</v>
      </c>
      <c r="S66" s="1">
        <v>5775667.1399999997</v>
      </c>
      <c r="T66" s="1">
        <v>10168034.470000001</v>
      </c>
      <c r="U66" s="1">
        <v>28236642.5</v>
      </c>
      <c r="V66" s="1">
        <v>0</v>
      </c>
      <c r="W66" t="s">
        <v>51</v>
      </c>
      <c r="X66">
        <v>331624.15000000002</v>
      </c>
      <c r="Y66">
        <v>0</v>
      </c>
      <c r="Z66">
        <v>0</v>
      </c>
      <c r="AA66" s="14">
        <v>-36494715.710000001</v>
      </c>
      <c r="AB66" s="14">
        <v>60677501.479999997</v>
      </c>
      <c r="AD66">
        <v>0</v>
      </c>
      <c r="AE66">
        <v>215123905.25999999</v>
      </c>
      <c r="AF66">
        <v>266922699.81</v>
      </c>
      <c r="AG66">
        <v>75022398.670000002</v>
      </c>
      <c r="AH66" s="14">
        <v>136199874.21000001</v>
      </c>
      <c r="AI66">
        <v>0</v>
      </c>
      <c r="AJ66">
        <v>0</v>
      </c>
      <c r="AK66">
        <v>37722.75</v>
      </c>
      <c r="AL66">
        <v>37722.75</v>
      </c>
      <c r="AM66">
        <v>43886200</v>
      </c>
      <c r="AN66">
        <v>43886200</v>
      </c>
      <c r="AO66">
        <v>0</v>
      </c>
      <c r="AP66">
        <v>0</v>
      </c>
      <c r="AQ66" s="29">
        <f t="shared" ref="AQ66:AQ129" si="1">AA66*100/AB66</f>
        <v>-60.14538308244132</v>
      </c>
    </row>
    <row r="67" spans="2:43" x14ac:dyDescent="0.3">
      <c r="B67" t="s">
        <v>330</v>
      </c>
      <c r="C67" t="s">
        <v>365</v>
      </c>
      <c r="D67" t="s">
        <v>366</v>
      </c>
      <c r="E67" t="s">
        <v>367</v>
      </c>
      <c r="F67" t="s">
        <v>46</v>
      </c>
      <c r="G67" t="s">
        <v>65</v>
      </c>
      <c r="H67" t="s">
        <v>48</v>
      </c>
      <c r="I67" t="s">
        <v>49</v>
      </c>
      <c r="J67" t="s">
        <v>50</v>
      </c>
      <c r="K67" t="s">
        <v>51</v>
      </c>
      <c r="L67" t="s">
        <v>54</v>
      </c>
      <c r="M67" t="s">
        <v>134</v>
      </c>
      <c r="N67" t="s">
        <v>368</v>
      </c>
      <c r="O67" t="s">
        <v>54</v>
      </c>
      <c r="P67" t="s">
        <v>54</v>
      </c>
      <c r="Q67" t="s">
        <v>51</v>
      </c>
      <c r="R67" t="s">
        <v>369</v>
      </c>
      <c r="S67" s="1">
        <v>0</v>
      </c>
      <c r="T67" s="1">
        <v>10021616.33</v>
      </c>
      <c r="U67" s="1">
        <v>18009638.379999999</v>
      </c>
      <c r="V67" s="1">
        <v>1515396.62</v>
      </c>
      <c r="W67" t="s">
        <v>51</v>
      </c>
      <c r="X67">
        <v>532630.43000000005</v>
      </c>
      <c r="Y67">
        <v>0</v>
      </c>
      <c r="Z67">
        <v>0</v>
      </c>
      <c r="AA67" s="14">
        <v>28800626</v>
      </c>
      <c r="AB67" s="14">
        <v>1052610978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9958047</v>
      </c>
      <c r="AL67">
        <v>9958047</v>
      </c>
      <c r="AM67">
        <v>995804700</v>
      </c>
      <c r="AN67">
        <v>995804700</v>
      </c>
      <c r="AO67">
        <v>-5794655</v>
      </c>
      <c r="AP67">
        <v>-5794655</v>
      </c>
      <c r="AQ67" s="29">
        <f t="shared" si="1"/>
        <v>2.7361130181942679</v>
      </c>
    </row>
    <row r="68" spans="2:43" x14ac:dyDescent="0.3">
      <c r="B68" t="s">
        <v>330</v>
      </c>
      <c r="C68" t="s">
        <v>370</v>
      </c>
      <c r="D68" t="s">
        <v>371</v>
      </c>
      <c r="E68" t="s">
        <v>372</v>
      </c>
      <c r="F68" t="s">
        <v>46</v>
      </c>
      <c r="G68" t="s">
        <v>71</v>
      </c>
      <c r="H68" t="s">
        <v>60</v>
      </c>
      <c r="I68" t="s">
        <v>49</v>
      </c>
      <c r="J68" t="s">
        <v>373</v>
      </c>
      <c r="K68" t="s">
        <v>54</v>
      </c>
      <c r="L68" t="s">
        <v>51</v>
      </c>
      <c r="M68" t="s">
        <v>134</v>
      </c>
      <c r="N68" t="s">
        <v>374</v>
      </c>
      <c r="O68" t="s">
        <v>54</v>
      </c>
      <c r="P68" t="s">
        <v>54</v>
      </c>
      <c r="Q68" t="s">
        <v>54</v>
      </c>
      <c r="R68" t="s">
        <v>375</v>
      </c>
      <c r="S68" s="1">
        <v>229338714.06</v>
      </c>
      <c r="T68" s="1">
        <v>1215339654.3599999</v>
      </c>
      <c r="U68" s="1">
        <v>8156633926.5500002</v>
      </c>
      <c r="V68" s="1">
        <v>206086925.47999999</v>
      </c>
      <c r="W68" t="s">
        <v>54</v>
      </c>
      <c r="X68">
        <v>837726.37</v>
      </c>
      <c r="Y68">
        <v>324385.26</v>
      </c>
      <c r="Z68">
        <v>0</v>
      </c>
      <c r="AA68" s="14">
        <v>195716826.59</v>
      </c>
      <c r="AB68" s="14">
        <v>3687331404.7199998</v>
      </c>
      <c r="AC68">
        <v>3190605972.8200002</v>
      </c>
      <c r="AD68">
        <v>1206204.48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71.92</v>
      </c>
      <c r="AL68">
        <v>65.63</v>
      </c>
      <c r="AM68">
        <v>0</v>
      </c>
      <c r="AN68">
        <v>0</v>
      </c>
      <c r="AO68">
        <v>0</v>
      </c>
      <c r="AP68">
        <v>0</v>
      </c>
      <c r="AQ68" s="29">
        <f t="shared" si="1"/>
        <v>5.307817635796745</v>
      </c>
    </row>
    <row r="69" spans="2:43" x14ac:dyDescent="0.3">
      <c r="B69" t="s">
        <v>330</v>
      </c>
      <c r="C69" t="s">
        <v>376</v>
      </c>
      <c r="D69" t="s">
        <v>377</v>
      </c>
      <c r="E69" t="s">
        <v>378</v>
      </c>
      <c r="F69" t="s">
        <v>46</v>
      </c>
      <c r="G69" t="s">
        <v>71</v>
      </c>
      <c r="H69" t="s">
        <v>60</v>
      </c>
      <c r="I69" t="s">
        <v>49</v>
      </c>
      <c r="J69" t="s">
        <v>50</v>
      </c>
      <c r="K69" t="s">
        <v>51</v>
      </c>
      <c r="L69" t="s">
        <v>54</v>
      </c>
      <c r="M69" t="s">
        <v>134</v>
      </c>
      <c r="N69" t="s">
        <v>66</v>
      </c>
      <c r="O69" t="s">
        <v>51</v>
      </c>
      <c r="P69" t="s">
        <v>54</v>
      </c>
      <c r="Q69" t="s">
        <v>51</v>
      </c>
      <c r="R69" t="s">
        <v>55</v>
      </c>
      <c r="S69" s="1">
        <v>301617.51</v>
      </c>
      <c r="T69" s="1">
        <v>1490863.63</v>
      </c>
      <c r="U69" s="1">
        <v>2979003.3</v>
      </c>
      <c r="V69" s="1">
        <v>0</v>
      </c>
      <c r="W69" t="s">
        <v>51</v>
      </c>
      <c r="X69">
        <v>0</v>
      </c>
      <c r="Y69">
        <v>0</v>
      </c>
      <c r="Z69">
        <v>0</v>
      </c>
      <c r="AA69" s="14">
        <v>80614672.409999996</v>
      </c>
      <c r="AB69" s="14">
        <v>499541580.00999999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s="29">
        <f t="shared" si="1"/>
        <v>16.137730198232195</v>
      </c>
    </row>
    <row r="70" spans="2:43" x14ac:dyDescent="0.3">
      <c r="B70" t="s">
        <v>330</v>
      </c>
      <c r="C70" t="s">
        <v>379</v>
      </c>
      <c r="D70" t="s">
        <v>380</v>
      </c>
      <c r="E70" t="s">
        <v>381</v>
      </c>
      <c r="F70" t="s">
        <v>46</v>
      </c>
      <c r="G70" t="s">
        <v>71</v>
      </c>
      <c r="H70" t="s">
        <v>60</v>
      </c>
      <c r="I70" t="s">
        <v>49</v>
      </c>
      <c r="J70" t="s">
        <v>50</v>
      </c>
      <c r="K70" t="s">
        <v>51</v>
      </c>
      <c r="L70" t="s">
        <v>54</v>
      </c>
      <c r="M70" t="s">
        <v>134</v>
      </c>
      <c r="N70" t="s">
        <v>382</v>
      </c>
      <c r="O70" t="s">
        <v>54</v>
      </c>
      <c r="P70" t="s">
        <v>54</v>
      </c>
      <c r="Q70" t="s">
        <v>54</v>
      </c>
      <c r="R70" t="s">
        <v>55</v>
      </c>
      <c r="S70" s="1">
        <v>11143665.43</v>
      </c>
      <c r="T70" s="1">
        <v>3082019.37</v>
      </c>
      <c r="U70" s="1">
        <v>26478526.140000001</v>
      </c>
      <c r="V70" s="1">
        <v>0</v>
      </c>
      <c r="W70" t="s">
        <v>54</v>
      </c>
      <c r="X70">
        <v>697595.69</v>
      </c>
      <c r="Y70">
        <v>74146.850000000006</v>
      </c>
      <c r="Z70">
        <v>0</v>
      </c>
      <c r="AA70" s="14">
        <v>5674698.6799999997</v>
      </c>
      <c r="AB70" s="14">
        <v>62259025.609999999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40000000</v>
      </c>
      <c r="AN70">
        <v>40000000</v>
      </c>
      <c r="AO70">
        <v>0</v>
      </c>
      <c r="AP70">
        <v>0</v>
      </c>
      <c r="AQ70" s="29">
        <f t="shared" si="1"/>
        <v>9.1146602832289325</v>
      </c>
    </row>
    <row r="71" spans="2:43" x14ac:dyDescent="0.3">
      <c r="B71" t="s">
        <v>330</v>
      </c>
      <c r="C71" t="s">
        <v>383</v>
      </c>
      <c r="D71" t="s">
        <v>384</v>
      </c>
      <c r="E71" t="s">
        <v>385</v>
      </c>
      <c r="F71" t="s">
        <v>46</v>
      </c>
      <c r="G71" t="s">
        <v>71</v>
      </c>
      <c r="H71" t="s">
        <v>60</v>
      </c>
      <c r="I71" t="s">
        <v>49</v>
      </c>
      <c r="J71" t="s">
        <v>50</v>
      </c>
      <c r="K71" t="s">
        <v>51</v>
      </c>
      <c r="L71" t="s">
        <v>54</v>
      </c>
      <c r="M71" t="s">
        <v>134</v>
      </c>
      <c r="N71" t="s">
        <v>66</v>
      </c>
      <c r="O71" t="s">
        <v>51</v>
      </c>
      <c r="P71" t="s">
        <v>54</v>
      </c>
      <c r="Q71" t="s">
        <v>51</v>
      </c>
      <c r="R71" t="s">
        <v>55</v>
      </c>
      <c r="S71" s="1">
        <v>234119072.94999999</v>
      </c>
      <c r="T71" s="1">
        <v>567953.80000000005</v>
      </c>
      <c r="U71" s="1">
        <v>977870414.91999996</v>
      </c>
      <c r="V71" s="1">
        <v>0</v>
      </c>
      <c r="W71" t="s">
        <v>54</v>
      </c>
      <c r="X71">
        <v>614208.69999999995</v>
      </c>
      <c r="Y71">
        <v>20796.97</v>
      </c>
      <c r="Z71">
        <v>0</v>
      </c>
      <c r="AA71" s="14">
        <v>141054314.84999999</v>
      </c>
      <c r="AB71" s="14">
        <v>433727010.30000001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420</v>
      </c>
      <c r="AL71">
        <v>420</v>
      </c>
      <c r="AM71">
        <v>150000000</v>
      </c>
      <c r="AN71">
        <v>150000000</v>
      </c>
      <c r="AO71">
        <v>0</v>
      </c>
      <c r="AP71">
        <v>0</v>
      </c>
      <c r="AQ71" s="29">
        <f t="shared" si="1"/>
        <v>32.521450474674296</v>
      </c>
    </row>
    <row r="72" spans="2:43" x14ac:dyDescent="0.3">
      <c r="B72" t="s">
        <v>330</v>
      </c>
      <c r="C72" t="s">
        <v>386</v>
      </c>
      <c r="D72" t="s">
        <v>387</v>
      </c>
      <c r="E72" t="s">
        <v>388</v>
      </c>
      <c r="F72" t="s">
        <v>46</v>
      </c>
      <c r="G72" t="s">
        <v>71</v>
      </c>
      <c r="H72" t="s">
        <v>48</v>
      </c>
      <c r="I72" t="s">
        <v>49</v>
      </c>
      <c r="J72" t="s">
        <v>50</v>
      </c>
      <c r="K72" t="s">
        <v>51</v>
      </c>
      <c r="L72" t="s">
        <v>54</v>
      </c>
      <c r="M72" t="s">
        <v>134</v>
      </c>
      <c r="N72" t="s">
        <v>66</v>
      </c>
      <c r="O72" t="s">
        <v>54</v>
      </c>
      <c r="P72" t="s">
        <v>51</v>
      </c>
      <c r="Q72" t="s">
        <v>51</v>
      </c>
      <c r="R72" t="s">
        <v>55</v>
      </c>
      <c r="S72" s="1">
        <v>0</v>
      </c>
      <c r="T72" s="1">
        <v>0</v>
      </c>
      <c r="U72" s="1">
        <v>1032.94</v>
      </c>
      <c r="V72" s="1">
        <v>0</v>
      </c>
      <c r="W72" t="s">
        <v>51</v>
      </c>
      <c r="X72">
        <v>0</v>
      </c>
      <c r="Y72">
        <v>0</v>
      </c>
      <c r="Z72">
        <v>0</v>
      </c>
      <c r="AA72" s="14">
        <v>0</v>
      </c>
      <c r="AB72" s="14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s="29" t="e">
        <f t="shared" si="1"/>
        <v>#DIV/0!</v>
      </c>
    </row>
    <row r="73" spans="2:43" x14ac:dyDescent="0.3">
      <c r="B73" t="s">
        <v>330</v>
      </c>
      <c r="C73" t="s">
        <v>389</v>
      </c>
      <c r="D73" t="s">
        <v>389</v>
      </c>
      <c r="E73" t="s">
        <v>390</v>
      </c>
      <c r="F73" t="s">
        <v>46</v>
      </c>
      <c r="G73" t="s">
        <v>71</v>
      </c>
      <c r="H73" t="s">
        <v>60</v>
      </c>
      <c r="I73" t="s">
        <v>49</v>
      </c>
      <c r="J73" t="s">
        <v>50</v>
      </c>
      <c r="K73" t="s">
        <v>51</v>
      </c>
      <c r="L73" t="s">
        <v>54</v>
      </c>
      <c r="M73" t="s">
        <v>134</v>
      </c>
      <c r="N73" t="s">
        <v>391</v>
      </c>
      <c r="O73" t="s">
        <v>54</v>
      </c>
      <c r="P73" t="s">
        <v>54</v>
      </c>
      <c r="Q73" t="s">
        <v>51</v>
      </c>
      <c r="R73" t="s">
        <v>55</v>
      </c>
      <c r="S73" s="1">
        <v>100549726</v>
      </c>
      <c r="T73" s="1">
        <v>72223772.469999999</v>
      </c>
      <c r="U73" s="1">
        <v>103199793.56</v>
      </c>
      <c r="V73" s="1">
        <v>0</v>
      </c>
      <c r="W73" t="s">
        <v>54</v>
      </c>
      <c r="X73">
        <v>673442.27</v>
      </c>
      <c r="Y73">
        <v>66872.98</v>
      </c>
      <c r="Z73">
        <v>0</v>
      </c>
      <c r="AA73" s="14">
        <v>-26500068</v>
      </c>
      <c r="AB73" s="14">
        <v>28906244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248000</v>
      </c>
      <c r="AL73">
        <v>248000</v>
      </c>
      <c r="AM73">
        <v>29744203</v>
      </c>
      <c r="AN73">
        <v>30000000</v>
      </c>
      <c r="AO73">
        <v>255797</v>
      </c>
      <c r="AP73">
        <v>0</v>
      </c>
      <c r="AQ73" s="29">
        <f t="shared" si="1"/>
        <v>-91.67592994786871</v>
      </c>
    </row>
    <row r="74" spans="2:43" x14ac:dyDescent="0.3">
      <c r="B74" t="s">
        <v>330</v>
      </c>
      <c r="C74" t="s">
        <v>392</v>
      </c>
      <c r="D74" t="s">
        <v>393</v>
      </c>
      <c r="E74" t="s">
        <v>394</v>
      </c>
      <c r="F74" t="s">
        <v>46</v>
      </c>
      <c r="G74" t="s">
        <v>71</v>
      </c>
      <c r="H74" t="s">
        <v>60</v>
      </c>
      <c r="I74" t="s">
        <v>49</v>
      </c>
      <c r="J74" t="s">
        <v>50</v>
      </c>
      <c r="K74" t="s">
        <v>51</v>
      </c>
      <c r="L74" t="s">
        <v>54</v>
      </c>
      <c r="M74" t="s">
        <v>134</v>
      </c>
      <c r="N74" t="s">
        <v>395</v>
      </c>
      <c r="O74" t="s">
        <v>54</v>
      </c>
      <c r="P74" t="s">
        <v>54</v>
      </c>
      <c r="Q74" t="s">
        <v>51</v>
      </c>
      <c r="R74" t="s">
        <v>396</v>
      </c>
      <c r="S74" s="1">
        <v>299508917.44</v>
      </c>
      <c r="T74" s="1">
        <v>55122088.689999998</v>
      </c>
      <c r="U74" s="1">
        <v>687534582.97000003</v>
      </c>
      <c r="V74" s="1">
        <v>124046687.11</v>
      </c>
      <c r="W74" t="s">
        <v>54</v>
      </c>
      <c r="X74">
        <v>428014.97</v>
      </c>
      <c r="Y74">
        <v>209404.05</v>
      </c>
      <c r="Z74">
        <v>311854.32</v>
      </c>
      <c r="AA74" s="14">
        <v>36771132.82</v>
      </c>
      <c r="AB74" s="14">
        <v>586672269.13999999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3941551</v>
      </c>
      <c r="AL74">
        <v>3941551</v>
      </c>
      <c r="AM74">
        <v>574791209.91999996</v>
      </c>
      <c r="AN74">
        <v>522034715.57999998</v>
      </c>
      <c r="AO74">
        <v>0</v>
      </c>
      <c r="AP74">
        <v>0</v>
      </c>
      <c r="AQ74" s="29">
        <f t="shared" si="1"/>
        <v>6.2677468757646624</v>
      </c>
    </row>
    <row r="75" spans="2:43" x14ac:dyDescent="0.3">
      <c r="B75" t="s">
        <v>330</v>
      </c>
      <c r="C75" t="s">
        <v>397</v>
      </c>
      <c r="D75" t="s">
        <v>398</v>
      </c>
      <c r="E75" t="s">
        <v>399</v>
      </c>
      <c r="F75" t="s">
        <v>46</v>
      </c>
      <c r="G75" t="s">
        <v>107</v>
      </c>
      <c r="H75" t="s">
        <v>60</v>
      </c>
      <c r="I75" t="s">
        <v>49</v>
      </c>
      <c r="J75" t="s">
        <v>50</v>
      </c>
      <c r="K75" t="s">
        <v>51</v>
      </c>
      <c r="L75" t="s">
        <v>51</v>
      </c>
      <c r="M75" t="s">
        <v>134</v>
      </c>
      <c r="N75" t="s">
        <v>400</v>
      </c>
      <c r="O75" t="s">
        <v>54</v>
      </c>
      <c r="P75" t="s">
        <v>54</v>
      </c>
      <c r="Q75" t="s">
        <v>54</v>
      </c>
      <c r="R75" t="s">
        <v>401</v>
      </c>
      <c r="S75" s="1">
        <v>2292756128.9299998</v>
      </c>
      <c r="T75" s="1">
        <v>975150306.65999997</v>
      </c>
      <c r="U75" s="1">
        <v>2529906856.04</v>
      </c>
      <c r="V75" s="1">
        <v>372533309.08999997</v>
      </c>
      <c r="W75" t="s">
        <v>54</v>
      </c>
      <c r="X75">
        <v>896119.71</v>
      </c>
      <c r="Y75">
        <v>24792.52</v>
      </c>
      <c r="Z75">
        <v>25755.86</v>
      </c>
      <c r="AA75" s="14">
        <v>90460720</v>
      </c>
      <c r="AB75" s="14">
        <v>2248240620</v>
      </c>
      <c r="AD75">
        <v>0</v>
      </c>
      <c r="AE75">
        <v>0</v>
      </c>
      <c r="AF75">
        <v>0</v>
      </c>
      <c r="AG75">
        <v>64529800.390000001</v>
      </c>
      <c r="AH75">
        <v>43607600.030000001</v>
      </c>
      <c r="AI75">
        <v>0</v>
      </c>
      <c r="AJ75">
        <v>0</v>
      </c>
      <c r="AK75">
        <v>929456430</v>
      </c>
      <c r="AL75">
        <v>929456430</v>
      </c>
      <c r="AM75">
        <v>2074068686</v>
      </c>
      <c r="AN75">
        <v>2074068686</v>
      </c>
      <c r="AO75">
        <v>0</v>
      </c>
      <c r="AP75">
        <v>0</v>
      </c>
      <c r="AQ75" s="29">
        <f t="shared" si="1"/>
        <v>4.0236227028048273</v>
      </c>
    </row>
    <row r="76" spans="2:43" x14ac:dyDescent="0.3">
      <c r="B76" t="s">
        <v>330</v>
      </c>
      <c r="C76" t="s">
        <v>402</v>
      </c>
      <c r="D76" t="s">
        <v>403</v>
      </c>
      <c r="E76" t="s">
        <v>404</v>
      </c>
      <c r="F76" t="s">
        <v>46</v>
      </c>
      <c r="G76" t="s">
        <v>75</v>
      </c>
      <c r="H76" t="s">
        <v>60</v>
      </c>
      <c r="I76" t="s">
        <v>49</v>
      </c>
      <c r="J76" t="s">
        <v>50</v>
      </c>
      <c r="K76" t="s">
        <v>51</v>
      </c>
      <c r="L76" t="s">
        <v>51</v>
      </c>
      <c r="M76" t="s">
        <v>134</v>
      </c>
      <c r="N76" t="s">
        <v>405</v>
      </c>
      <c r="O76" t="s">
        <v>54</v>
      </c>
      <c r="P76" t="s">
        <v>54</v>
      </c>
      <c r="Q76" t="s">
        <v>51</v>
      </c>
      <c r="R76" t="s">
        <v>55</v>
      </c>
      <c r="S76" s="1">
        <v>15958076.609999999</v>
      </c>
      <c r="T76" s="1">
        <v>15729760.24</v>
      </c>
      <c r="U76" s="1">
        <v>20282199.98</v>
      </c>
      <c r="V76" s="1">
        <v>0</v>
      </c>
      <c r="W76" t="s">
        <v>51</v>
      </c>
      <c r="X76">
        <v>327915.96999999997</v>
      </c>
      <c r="Y76">
        <v>0</v>
      </c>
      <c r="Z76">
        <v>0</v>
      </c>
      <c r="AA76" s="14">
        <v>1866173.98</v>
      </c>
      <c r="AB76" s="14">
        <v>60377796.909999996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18000000</v>
      </c>
      <c r="AK76">
        <v>32197937.120000001</v>
      </c>
      <c r="AL76">
        <v>32197937.120000001</v>
      </c>
      <c r="AM76">
        <v>32197937.120000001</v>
      </c>
      <c r="AN76">
        <v>32197937.120000001</v>
      </c>
      <c r="AO76">
        <v>0</v>
      </c>
      <c r="AP76">
        <v>0</v>
      </c>
      <c r="AQ76" s="29">
        <f t="shared" si="1"/>
        <v>3.0908282108765008</v>
      </c>
    </row>
    <row r="77" spans="2:43" x14ac:dyDescent="0.3">
      <c r="B77" t="s">
        <v>330</v>
      </c>
      <c r="C77" t="s">
        <v>406</v>
      </c>
      <c r="D77" t="s">
        <v>407</v>
      </c>
      <c r="E77" t="s">
        <v>408</v>
      </c>
      <c r="F77" t="s">
        <v>46</v>
      </c>
      <c r="G77" t="s">
        <v>409</v>
      </c>
      <c r="H77" t="s">
        <v>60</v>
      </c>
      <c r="I77" t="s">
        <v>49</v>
      </c>
      <c r="J77" t="s">
        <v>373</v>
      </c>
      <c r="K77" t="s">
        <v>54</v>
      </c>
      <c r="L77" t="s">
        <v>51</v>
      </c>
      <c r="M77" t="s">
        <v>134</v>
      </c>
      <c r="N77" t="s">
        <v>410</v>
      </c>
      <c r="O77" t="s">
        <v>54</v>
      </c>
      <c r="P77" t="s">
        <v>54</v>
      </c>
      <c r="Q77" t="s">
        <v>54</v>
      </c>
      <c r="R77" t="s">
        <v>411</v>
      </c>
      <c r="S77" s="1">
        <v>31181843.170000002</v>
      </c>
      <c r="T77" s="1">
        <v>35837828.899999999</v>
      </c>
      <c r="U77" s="1">
        <v>64043261.359999999</v>
      </c>
      <c r="V77" s="1">
        <v>0</v>
      </c>
      <c r="W77" t="s">
        <v>54</v>
      </c>
      <c r="X77">
        <v>716384.41</v>
      </c>
      <c r="Y77">
        <v>104728.96000000001</v>
      </c>
      <c r="Z77">
        <v>21395.24</v>
      </c>
      <c r="AA77" s="14">
        <v>174228036.25999999</v>
      </c>
      <c r="AB77" s="14">
        <v>1065392978.74</v>
      </c>
      <c r="AD77">
        <v>94835083.099999994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57773215</v>
      </c>
      <c r="AL77">
        <v>57773215</v>
      </c>
      <c r="AM77">
        <v>566025355.62</v>
      </c>
      <c r="AN77">
        <v>566025355.62</v>
      </c>
      <c r="AO77">
        <v>0</v>
      </c>
      <c r="AP77">
        <v>0</v>
      </c>
      <c r="AQ77" s="29">
        <f t="shared" si="1"/>
        <v>16.353405713828987</v>
      </c>
    </row>
    <row r="78" spans="2:43" x14ac:dyDescent="0.3">
      <c r="B78" t="s">
        <v>330</v>
      </c>
      <c r="C78" t="s">
        <v>412</v>
      </c>
      <c r="D78" t="s">
        <v>413</v>
      </c>
      <c r="E78" t="s">
        <v>414</v>
      </c>
      <c r="F78" t="s">
        <v>46</v>
      </c>
      <c r="G78" t="s">
        <v>409</v>
      </c>
      <c r="H78" t="s">
        <v>60</v>
      </c>
      <c r="I78" t="s">
        <v>49</v>
      </c>
      <c r="J78" t="s">
        <v>50</v>
      </c>
      <c r="K78" t="s">
        <v>51</v>
      </c>
      <c r="L78" t="s">
        <v>54</v>
      </c>
      <c r="M78" t="s">
        <v>134</v>
      </c>
      <c r="N78" t="s">
        <v>415</v>
      </c>
      <c r="O78" t="s">
        <v>51</v>
      </c>
      <c r="P78" t="s">
        <v>54</v>
      </c>
      <c r="Q78" t="s">
        <v>51</v>
      </c>
      <c r="R78" t="s">
        <v>55</v>
      </c>
      <c r="S78" s="1">
        <v>51831969</v>
      </c>
      <c r="T78" s="1">
        <v>19629027</v>
      </c>
      <c r="U78" s="1">
        <v>60332471.649999999</v>
      </c>
      <c r="V78" s="1">
        <v>327950</v>
      </c>
      <c r="W78" t="s">
        <v>54</v>
      </c>
      <c r="X78">
        <v>591686.76</v>
      </c>
      <c r="Y78">
        <v>75404.84</v>
      </c>
      <c r="Z78">
        <v>21395.23</v>
      </c>
      <c r="AA78" s="14">
        <v>14013461.949999999</v>
      </c>
      <c r="AB78" s="14">
        <v>197508701.77000001</v>
      </c>
      <c r="AD78">
        <v>5170071.05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174080579.47</v>
      </c>
      <c r="AL78">
        <v>174080579.47</v>
      </c>
      <c r="AM78">
        <v>174080579.47</v>
      </c>
      <c r="AN78">
        <v>174080579.47</v>
      </c>
      <c r="AO78">
        <v>0</v>
      </c>
      <c r="AP78">
        <v>0</v>
      </c>
      <c r="AQ78" s="29">
        <f t="shared" si="1"/>
        <v>7.095111164427963</v>
      </c>
    </row>
    <row r="79" spans="2:43" x14ac:dyDescent="0.3">
      <c r="B79" t="s">
        <v>330</v>
      </c>
      <c r="C79" t="s">
        <v>416</v>
      </c>
      <c r="D79" t="s">
        <v>417</v>
      </c>
      <c r="E79" t="s">
        <v>418</v>
      </c>
      <c r="F79" t="s">
        <v>46</v>
      </c>
      <c r="G79" t="s">
        <v>409</v>
      </c>
      <c r="H79" t="s">
        <v>60</v>
      </c>
      <c r="I79" t="s">
        <v>49</v>
      </c>
      <c r="J79" t="s">
        <v>50</v>
      </c>
      <c r="K79" t="s">
        <v>51</v>
      </c>
      <c r="L79" t="s">
        <v>54</v>
      </c>
      <c r="M79" t="s">
        <v>134</v>
      </c>
      <c r="N79" t="s">
        <v>419</v>
      </c>
      <c r="O79" t="s">
        <v>54</v>
      </c>
      <c r="P79" t="s">
        <v>54</v>
      </c>
      <c r="Q79" t="s">
        <v>54</v>
      </c>
      <c r="R79" t="s">
        <v>55</v>
      </c>
      <c r="S79" s="1">
        <v>234365960.09999999</v>
      </c>
      <c r="T79" s="1">
        <v>6859542.0800000001</v>
      </c>
      <c r="U79" s="1">
        <v>109020973.31999999</v>
      </c>
      <c r="V79" s="1">
        <v>0</v>
      </c>
      <c r="W79" t="s">
        <v>54</v>
      </c>
      <c r="X79">
        <v>715997.49</v>
      </c>
      <c r="Y79">
        <v>0</v>
      </c>
      <c r="Z79">
        <v>13777.72</v>
      </c>
      <c r="AA79" s="14">
        <v>104989869.34</v>
      </c>
      <c r="AB79" s="14">
        <v>387562396.51999998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136850013</v>
      </c>
      <c r="AL79">
        <v>136850013</v>
      </c>
      <c r="AM79">
        <v>112283997.86</v>
      </c>
      <c r="AN79">
        <v>112283997.86</v>
      </c>
      <c r="AO79">
        <v>0</v>
      </c>
      <c r="AP79">
        <v>0</v>
      </c>
      <c r="AQ79" s="29">
        <f t="shared" si="1"/>
        <v>27.08979774166043</v>
      </c>
    </row>
    <row r="80" spans="2:43" x14ac:dyDescent="0.3">
      <c r="B80" t="s">
        <v>330</v>
      </c>
      <c r="C80" t="s">
        <v>420</v>
      </c>
      <c r="D80" t="s">
        <v>421</v>
      </c>
      <c r="E80" t="s">
        <v>422</v>
      </c>
      <c r="F80" t="s">
        <v>46</v>
      </c>
      <c r="G80" t="s">
        <v>409</v>
      </c>
      <c r="H80" t="s">
        <v>60</v>
      </c>
      <c r="I80" t="s">
        <v>49</v>
      </c>
      <c r="J80" t="s">
        <v>50</v>
      </c>
      <c r="K80" t="s">
        <v>51</v>
      </c>
      <c r="L80" t="s">
        <v>54</v>
      </c>
      <c r="M80" t="s">
        <v>134</v>
      </c>
      <c r="N80" t="s">
        <v>98</v>
      </c>
      <c r="O80" t="s">
        <v>51</v>
      </c>
      <c r="P80" t="s">
        <v>54</v>
      </c>
      <c r="Q80" t="s">
        <v>54</v>
      </c>
      <c r="R80" t="s">
        <v>423</v>
      </c>
      <c r="S80" s="1">
        <v>10065218.949999999</v>
      </c>
      <c r="T80" s="1">
        <v>5831363.7999999998</v>
      </c>
      <c r="U80" s="1">
        <v>14208086.470000001</v>
      </c>
      <c r="V80" s="1">
        <v>768850.49</v>
      </c>
      <c r="W80" t="s">
        <v>54</v>
      </c>
      <c r="X80">
        <v>624558.16</v>
      </c>
      <c r="Y80">
        <v>79594</v>
      </c>
      <c r="Z80">
        <v>21329.22</v>
      </c>
      <c r="AA80" s="14">
        <v>-629528.41</v>
      </c>
      <c r="AB80" s="14">
        <v>14520896.810000001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7575212</v>
      </c>
      <c r="AL80">
        <v>7575212</v>
      </c>
      <c r="AM80">
        <v>7575212.6100000003</v>
      </c>
      <c r="AN80">
        <v>7575212.6100000003</v>
      </c>
      <c r="AO80">
        <v>0</v>
      </c>
      <c r="AP80">
        <v>0</v>
      </c>
      <c r="AQ80" s="29">
        <f t="shared" si="1"/>
        <v>-4.3353273440140914</v>
      </c>
    </row>
    <row r="81" spans="2:43" x14ac:dyDescent="0.3">
      <c r="B81" t="s">
        <v>330</v>
      </c>
      <c r="C81" t="s">
        <v>424</v>
      </c>
      <c r="D81" t="s">
        <v>425</v>
      </c>
      <c r="E81" t="s">
        <v>426</v>
      </c>
      <c r="F81" t="s">
        <v>46</v>
      </c>
      <c r="G81" t="s">
        <v>139</v>
      </c>
      <c r="H81" t="s">
        <v>60</v>
      </c>
      <c r="I81" t="s">
        <v>49</v>
      </c>
      <c r="J81" t="s">
        <v>50</v>
      </c>
      <c r="K81" t="s">
        <v>51</v>
      </c>
      <c r="L81" t="s">
        <v>51</v>
      </c>
      <c r="M81" t="s">
        <v>134</v>
      </c>
      <c r="N81" t="s">
        <v>117</v>
      </c>
      <c r="O81" t="s">
        <v>54</v>
      </c>
      <c r="P81" t="s">
        <v>54</v>
      </c>
      <c r="Q81" t="s">
        <v>51</v>
      </c>
      <c r="R81" t="s">
        <v>55</v>
      </c>
      <c r="S81" s="1">
        <v>386191.02</v>
      </c>
      <c r="T81" s="1">
        <v>378614.51</v>
      </c>
      <c r="U81" s="1">
        <v>1290646.22</v>
      </c>
      <c r="V81" s="1">
        <v>0</v>
      </c>
      <c r="W81" t="s">
        <v>51</v>
      </c>
      <c r="X81">
        <v>199511.49</v>
      </c>
      <c r="Y81">
        <v>0</v>
      </c>
      <c r="Z81">
        <v>0</v>
      </c>
      <c r="AA81" s="14">
        <v>-1029544.37</v>
      </c>
      <c r="AB81" s="14">
        <v>-1493762.37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318750</v>
      </c>
      <c r="AJ81">
        <v>162500</v>
      </c>
      <c r="AK81">
        <v>1930250</v>
      </c>
      <c r="AL81">
        <v>1930250</v>
      </c>
      <c r="AM81">
        <v>1930250</v>
      </c>
      <c r="AN81">
        <v>1930250</v>
      </c>
      <c r="AO81">
        <v>0</v>
      </c>
      <c r="AP81">
        <v>0</v>
      </c>
      <c r="AQ81" s="29">
        <f t="shared" si="1"/>
        <v>68.92290170624662</v>
      </c>
    </row>
    <row r="82" spans="2:43" x14ac:dyDescent="0.3">
      <c r="B82" t="s">
        <v>330</v>
      </c>
      <c r="C82" t="s">
        <v>427</v>
      </c>
      <c r="D82" t="s">
        <v>428</v>
      </c>
      <c r="E82" t="s">
        <v>429</v>
      </c>
      <c r="F82" t="s">
        <v>46</v>
      </c>
      <c r="G82" t="s">
        <v>409</v>
      </c>
      <c r="H82" t="s">
        <v>60</v>
      </c>
      <c r="I82" t="s">
        <v>49</v>
      </c>
      <c r="J82" t="s">
        <v>50</v>
      </c>
      <c r="K82" t="s">
        <v>51</v>
      </c>
      <c r="L82" t="s">
        <v>54</v>
      </c>
      <c r="M82" t="s">
        <v>134</v>
      </c>
      <c r="N82" t="s">
        <v>430</v>
      </c>
      <c r="O82" t="s">
        <v>51</v>
      </c>
      <c r="P82" t="s">
        <v>54</v>
      </c>
      <c r="Q82" t="s">
        <v>51</v>
      </c>
      <c r="R82" t="s">
        <v>55</v>
      </c>
      <c r="S82" s="1">
        <v>24475006.18</v>
      </c>
      <c r="T82" s="1">
        <v>3619219.29</v>
      </c>
      <c r="U82" s="1">
        <v>13752868.949999999</v>
      </c>
      <c r="V82" s="1">
        <v>1821286.26</v>
      </c>
      <c r="W82" t="s">
        <v>54</v>
      </c>
      <c r="X82">
        <v>610803.22</v>
      </c>
      <c r="Y82">
        <v>0</v>
      </c>
      <c r="Z82">
        <v>0</v>
      </c>
      <c r="AA82" s="14">
        <v>17304561.859999999</v>
      </c>
      <c r="AB82" s="14">
        <v>42329035.399999999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21270415</v>
      </c>
      <c r="AL82">
        <v>21270415</v>
      </c>
      <c r="AM82">
        <v>21270414.68</v>
      </c>
      <c r="AN82">
        <v>21270414.68</v>
      </c>
      <c r="AO82">
        <v>0</v>
      </c>
      <c r="AP82">
        <v>0</v>
      </c>
      <c r="AQ82" s="29">
        <f t="shared" si="1"/>
        <v>40.881068270220965</v>
      </c>
    </row>
    <row r="83" spans="2:43" x14ac:dyDescent="0.3">
      <c r="B83" t="s">
        <v>330</v>
      </c>
      <c r="C83" t="s">
        <v>431</v>
      </c>
      <c r="D83" t="s">
        <v>431</v>
      </c>
      <c r="E83" t="s">
        <v>432</v>
      </c>
      <c r="F83" t="s">
        <v>70</v>
      </c>
      <c r="G83" t="s">
        <v>65</v>
      </c>
      <c r="H83" t="s">
        <v>60</v>
      </c>
      <c r="I83" t="s">
        <v>49</v>
      </c>
      <c r="J83" t="s">
        <v>50</v>
      </c>
      <c r="K83" t="s">
        <v>51</v>
      </c>
      <c r="L83" t="s">
        <v>51</v>
      </c>
      <c r="M83" t="s">
        <v>134</v>
      </c>
      <c r="N83" t="s">
        <v>433</v>
      </c>
      <c r="O83" t="s">
        <v>54</v>
      </c>
      <c r="P83" t="s">
        <v>54</v>
      </c>
      <c r="Q83" t="s">
        <v>51</v>
      </c>
      <c r="R83" t="s">
        <v>55</v>
      </c>
      <c r="S83" s="1">
        <v>1385020.27</v>
      </c>
      <c r="T83" s="1">
        <v>1209779.54</v>
      </c>
      <c r="U83" s="1">
        <v>1479461.84</v>
      </c>
      <c r="V83" s="1">
        <v>0</v>
      </c>
      <c r="W83" t="s">
        <v>51</v>
      </c>
      <c r="X83">
        <v>187442.3</v>
      </c>
      <c r="Y83">
        <v>0</v>
      </c>
      <c r="Z83">
        <v>0</v>
      </c>
      <c r="AA83" s="14">
        <v>-7200331.1399999997</v>
      </c>
      <c r="AB83" s="14">
        <v>8244998.8600000003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4024.42</v>
      </c>
      <c r="AL83">
        <v>4024.42</v>
      </c>
      <c r="AM83">
        <v>4024.42</v>
      </c>
      <c r="AN83">
        <v>4024.42</v>
      </c>
      <c r="AO83">
        <v>0</v>
      </c>
      <c r="AP83">
        <v>0</v>
      </c>
      <c r="AQ83" s="29">
        <f t="shared" si="1"/>
        <v>-87.329680237214731</v>
      </c>
    </row>
    <row r="84" spans="2:43" x14ac:dyDescent="0.3">
      <c r="B84" t="s">
        <v>330</v>
      </c>
      <c r="C84" t="s">
        <v>434</v>
      </c>
      <c r="D84" t="s">
        <v>435</v>
      </c>
      <c r="E84" t="s">
        <v>436</v>
      </c>
      <c r="F84" t="s">
        <v>46</v>
      </c>
      <c r="G84" t="s">
        <v>93</v>
      </c>
      <c r="H84" t="s">
        <v>48</v>
      </c>
      <c r="I84" t="s">
        <v>49</v>
      </c>
      <c r="J84" t="s">
        <v>50</v>
      </c>
      <c r="K84" t="s">
        <v>51</v>
      </c>
      <c r="L84" t="s">
        <v>51</v>
      </c>
      <c r="M84" t="s">
        <v>134</v>
      </c>
      <c r="N84" t="s">
        <v>437</v>
      </c>
      <c r="O84" t="s">
        <v>54</v>
      </c>
      <c r="P84" t="s">
        <v>54</v>
      </c>
      <c r="Q84" t="s">
        <v>54</v>
      </c>
      <c r="R84" t="s">
        <v>438</v>
      </c>
      <c r="S84" s="1">
        <v>653114421.62</v>
      </c>
      <c r="T84" s="1">
        <v>331318076.81999999</v>
      </c>
      <c r="U84" s="1">
        <v>818317931.78999996</v>
      </c>
      <c r="V84" s="1">
        <v>241820000</v>
      </c>
      <c r="W84" t="s">
        <v>54</v>
      </c>
      <c r="X84">
        <v>928239.58</v>
      </c>
      <c r="Y84">
        <v>32984.300000000003</v>
      </c>
      <c r="Z84">
        <v>77201.899999999994</v>
      </c>
      <c r="AA84" s="14">
        <v>-165203510.16999999</v>
      </c>
      <c r="AB84" s="14">
        <v>5287056857.6599998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255000</v>
      </c>
      <c r="AL84">
        <v>255000</v>
      </c>
      <c r="AM84">
        <v>1851078531.3699999</v>
      </c>
      <c r="AN84">
        <v>1851078531.3699999</v>
      </c>
      <c r="AO84">
        <v>0</v>
      </c>
      <c r="AP84">
        <v>0</v>
      </c>
      <c r="AQ84" s="29">
        <f t="shared" si="1"/>
        <v>-3.1246781454723651</v>
      </c>
    </row>
    <row r="85" spans="2:43" x14ac:dyDescent="0.3">
      <c r="B85" t="s">
        <v>439</v>
      </c>
      <c r="C85" t="s">
        <v>440</v>
      </c>
      <c r="D85" t="s">
        <v>303</v>
      </c>
      <c r="E85" t="s">
        <v>441</v>
      </c>
      <c r="F85" t="s">
        <v>46</v>
      </c>
      <c r="G85" t="s">
        <v>75</v>
      </c>
      <c r="H85" t="s">
        <v>60</v>
      </c>
      <c r="I85" t="s">
        <v>49</v>
      </c>
      <c r="J85" t="s">
        <v>50</v>
      </c>
      <c r="K85" t="s">
        <v>51</v>
      </c>
      <c r="L85" t="s">
        <v>51</v>
      </c>
      <c r="M85" t="s">
        <v>52</v>
      </c>
      <c r="N85" t="s">
        <v>442</v>
      </c>
      <c r="O85" t="s">
        <v>54</v>
      </c>
      <c r="P85" t="s">
        <v>54</v>
      </c>
      <c r="Q85" t="s">
        <v>51</v>
      </c>
      <c r="R85" t="s">
        <v>443</v>
      </c>
      <c r="S85" s="1">
        <v>19359297.32</v>
      </c>
      <c r="T85" s="1">
        <v>14516508.73</v>
      </c>
      <c r="U85" s="1">
        <v>23723451.43</v>
      </c>
      <c r="V85" s="1">
        <v>0</v>
      </c>
      <c r="W85" t="s">
        <v>51</v>
      </c>
      <c r="X85">
        <v>4737029.62</v>
      </c>
      <c r="Y85">
        <v>0</v>
      </c>
      <c r="Z85">
        <v>0</v>
      </c>
      <c r="AA85" s="14">
        <v>794552.61</v>
      </c>
      <c r="AB85" s="14">
        <v>10901902.08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3159556</v>
      </c>
      <c r="AL85">
        <v>3159556</v>
      </c>
      <c r="AM85">
        <v>3159556.67</v>
      </c>
      <c r="AN85">
        <v>3159556.67</v>
      </c>
      <c r="AO85">
        <v>0</v>
      </c>
      <c r="AP85">
        <v>0</v>
      </c>
      <c r="AQ85" s="29">
        <f t="shared" si="1"/>
        <v>7.2882016749869765</v>
      </c>
    </row>
    <row r="86" spans="2:43" x14ac:dyDescent="0.3">
      <c r="B86" t="s">
        <v>439</v>
      </c>
      <c r="C86" t="s">
        <v>444</v>
      </c>
      <c r="D86" t="s">
        <v>445</v>
      </c>
      <c r="E86" t="s">
        <v>446</v>
      </c>
      <c r="F86" t="s">
        <v>46</v>
      </c>
      <c r="G86" t="s">
        <v>71</v>
      </c>
      <c r="H86" t="s">
        <v>60</v>
      </c>
      <c r="I86" t="s">
        <v>49</v>
      </c>
      <c r="J86" t="s">
        <v>50</v>
      </c>
      <c r="K86" t="s">
        <v>51</v>
      </c>
      <c r="L86" t="s">
        <v>51</v>
      </c>
      <c r="M86" t="s">
        <v>134</v>
      </c>
      <c r="N86" t="s">
        <v>447</v>
      </c>
      <c r="O86" t="s">
        <v>54</v>
      </c>
      <c r="P86" t="s">
        <v>54</v>
      </c>
      <c r="Q86" t="s">
        <v>54</v>
      </c>
      <c r="R86" t="s">
        <v>448</v>
      </c>
      <c r="S86" s="1">
        <v>228438520.34999999</v>
      </c>
      <c r="T86" s="1">
        <v>54800724.710000001</v>
      </c>
      <c r="U86" s="1">
        <v>188550875.63999999</v>
      </c>
      <c r="V86" s="1">
        <v>4083775</v>
      </c>
      <c r="W86" t="s">
        <v>54</v>
      </c>
      <c r="X86">
        <v>35566517.009999998</v>
      </c>
      <c r="Y86">
        <v>4879122.96</v>
      </c>
      <c r="Z86">
        <v>9110878.4499999993</v>
      </c>
      <c r="AA86" s="14">
        <v>99380415.620000005</v>
      </c>
      <c r="AB86" s="14">
        <v>520409975.76999998</v>
      </c>
      <c r="AC86">
        <v>520409975.76999998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25246979553</v>
      </c>
      <c r="AL86">
        <v>26742192753</v>
      </c>
      <c r="AM86">
        <v>439371000</v>
      </c>
      <c r="AN86">
        <v>463379995.58999997</v>
      </c>
      <c r="AO86">
        <v>0</v>
      </c>
      <c r="AP86">
        <v>0</v>
      </c>
      <c r="AQ86" s="29">
        <f t="shared" si="1"/>
        <v>19.096562373339687</v>
      </c>
    </row>
    <row r="87" spans="2:43" x14ac:dyDescent="0.3">
      <c r="B87" t="s">
        <v>439</v>
      </c>
      <c r="C87" t="s">
        <v>449</v>
      </c>
      <c r="D87" t="s">
        <v>450</v>
      </c>
      <c r="E87" t="s">
        <v>451</v>
      </c>
      <c r="F87" t="s">
        <v>46</v>
      </c>
      <c r="G87" t="s">
        <v>71</v>
      </c>
      <c r="H87" t="s">
        <v>60</v>
      </c>
      <c r="I87" t="s">
        <v>49</v>
      </c>
      <c r="J87" t="s">
        <v>373</v>
      </c>
      <c r="K87" t="s">
        <v>54</v>
      </c>
      <c r="L87" t="s">
        <v>51</v>
      </c>
      <c r="M87" t="s">
        <v>134</v>
      </c>
      <c r="N87" t="s">
        <v>452</v>
      </c>
      <c r="O87" t="s">
        <v>54</v>
      </c>
      <c r="P87" t="s">
        <v>54</v>
      </c>
      <c r="Q87" t="s">
        <v>54</v>
      </c>
      <c r="R87" t="s">
        <v>453</v>
      </c>
      <c r="S87" s="1">
        <v>1185340080.29</v>
      </c>
      <c r="T87" s="1">
        <v>491936265.01999998</v>
      </c>
      <c r="U87" s="1">
        <v>5065251160.2399998</v>
      </c>
      <c r="V87" s="1">
        <v>249965387.56</v>
      </c>
      <c r="W87" t="s">
        <v>54</v>
      </c>
      <c r="X87">
        <v>763612.13</v>
      </c>
      <c r="Y87">
        <v>158498.22</v>
      </c>
      <c r="Z87">
        <v>0</v>
      </c>
      <c r="AA87" s="14">
        <v>392487112.25999999</v>
      </c>
      <c r="AB87" s="14">
        <v>2357213667.21</v>
      </c>
      <c r="AC87">
        <v>2706860802</v>
      </c>
      <c r="AD87">
        <v>199969341.52000001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291793529</v>
      </c>
      <c r="AL87">
        <v>291793529</v>
      </c>
      <c r="AM87">
        <v>1477920000</v>
      </c>
      <c r="AN87">
        <v>1600000000</v>
      </c>
      <c r="AO87">
        <v>0</v>
      </c>
      <c r="AP87">
        <v>0</v>
      </c>
      <c r="AQ87" s="29">
        <f t="shared" si="1"/>
        <v>16.650468208278635</v>
      </c>
    </row>
    <row r="88" spans="2:43" x14ac:dyDescent="0.3">
      <c r="B88" t="s">
        <v>439</v>
      </c>
      <c r="C88" t="s">
        <v>454</v>
      </c>
      <c r="D88" t="s">
        <v>455</v>
      </c>
      <c r="E88" t="s">
        <v>456</v>
      </c>
      <c r="F88" t="s">
        <v>46</v>
      </c>
      <c r="G88" t="s">
        <v>107</v>
      </c>
      <c r="H88" t="s">
        <v>60</v>
      </c>
      <c r="I88" t="s">
        <v>49</v>
      </c>
      <c r="J88" t="s">
        <v>50</v>
      </c>
      <c r="K88" t="s">
        <v>51</v>
      </c>
      <c r="L88" t="s">
        <v>51</v>
      </c>
      <c r="M88" t="s">
        <v>134</v>
      </c>
      <c r="N88" t="s">
        <v>457</v>
      </c>
      <c r="O88" t="s">
        <v>54</v>
      </c>
      <c r="P88" t="s">
        <v>54</v>
      </c>
      <c r="Q88" t="s">
        <v>54</v>
      </c>
      <c r="R88" t="s">
        <v>458</v>
      </c>
      <c r="S88" s="1">
        <v>1275944356.0999999</v>
      </c>
      <c r="T88" s="1">
        <v>315136067.27999997</v>
      </c>
      <c r="U88" s="1">
        <v>1200693920.1800001</v>
      </c>
      <c r="V88" s="1">
        <v>0</v>
      </c>
      <c r="W88" t="s">
        <v>54</v>
      </c>
      <c r="X88">
        <v>722809.61</v>
      </c>
      <c r="Y88">
        <v>54781.47</v>
      </c>
      <c r="Z88">
        <v>91704.99</v>
      </c>
      <c r="AA88" s="14">
        <v>202438661.34999999</v>
      </c>
      <c r="AB88" s="14">
        <v>4218159000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249280703</v>
      </c>
      <c r="AJ88">
        <v>179289971.19999999</v>
      </c>
      <c r="AK88">
        <v>3015250810</v>
      </c>
      <c r="AL88">
        <v>3413141853</v>
      </c>
      <c r="AM88">
        <v>390685165</v>
      </c>
      <c r="AN88">
        <v>397891043</v>
      </c>
      <c r="AO88">
        <v>0</v>
      </c>
      <c r="AP88">
        <v>0</v>
      </c>
      <c r="AQ88" s="29">
        <f t="shared" si="1"/>
        <v>4.79921836398296</v>
      </c>
    </row>
    <row r="89" spans="2:43" x14ac:dyDescent="0.3">
      <c r="B89" t="s">
        <v>439</v>
      </c>
      <c r="C89" t="s">
        <v>459</v>
      </c>
      <c r="D89" t="s">
        <v>460</v>
      </c>
      <c r="E89" t="s">
        <v>461</v>
      </c>
      <c r="F89" t="s">
        <v>46</v>
      </c>
      <c r="G89" t="s">
        <v>240</v>
      </c>
      <c r="H89" t="s">
        <v>48</v>
      </c>
      <c r="I89" t="s">
        <v>49</v>
      </c>
      <c r="J89" t="s">
        <v>50</v>
      </c>
      <c r="K89" t="s">
        <v>51</v>
      </c>
      <c r="L89" t="s">
        <v>51</v>
      </c>
      <c r="M89" t="s">
        <v>134</v>
      </c>
      <c r="N89" t="s">
        <v>462</v>
      </c>
      <c r="O89" t="s">
        <v>54</v>
      </c>
      <c r="P89" t="s">
        <v>54</v>
      </c>
      <c r="Q89" t="s">
        <v>51</v>
      </c>
      <c r="R89" t="s">
        <v>463</v>
      </c>
      <c r="S89" s="1">
        <v>85695694.439999998</v>
      </c>
      <c r="T89" s="1">
        <v>36943692.130000003</v>
      </c>
      <c r="U89" s="1">
        <v>87620575.209999993</v>
      </c>
      <c r="V89" s="1">
        <v>799246.52</v>
      </c>
      <c r="W89" t="s">
        <v>51</v>
      </c>
      <c r="X89">
        <v>453088.04</v>
      </c>
      <c r="Y89">
        <v>0</v>
      </c>
      <c r="Z89">
        <v>0</v>
      </c>
      <c r="AA89" s="14">
        <v>2119642.44</v>
      </c>
      <c r="AB89" s="14">
        <v>21912715.390000001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1500000</v>
      </c>
      <c r="AK89">
        <v>93473015</v>
      </c>
      <c r="AL89">
        <v>120370891</v>
      </c>
      <c r="AM89">
        <v>93473015.359999999</v>
      </c>
      <c r="AN89">
        <v>120370891.56999999</v>
      </c>
      <c r="AO89">
        <v>106526984.64</v>
      </c>
      <c r="AP89">
        <v>79629108.430000007</v>
      </c>
      <c r="AQ89" s="29">
        <f t="shared" si="1"/>
        <v>9.6731162810032743</v>
      </c>
    </row>
    <row r="90" spans="2:43" x14ac:dyDescent="0.3">
      <c r="B90" t="s">
        <v>439</v>
      </c>
      <c r="C90" t="s">
        <v>464</v>
      </c>
      <c r="D90" t="s">
        <v>91</v>
      </c>
      <c r="E90" t="s">
        <v>465</v>
      </c>
      <c r="F90" t="s">
        <v>70</v>
      </c>
      <c r="G90" t="s">
        <v>93</v>
      </c>
      <c r="H90" t="s">
        <v>60</v>
      </c>
      <c r="I90" t="s">
        <v>49</v>
      </c>
      <c r="J90" t="s">
        <v>50</v>
      </c>
      <c r="K90" t="s">
        <v>51</v>
      </c>
      <c r="L90" t="s">
        <v>51</v>
      </c>
      <c r="M90" t="s">
        <v>134</v>
      </c>
      <c r="N90" t="s">
        <v>466</v>
      </c>
      <c r="O90" t="s">
        <v>54</v>
      </c>
      <c r="P90" t="s">
        <v>54</v>
      </c>
      <c r="Q90" t="s">
        <v>54</v>
      </c>
      <c r="R90" t="s">
        <v>467</v>
      </c>
      <c r="S90" s="1">
        <v>3827365.16</v>
      </c>
      <c r="T90" s="1">
        <v>1430113.25</v>
      </c>
      <c r="U90" s="1">
        <v>3974715.21</v>
      </c>
      <c r="V90" s="1">
        <v>0</v>
      </c>
      <c r="W90" t="s">
        <v>51</v>
      </c>
      <c r="X90">
        <v>95433.59</v>
      </c>
      <c r="Y90">
        <v>0</v>
      </c>
      <c r="Z90">
        <v>632934.79</v>
      </c>
      <c r="AA90" s="14">
        <v>-147350.04999999999</v>
      </c>
      <c r="AB90" s="14">
        <v>14717291.91</v>
      </c>
      <c r="AC90">
        <v>14717291.91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68602271495</v>
      </c>
      <c r="AL90">
        <v>68602271495</v>
      </c>
      <c r="AM90">
        <v>4525000</v>
      </c>
      <c r="AN90">
        <v>4525000</v>
      </c>
      <c r="AO90">
        <v>0</v>
      </c>
      <c r="AP90">
        <v>0</v>
      </c>
      <c r="AQ90" s="29">
        <f t="shared" si="1"/>
        <v>-1.0012035563409571</v>
      </c>
    </row>
    <row r="91" spans="2:43" x14ac:dyDescent="0.3">
      <c r="B91" t="s">
        <v>439</v>
      </c>
      <c r="C91" t="s">
        <v>468</v>
      </c>
      <c r="D91" t="s">
        <v>469</v>
      </c>
      <c r="E91" t="s">
        <v>470</v>
      </c>
      <c r="F91" t="s">
        <v>46</v>
      </c>
      <c r="G91" t="s">
        <v>150</v>
      </c>
      <c r="H91" t="s">
        <v>48</v>
      </c>
      <c r="I91" t="s">
        <v>363</v>
      </c>
      <c r="J91" t="s">
        <v>50</v>
      </c>
      <c r="K91" t="s">
        <v>51</v>
      </c>
      <c r="L91" t="s">
        <v>51</v>
      </c>
      <c r="M91" t="s">
        <v>134</v>
      </c>
      <c r="N91" t="s">
        <v>471</v>
      </c>
      <c r="O91" t="s">
        <v>54</v>
      </c>
      <c r="P91" t="s">
        <v>54</v>
      </c>
      <c r="Q91" t="s">
        <v>51</v>
      </c>
      <c r="R91" t="s">
        <v>472</v>
      </c>
      <c r="S91" s="1">
        <v>240576</v>
      </c>
      <c r="T91" s="1">
        <v>2240252.56</v>
      </c>
      <c r="U91" s="1">
        <v>2343475.62</v>
      </c>
      <c r="V91" s="1">
        <v>0</v>
      </c>
      <c r="W91" t="s">
        <v>51</v>
      </c>
      <c r="X91">
        <v>1787799.94</v>
      </c>
      <c r="Y91">
        <v>0</v>
      </c>
      <c r="Z91">
        <v>0</v>
      </c>
      <c r="AA91" s="14">
        <v>1815812.38</v>
      </c>
      <c r="AB91" s="14">
        <v>8445906.5800000001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10261718.960000001</v>
      </c>
      <c r="AO91">
        <v>0</v>
      </c>
      <c r="AP91">
        <v>42000000</v>
      </c>
      <c r="AQ91" s="29">
        <f t="shared" si="1"/>
        <v>21.499318785976911</v>
      </c>
    </row>
    <row r="92" spans="2:43" x14ac:dyDescent="0.3">
      <c r="B92" t="s">
        <v>473</v>
      </c>
      <c r="C92" t="s">
        <v>474</v>
      </c>
      <c r="D92" t="s">
        <v>475</v>
      </c>
      <c r="E92" t="s">
        <v>476</v>
      </c>
      <c r="F92" t="s">
        <v>46</v>
      </c>
      <c r="G92" t="s">
        <v>93</v>
      </c>
      <c r="H92" t="s">
        <v>60</v>
      </c>
      <c r="I92" t="s">
        <v>49</v>
      </c>
      <c r="J92" t="s">
        <v>50</v>
      </c>
      <c r="K92" t="s">
        <v>51</v>
      </c>
      <c r="L92" t="s">
        <v>51</v>
      </c>
      <c r="M92" t="s">
        <v>52</v>
      </c>
      <c r="N92" t="s">
        <v>477</v>
      </c>
      <c r="O92" t="s">
        <v>54</v>
      </c>
      <c r="P92" t="s">
        <v>54</v>
      </c>
      <c r="Q92" t="s">
        <v>54</v>
      </c>
      <c r="R92" t="s">
        <v>478</v>
      </c>
      <c r="S92" s="1">
        <v>3768285.31</v>
      </c>
      <c r="T92" s="1">
        <v>67137141.859999999</v>
      </c>
      <c r="U92" s="1">
        <v>601348873.39999998</v>
      </c>
      <c r="V92" s="1">
        <v>291778988.33999997</v>
      </c>
      <c r="W92" t="s">
        <v>51</v>
      </c>
      <c r="X92">
        <v>1108154.3400000001</v>
      </c>
      <c r="Y92">
        <v>0</v>
      </c>
      <c r="Z92">
        <v>0</v>
      </c>
      <c r="AA92" s="14">
        <v>146950636.65000001</v>
      </c>
      <c r="AB92" s="14">
        <v>522204264.81</v>
      </c>
      <c r="AC92">
        <v>0</v>
      </c>
      <c r="AD92">
        <v>0</v>
      </c>
      <c r="AE92">
        <v>351858350.23000002</v>
      </c>
      <c r="AF92">
        <v>312898396.06</v>
      </c>
      <c r="AG92">
        <v>0</v>
      </c>
      <c r="AH92" s="14">
        <v>0</v>
      </c>
      <c r="AI92">
        <v>0</v>
      </c>
      <c r="AJ92">
        <v>0</v>
      </c>
      <c r="AK92">
        <v>196040923.41999999</v>
      </c>
      <c r="AL92">
        <v>196040923.41999999</v>
      </c>
      <c r="AM92">
        <v>187163774.28999999</v>
      </c>
      <c r="AN92">
        <v>187163774.28999999</v>
      </c>
      <c r="AO92">
        <v>8877149.1300000008</v>
      </c>
      <c r="AP92">
        <v>8877149.1300000008</v>
      </c>
      <c r="AQ92" s="29">
        <f t="shared" si="1"/>
        <v>28.140451266415234</v>
      </c>
    </row>
    <row r="93" spans="2:43" x14ac:dyDescent="0.3">
      <c r="B93" t="s">
        <v>473</v>
      </c>
      <c r="C93" t="s">
        <v>479</v>
      </c>
      <c r="D93" t="s">
        <v>480</v>
      </c>
      <c r="E93" t="s">
        <v>481</v>
      </c>
      <c r="F93" t="s">
        <v>46</v>
      </c>
      <c r="G93" t="s">
        <v>150</v>
      </c>
      <c r="H93" t="s">
        <v>60</v>
      </c>
      <c r="I93" t="s">
        <v>49</v>
      </c>
      <c r="J93" t="s">
        <v>50</v>
      </c>
      <c r="K93" t="s">
        <v>51</v>
      </c>
      <c r="L93" t="s">
        <v>51</v>
      </c>
      <c r="M93" t="s">
        <v>52</v>
      </c>
      <c r="N93" t="s">
        <v>482</v>
      </c>
      <c r="O93" t="s">
        <v>54</v>
      </c>
      <c r="P93" t="s">
        <v>54</v>
      </c>
      <c r="Q93" t="s">
        <v>54</v>
      </c>
      <c r="R93" t="s">
        <v>483</v>
      </c>
      <c r="S93" s="1">
        <v>-112059.96</v>
      </c>
      <c r="T93" s="1">
        <v>5762687.8600000003</v>
      </c>
      <c r="U93" s="1">
        <v>6600428.3799999999</v>
      </c>
      <c r="V93" s="1">
        <v>0</v>
      </c>
      <c r="W93" t="s">
        <v>51</v>
      </c>
      <c r="X93">
        <v>509842.36</v>
      </c>
      <c r="Y93">
        <v>0</v>
      </c>
      <c r="Z93">
        <v>0</v>
      </c>
      <c r="AA93" s="14">
        <v>1310016.03</v>
      </c>
      <c r="AB93" s="14">
        <v>1972373.89</v>
      </c>
      <c r="AC93">
        <v>0</v>
      </c>
      <c r="AD93">
        <v>0</v>
      </c>
      <c r="AE93">
        <v>4558969.2</v>
      </c>
      <c r="AF93">
        <v>8094138.8600000003</v>
      </c>
      <c r="AG93">
        <v>0</v>
      </c>
      <c r="AH93" s="14">
        <v>0</v>
      </c>
      <c r="AI93">
        <v>0</v>
      </c>
      <c r="AJ93">
        <v>0</v>
      </c>
      <c r="AK93">
        <v>9000000</v>
      </c>
      <c r="AL93">
        <v>9000000</v>
      </c>
      <c r="AM93">
        <v>9000000</v>
      </c>
      <c r="AN93">
        <v>9000000</v>
      </c>
      <c r="AO93">
        <v>0</v>
      </c>
      <c r="AP93">
        <v>0</v>
      </c>
      <c r="AQ93" s="29">
        <f t="shared" si="1"/>
        <v>66.418240306354903</v>
      </c>
    </row>
    <row r="94" spans="2:43" x14ac:dyDescent="0.3">
      <c r="B94" t="s">
        <v>473</v>
      </c>
      <c r="C94" t="s">
        <v>484</v>
      </c>
      <c r="D94" t="s">
        <v>485</v>
      </c>
      <c r="E94" t="s">
        <v>486</v>
      </c>
      <c r="F94" t="s">
        <v>46</v>
      </c>
      <c r="G94" t="s">
        <v>121</v>
      </c>
      <c r="H94" t="s">
        <v>60</v>
      </c>
      <c r="I94" t="s">
        <v>49</v>
      </c>
      <c r="J94" t="s">
        <v>50</v>
      </c>
      <c r="K94" t="s">
        <v>51</v>
      </c>
      <c r="L94" t="s">
        <v>51</v>
      </c>
      <c r="M94" t="s">
        <v>52</v>
      </c>
      <c r="N94" t="s">
        <v>462</v>
      </c>
      <c r="O94" t="s">
        <v>54</v>
      </c>
      <c r="P94" t="s">
        <v>54</v>
      </c>
      <c r="Q94" t="s">
        <v>54</v>
      </c>
      <c r="R94" t="s">
        <v>487</v>
      </c>
      <c r="S94" s="1">
        <v>3285584.49</v>
      </c>
      <c r="T94" s="1">
        <v>38864423.299999997</v>
      </c>
      <c r="U94" s="1">
        <v>54343375.850000001</v>
      </c>
      <c r="V94" s="1">
        <v>0</v>
      </c>
      <c r="W94" t="s">
        <v>51</v>
      </c>
      <c r="X94">
        <v>240497.4</v>
      </c>
      <c r="Y94">
        <v>0</v>
      </c>
      <c r="Z94">
        <v>0</v>
      </c>
      <c r="AA94" s="14">
        <v>-185231.32</v>
      </c>
      <c r="AB94" s="14">
        <v>-47199477.869999997</v>
      </c>
      <c r="AC94">
        <v>0</v>
      </c>
      <c r="AD94">
        <v>0</v>
      </c>
      <c r="AE94">
        <v>27650145.390000001</v>
      </c>
      <c r="AF94">
        <v>74543497.370000005</v>
      </c>
      <c r="AG94">
        <v>0</v>
      </c>
      <c r="AH94" s="14">
        <v>0</v>
      </c>
      <c r="AI94">
        <v>0</v>
      </c>
      <c r="AJ94">
        <v>0</v>
      </c>
      <c r="AK94">
        <v>239994409</v>
      </c>
      <c r="AL94">
        <v>239995200</v>
      </c>
      <c r="AM94">
        <v>240000000</v>
      </c>
      <c r="AN94">
        <v>223479277</v>
      </c>
      <c r="AO94">
        <v>16516253.32</v>
      </c>
      <c r="AP94">
        <v>16516253.32</v>
      </c>
      <c r="AQ94" s="29">
        <f t="shared" si="1"/>
        <v>0.39244357852893341</v>
      </c>
    </row>
    <row r="95" spans="2:43" x14ac:dyDescent="0.3">
      <c r="B95" t="s">
        <v>473</v>
      </c>
      <c r="C95" t="s">
        <v>488</v>
      </c>
      <c r="D95" t="s">
        <v>489</v>
      </c>
      <c r="E95" t="s">
        <v>490</v>
      </c>
      <c r="F95" t="s">
        <v>46</v>
      </c>
      <c r="G95" t="s">
        <v>240</v>
      </c>
      <c r="H95" t="s">
        <v>60</v>
      </c>
      <c r="I95" t="s">
        <v>49</v>
      </c>
      <c r="J95" t="s">
        <v>50</v>
      </c>
      <c r="K95" t="s">
        <v>51</v>
      </c>
      <c r="L95" t="s">
        <v>51</v>
      </c>
      <c r="M95" t="s">
        <v>52</v>
      </c>
      <c r="N95" t="s">
        <v>491</v>
      </c>
      <c r="O95" t="s">
        <v>54</v>
      </c>
      <c r="P95" t="s">
        <v>54</v>
      </c>
      <c r="Q95" t="s">
        <v>51</v>
      </c>
      <c r="R95" t="s">
        <v>492</v>
      </c>
      <c r="S95" s="1">
        <v>137440387.50999999</v>
      </c>
      <c r="T95" s="1">
        <v>46402937.020000003</v>
      </c>
      <c r="U95" s="1">
        <v>64601972.18</v>
      </c>
      <c r="V95" s="1">
        <v>0</v>
      </c>
      <c r="W95" t="s">
        <v>51</v>
      </c>
      <c r="X95">
        <v>479198.33</v>
      </c>
      <c r="Y95">
        <v>0</v>
      </c>
      <c r="Z95">
        <v>0</v>
      </c>
      <c r="AA95" s="14">
        <v>-1963928.77</v>
      </c>
      <c r="AB95" s="14">
        <v>8758323.8200000003</v>
      </c>
      <c r="AC95">
        <v>8758323.8200000003</v>
      </c>
      <c r="AD95">
        <v>0</v>
      </c>
      <c r="AE95">
        <v>23951018.329999998</v>
      </c>
      <c r="AF95">
        <v>84446717.299999997</v>
      </c>
      <c r="AG95">
        <v>0</v>
      </c>
      <c r="AH95" s="14">
        <v>0</v>
      </c>
      <c r="AI95">
        <v>0</v>
      </c>
      <c r="AJ95">
        <v>0</v>
      </c>
      <c r="AK95">
        <v>221702474.55000001</v>
      </c>
      <c r="AL95">
        <v>221702474.55000001</v>
      </c>
      <c r="AM95">
        <v>221702474.55000001</v>
      </c>
      <c r="AN95">
        <v>221702474.55000001</v>
      </c>
      <c r="AO95">
        <v>0</v>
      </c>
      <c r="AP95">
        <v>2024</v>
      </c>
      <c r="AQ95" s="29">
        <f t="shared" si="1"/>
        <v>-22.423568828493028</v>
      </c>
    </row>
    <row r="96" spans="2:43" x14ac:dyDescent="0.3">
      <c r="B96" t="s">
        <v>473</v>
      </c>
      <c r="C96" t="s">
        <v>493</v>
      </c>
      <c r="D96" t="s">
        <v>494</v>
      </c>
      <c r="E96" t="s">
        <v>495</v>
      </c>
      <c r="F96" t="s">
        <v>70</v>
      </c>
      <c r="G96" t="s">
        <v>71</v>
      </c>
      <c r="H96" t="s">
        <v>48</v>
      </c>
      <c r="I96" t="s">
        <v>76</v>
      </c>
      <c r="J96" t="s">
        <v>50</v>
      </c>
      <c r="K96" t="s">
        <v>51</v>
      </c>
      <c r="L96" t="s">
        <v>51</v>
      </c>
      <c r="M96" t="s">
        <v>134</v>
      </c>
      <c r="N96" t="s">
        <v>66</v>
      </c>
      <c r="O96" t="s">
        <v>51</v>
      </c>
      <c r="P96" t="s">
        <v>51</v>
      </c>
      <c r="Q96" t="s">
        <v>51</v>
      </c>
      <c r="R96" t="s">
        <v>55</v>
      </c>
      <c r="S96" s="1">
        <v>0</v>
      </c>
      <c r="T96" s="1">
        <v>0</v>
      </c>
      <c r="U96" s="1">
        <v>0</v>
      </c>
      <c r="V96" s="1">
        <v>0</v>
      </c>
      <c r="W96" t="s">
        <v>51</v>
      </c>
      <c r="X96">
        <v>0</v>
      </c>
      <c r="Y96">
        <v>0</v>
      </c>
      <c r="Z96">
        <v>0</v>
      </c>
      <c r="AA96" s="14">
        <v>0</v>
      </c>
      <c r="AB96" s="14">
        <v>-425197217.69999999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1.24</v>
      </c>
      <c r="AN96">
        <v>1.24</v>
      </c>
      <c r="AO96">
        <v>0</v>
      </c>
      <c r="AP96">
        <v>0</v>
      </c>
      <c r="AQ96" s="29">
        <f t="shared" si="1"/>
        <v>0</v>
      </c>
    </row>
    <row r="97" spans="2:43" x14ac:dyDescent="0.3">
      <c r="B97" t="s">
        <v>473</v>
      </c>
      <c r="C97" t="s">
        <v>496</v>
      </c>
      <c r="D97" t="s">
        <v>497</v>
      </c>
      <c r="E97" t="s">
        <v>498</v>
      </c>
      <c r="F97" t="s">
        <v>46</v>
      </c>
      <c r="G97" t="s">
        <v>75</v>
      </c>
      <c r="H97" t="s">
        <v>60</v>
      </c>
      <c r="I97" t="s">
        <v>49</v>
      </c>
      <c r="J97" t="s">
        <v>50</v>
      </c>
      <c r="K97" t="s">
        <v>51</v>
      </c>
      <c r="L97" t="s">
        <v>51</v>
      </c>
      <c r="M97" t="s">
        <v>134</v>
      </c>
      <c r="N97" t="s">
        <v>499</v>
      </c>
      <c r="O97" t="s">
        <v>54</v>
      </c>
      <c r="P97" t="s">
        <v>54</v>
      </c>
      <c r="Q97" t="s">
        <v>54</v>
      </c>
      <c r="R97" t="s">
        <v>500</v>
      </c>
      <c r="S97" s="1">
        <v>36113028.460000001</v>
      </c>
      <c r="T97" s="1">
        <v>14671226.83</v>
      </c>
      <c r="U97" s="1">
        <v>34890671</v>
      </c>
      <c r="V97" s="1">
        <v>1830220.8</v>
      </c>
      <c r="W97" t="s">
        <v>51</v>
      </c>
      <c r="X97">
        <v>426408.06</v>
      </c>
      <c r="Y97">
        <v>0</v>
      </c>
      <c r="Z97">
        <v>168386.46</v>
      </c>
      <c r="AA97" s="14">
        <v>823698.66</v>
      </c>
      <c r="AB97" s="14">
        <v>252202182.28999999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23435689.940000001</v>
      </c>
      <c r="AL97">
        <v>23376621.640000001</v>
      </c>
      <c r="AM97">
        <v>23376622</v>
      </c>
      <c r="AN97">
        <v>23435689.940000001</v>
      </c>
      <c r="AO97">
        <v>0</v>
      </c>
      <c r="AP97">
        <v>0</v>
      </c>
      <c r="AQ97" s="29">
        <f t="shared" si="1"/>
        <v>0.32660251093816972</v>
      </c>
    </row>
    <row r="98" spans="2:43" x14ac:dyDescent="0.3">
      <c r="B98" t="s">
        <v>473</v>
      </c>
      <c r="C98" t="s">
        <v>501</v>
      </c>
      <c r="D98" t="s">
        <v>502</v>
      </c>
      <c r="E98" t="s">
        <v>503</v>
      </c>
      <c r="F98" t="s">
        <v>46</v>
      </c>
      <c r="G98" t="s">
        <v>409</v>
      </c>
      <c r="H98" t="s">
        <v>60</v>
      </c>
      <c r="I98" t="s">
        <v>49</v>
      </c>
      <c r="J98" t="s">
        <v>373</v>
      </c>
      <c r="K98" t="s">
        <v>54</v>
      </c>
      <c r="L98" t="s">
        <v>51</v>
      </c>
      <c r="M98" t="s">
        <v>134</v>
      </c>
      <c r="N98" t="s">
        <v>359</v>
      </c>
      <c r="O98" t="s">
        <v>54</v>
      </c>
      <c r="P98" t="s">
        <v>54</v>
      </c>
      <c r="Q98" t="s">
        <v>54</v>
      </c>
      <c r="R98" t="s">
        <v>504</v>
      </c>
      <c r="S98" s="1">
        <v>19287584.649999999</v>
      </c>
      <c r="T98" s="1">
        <v>25061326.27</v>
      </c>
      <c r="U98" s="1">
        <v>58565486.159999996</v>
      </c>
      <c r="V98" s="1">
        <v>21027359.489999998</v>
      </c>
      <c r="W98" t="s">
        <v>51</v>
      </c>
      <c r="X98">
        <v>888466.76</v>
      </c>
      <c r="Y98">
        <v>0</v>
      </c>
      <c r="Z98">
        <v>0</v>
      </c>
      <c r="AA98" s="14">
        <v>37486205.479999997</v>
      </c>
      <c r="AB98" s="14">
        <v>783558914.41999996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79676502</v>
      </c>
      <c r="AL98">
        <v>79676502</v>
      </c>
      <c r="AM98">
        <v>602350701.85000002</v>
      </c>
      <c r="AN98">
        <v>602350701.85000002</v>
      </c>
      <c r="AO98">
        <v>0</v>
      </c>
      <c r="AP98">
        <v>0</v>
      </c>
      <c r="AQ98" s="29">
        <f t="shared" si="1"/>
        <v>4.7840953360536709</v>
      </c>
    </row>
    <row r="99" spans="2:43" x14ac:dyDescent="0.3">
      <c r="B99" t="s">
        <v>473</v>
      </c>
      <c r="C99" t="s">
        <v>505</v>
      </c>
      <c r="D99" t="s">
        <v>506</v>
      </c>
      <c r="E99" t="s">
        <v>507</v>
      </c>
      <c r="F99" t="s">
        <v>46</v>
      </c>
      <c r="G99" t="s">
        <v>240</v>
      </c>
      <c r="H99" t="s">
        <v>48</v>
      </c>
      <c r="I99" t="s">
        <v>76</v>
      </c>
      <c r="J99" t="s">
        <v>50</v>
      </c>
      <c r="K99" t="s">
        <v>51</v>
      </c>
      <c r="L99" t="s">
        <v>51</v>
      </c>
      <c r="M99" t="s">
        <v>134</v>
      </c>
      <c r="N99" t="s">
        <v>508</v>
      </c>
      <c r="O99" t="s">
        <v>54</v>
      </c>
      <c r="P99" t="s">
        <v>54</v>
      </c>
      <c r="Q99" t="s">
        <v>51</v>
      </c>
      <c r="R99" t="s">
        <v>509</v>
      </c>
      <c r="S99" s="1">
        <v>10685127.470000001</v>
      </c>
      <c r="T99" s="1">
        <v>10859558.17</v>
      </c>
      <c r="U99" s="1">
        <v>17278100.640000001</v>
      </c>
      <c r="V99" s="1">
        <v>0</v>
      </c>
      <c r="W99" t="s">
        <v>51</v>
      </c>
      <c r="X99">
        <v>267005.07</v>
      </c>
      <c r="Y99">
        <v>0</v>
      </c>
      <c r="Z99">
        <v>14836.94</v>
      </c>
      <c r="AA99" s="14">
        <v>-6592973.1699999999</v>
      </c>
      <c r="AB99" s="14">
        <v>1465632.25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3380000</v>
      </c>
      <c r="AK99">
        <v>0</v>
      </c>
      <c r="AL99">
        <v>10000000</v>
      </c>
      <c r="AM99">
        <v>0</v>
      </c>
      <c r="AN99">
        <v>4130000</v>
      </c>
      <c r="AO99">
        <v>0</v>
      </c>
      <c r="AP99">
        <v>5870000</v>
      </c>
      <c r="AQ99" s="29">
        <f t="shared" si="1"/>
        <v>-449.83816165344342</v>
      </c>
    </row>
    <row r="100" spans="2:43" x14ac:dyDescent="0.3">
      <c r="B100" t="s">
        <v>473</v>
      </c>
      <c r="C100" t="s">
        <v>510</v>
      </c>
      <c r="D100" t="s">
        <v>511</v>
      </c>
      <c r="E100" t="s">
        <v>512</v>
      </c>
      <c r="F100" t="s">
        <v>46</v>
      </c>
      <c r="G100" t="s">
        <v>65</v>
      </c>
      <c r="H100" t="s">
        <v>60</v>
      </c>
      <c r="I100" t="s">
        <v>49</v>
      </c>
      <c r="J100" t="s">
        <v>50</v>
      </c>
      <c r="K100" t="s">
        <v>51</v>
      </c>
      <c r="L100" t="s">
        <v>51</v>
      </c>
      <c r="M100" t="s">
        <v>134</v>
      </c>
      <c r="N100" t="s">
        <v>513</v>
      </c>
      <c r="O100" t="s">
        <v>54</v>
      </c>
      <c r="P100" t="s">
        <v>54</v>
      </c>
      <c r="Q100" t="s">
        <v>54</v>
      </c>
      <c r="R100" t="s">
        <v>514</v>
      </c>
      <c r="S100" s="1">
        <v>68588577</v>
      </c>
      <c r="T100" s="1">
        <v>58285765</v>
      </c>
      <c r="U100" s="1">
        <v>62508621</v>
      </c>
      <c r="V100" s="1">
        <v>0</v>
      </c>
      <c r="W100" t="s">
        <v>51</v>
      </c>
      <c r="X100">
        <v>420000</v>
      </c>
      <c r="Y100">
        <v>0</v>
      </c>
      <c r="Z100">
        <v>132000</v>
      </c>
      <c r="AA100" s="14">
        <v>-52937445</v>
      </c>
      <c r="AB100" s="14">
        <v>220753873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285854692</v>
      </c>
      <c r="AL100">
        <v>328022634</v>
      </c>
      <c r="AM100">
        <v>420447038.10000002</v>
      </c>
      <c r="AN100">
        <v>481302976</v>
      </c>
      <c r="AO100">
        <v>0</v>
      </c>
      <c r="AP100">
        <v>0</v>
      </c>
      <c r="AQ100" s="29">
        <f t="shared" si="1"/>
        <v>-23.980301808793179</v>
      </c>
    </row>
    <row r="101" spans="2:43" x14ac:dyDescent="0.3">
      <c r="B101" t="s">
        <v>473</v>
      </c>
      <c r="C101" t="s">
        <v>515</v>
      </c>
      <c r="D101" t="s">
        <v>516</v>
      </c>
      <c r="E101" t="s">
        <v>517</v>
      </c>
      <c r="F101" t="s">
        <v>46</v>
      </c>
      <c r="G101" t="s">
        <v>409</v>
      </c>
      <c r="H101" t="s">
        <v>60</v>
      </c>
      <c r="I101" t="s">
        <v>49</v>
      </c>
      <c r="J101" t="s">
        <v>50</v>
      </c>
      <c r="K101" t="s">
        <v>51</v>
      </c>
      <c r="L101" t="s">
        <v>54</v>
      </c>
      <c r="M101" t="s">
        <v>134</v>
      </c>
      <c r="N101" t="s">
        <v>518</v>
      </c>
      <c r="O101" t="s">
        <v>51</v>
      </c>
      <c r="P101" t="s">
        <v>54</v>
      </c>
      <c r="Q101" t="s">
        <v>51</v>
      </c>
      <c r="R101" t="s">
        <v>504</v>
      </c>
      <c r="S101" s="1">
        <v>12136390.91</v>
      </c>
      <c r="T101" s="1">
        <v>1186958.8</v>
      </c>
      <c r="U101" s="1">
        <v>5755733.5300000003</v>
      </c>
      <c r="V101" s="1">
        <v>0</v>
      </c>
      <c r="W101" t="s">
        <v>51</v>
      </c>
      <c r="X101">
        <v>156757.48000000001</v>
      </c>
      <c r="Y101">
        <v>0</v>
      </c>
      <c r="Z101">
        <v>0</v>
      </c>
      <c r="AA101" s="14">
        <v>4756432.6100000003</v>
      </c>
      <c r="AB101" s="14">
        <v>76628909.560000002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34696000</v>
      </c>
      <c r="AL101">
        <v>34696000</v>
      </c>
      <c r="AM101">
        <v>34696000</v>
      </c>
      <c r="AN101">
        <v>34696000</v>
      </c>
      <c r="AO101">
        <v>0</v>
      </c>
      <c r="AP101">
        <v>0</v>
      </c>
      <c r="AQ101" s="29">
        <f t="shared" si="1"/>
        <v>6.2070994319392483</v>
      </c>
    </row>
    <row r="102" spans="2:43" x14ac:dyDescent="0.3">
      <c r="B102" t="s">
        <v>473</v>
      </c>
      <c r="C102" t="s">
        <v>519</v>
      </c>
      <c r="D102" t="s">
        <v>520</v>
      </c>
      <c r="E102" t="s">
        <v>521</v>
      </c>
      <c r="F102" t="s">
        <v>46</v>
      </c>
      <c r="G102" t="s">
        <v>71</v>
      </c>
      <c r="H102" t="s">
        <v>60</v>
      </c>
      <c r="I102" t="s">
        <v>49</v>
      </c>
      <c r="J102" t="s">
        <v>50</v>
      </c>
      <c r="K102" t="s">
        <v>51</v>
      </c>
      <c r="L102" t="s">
        <v>51</v>
      </c>
      <c r="M102" t="s">
        <v>134</v>
      </c>
      <c r="N102" t="s">
        <v>522</v>
      </c>
      <c r="O102" t="s">
        <v>54</v>
      </c>
      <c r="P102" t="s">
        <v>54</v>
      </c>
      <c r="Q102" t="s">
        <v>51</v>
      </c>
      <c r="R102" t="s">
        <v>523</v>
      </c>
      <c r="S102" s="1">
        <v>67149141.700000003</v>
      </c>
      <c r="T102" s="1">
        <v>34912880.640000001</v>
      </c>
      <c r="U102" s="1">
        <v>63689613.82</v>
      </c>
      <c r="V102" s="1">
        <v>0</v>
      </c>
      <c r="W102" t="s">
        <v>54</v>
      </c>
      <c r="X102">
        <v>448712.5</v>
      </c>
      <c r="Y102">
        <v>6090.93</v>
      </c>
      <c r="Z102">
        <v>0</v>
      </c>
      <c r="AA102" s="14">
        <v>3573169.57</v>
      </c>
      <c r="AB102" s="14">
        <v>202753071.25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186394380</v>
      </c>
      <c r="AL102">
        <v>193195396</v>
      </c>
      <c r="AM102">
        <v>186394379.58000001</v>
      </c>
      <c r="AN102">
        <v>193195396.06999999</v>
      </c>
      <c r="AO102">
        <v>3199176.39</v>
      </c>
      <c r="AP102">
        <v>0</v>
      </c>
      <c r="AQ102" s="29">
        <f t="shared" si="1"/>
        <v>1.7623257433147268</v>
      </c>
    </row>
    <row r="103" spans="2:43" x14ac:dyDescent="0.3">
      <c r="B103" t="s">
        <v>473</v>
      </c>
      <c r="C103" t="s">
        <v>524</v>
      </c>
      <c r="D103" t="s">
        <v>525</v>
      </c>
      <c r="E103" t="s">
        <v>526</v>
      </c>
      <c r="F103" t="s">
        <v>46</v>
      </c>
      <c r="G103" t="s">
        <v>139</v>
      </c>
      <c r="H103" t="s">
        <v>60</v>
      </c>
      <c r="I103" t="s">
        <v>49</v>
      </c>
      <c r="J103" t="s">
        <v>50</v>
      </c>
      <c r="K103" t="s">
        <v>51</v>
      </c>
      <c r="L103" t="s">
        <v>51</v>
      </c>
      <c r="M103" t="s">
        <v>134</v>
      </c>
      <c r="N103" t="s">
        <v>61</v>
      </c>
      <c r="O103" t="s">
        <v>54</v>
      </c>
      <c r="P103" t="s">
        <v>54</v>
      </c>
      <c r="Q103" t="s">
        <v>51</v>
      </c>
      <c r="R103" t="s">
        <v>527</v>
      </c>
      <c r="S103" s="1">
        <v>0</v>
      </c>
      <c r="T103" s="1">
        <v>478217.72</v>
      </c>
      <c r="U103" s="1">
        <v>908252.72</v>
      </c>
      <c r="V103" s="1">
        <v>7550.09</v>
      </c>
      <c r="W103" t="s">
        <v>51</v>
      </c>
      <c r="X103">
        <v>194114.4</v>
      </c>
      <c r="Y103">
        <v>0</v>
      </c>
      <c r="Z103">
        <v>22387.200000000001</v>
      </c>
      <c r="AA103" s="14">
        <v>-886415.29</v>
      </c>
      <c r="AB103" s="14">
        <v>422532.88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159782.1</v>
      </c>
      <c r="AK103">
        <v>1511301</v>
      </c>
      <c r="AL103">
        <v>2040000</v>
      </c>
      <c r="AM103">
        <v>8870000</v>
      </c>
      <c r="AN103">
        <v>2040000</v>
      </c>
      <c r="AO103">
        <v>0</v>
      </c>
      <c r="AP103">
        <v>368899</v>
      </c>
      <c r="AQ103" s="29">
        <f t="shared" si="1"/>
        <v>-209.78610942656107</v>
      </c>
    </row>
    <row r="104" spans="2:43" x14ac:dyDescent="0.3">
      <c r="B104" t="s">
        <v>473</v>
      </c>
      <c r="C104" t="s">
        <v>528</v>
      </c>
      <c r="D104" t="s">
        <v>529</v>
      </c>
      <c r="E104" t="s">
        <v>530</v>
      </c>
      <c r="F104" t="s">
        <v>46</v>
      </c>
      <c r="G104" t="s">
        <v>133</v>
      </c>
      <c r="H104" t="s">
        <v>60</v>
      </c>
      <c r="I104" t="s">
        <v>49</v>
      </c>
      <c r="J104" t="s">
        <v>50</v>
      </c>
      <c r="K104" t="s">
        <v>51</v>
      </c>
      <c r="L104" t="s">
        <v>51</v>
      </c>
      <c r="M104" t="s">
        <v>134</v>
      </c>
      <c r="N104" t="s">
        <v>531</v>
      </c>
      <c r="O104" t="s">
        <v>54</v>
      </c>
      <c r="P104" t="s">
        <v>54</v>
      </c>
      <c r="Q104" t="s">
        <v>54</v>
      </c>
      <c r="R104" t="s">
        <v>532</v>
      </c>
      <c r="S104" s="1">
        <v>0</v>
      </c>
      <c r="T104" s="1">
        <v>10533207.779999999</v>
      </c>
      <c r="U104" s="1">
        <v>11434069.67</v>
      </c>
      <c r="V104" s="1">
        <v>0</v>
      </c>
      <c r="W104" t="s">
        <v>51</v>
      </c>
      <c r="X104">
        <v>389991.67</v>
      </c>
      <c r="Y104">
        <v>0</v>
      </c>
      <c r="Z104">
        <v>0</v>
      </c>
      <c r="AA104" s="14">
        <v>-327241.99</v>
      </c>
      <c r="AB104" s="14">
        <v>224771075.02000001</v>
      </c>
      <c r="AC104">
        <v>224771075.02000001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388343079.02999997</v>
      </c>
      <c r="AL104">
        <v>388343079.02999997</v>
      </c>
      <c r="AM104">
        <v>347607531.64999998</v>
      </c>
      <c r="AN104">
        <v>347607531.64999998</v>
      </c>
      <c r="AO104">
        <v>40735547.380000003</v>
      </c>
      <c r="AP104">
        <v>40735547.380000003</v>
      </c>
      <c r="AQ104" s="29">
        <f t="shared" si="1"/>
        <v>-0.14558901316411918</v>
      </c>
    </row>
    <row r="105" spans="2:43" x14ac:dyDescent="0.3">
      <c r="B105" t="s">
        <v>473</v>
      </c>
      <c r="C105" t="s">
        <v>533</v>
      </c>
      <c r="D105" t="s">
        <v>534</v>
      </c>
      <c r="E105" t="s">
        <v>535</v>
      </c>
      <c r="F105" t="s">
        <v>46</v>
      </c>
      <c r="G105" t="s">
        <v>409</v>
      </c>
      <c r="H105" t="s">
        <v>60</v>
      </c>
      <c r="I105" t="s">
        <v>49</v>
      </c>
      <c r="J105" t="s">
        <v>50</v>
      </c>
      <c r="K105" t="s">
        <v>51</v>
      </c>
      <c r="L105" t="s">
        <v>54</v>
      </c>
      <c r="M105" t="s">
        <v>134</v>
      </c>
      <c r="N105" t="s">
        <v>536</v>
      </c>
      <c r="O105" t="s">
        <v>54</v>
      </c>
      <c r="P105" t="s">
        <v>54</v>
      </c>
      <c r="Q105" t="s">
        <v>54</v>
      </c>
      <c r="R105" t="s">
        <v>504</v>
      </c>
      <c r="S105" s="1">
        <v>5454734.6399999997</v>
      </c>
      <c r="T105" s="1">
        <v>698121.06</v>
      </c>
      <c r="U105" s="1">
        <v>791019.2</v>
      </c>
      <c r="V105" s="1">
        <v>0</v>
      </c>
      <c r="W105" t="s">
        <v>51</v>
      </c>
      <c r="X105">
        <v>107797.56</v>
      </c>
      <c r="Y105">
        <v>0</v>
      </c>
      <c r="Z105">
        <v>0</v>
      </c>
      <c r="AA105" s="14">
        <v>2116812.39</v>
      </c>
      <c r="AB105" s="14">
        <v>51670315.479999997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35156000</v>
      </c>
      <c r="AL105">
        <v>35156000</v>
      </c>
      <c r="AM105">
        <v>35156000</v>
      </c>
      <c r="AN105">
        <v>35156000</v>
      </c>
      <c r="AO105">
        <v>0</v>
      </c>
      <c r="AP105">
        <v>0</v>
      </c>
      <c r="AQ105" s="29">
        <f t="shared" si="1"/>
        <v>4.0967669160436104</v>
      </c>
    </row>
    <row r="106" spans="2:43" x14ac:dyDescent="0.3">
      <c r="B106" t="s">
        <v>473</v>
      </c>
      <c r="C106" t="s">
        <v>537</v>
      </c>
      <c r="D106" t="s">
        <v>538</v>
      </c>
      <c r="E106" t="s">
        <v>539</v>
      </c>
      <c r="F106" t="s">
        <v>70</v>
      </c>
      <c r="G106" t="s">
        <v>47</v>
      </c>
      <c r="H106" t="s">
        <v>48</v>
      </c>
      <c r="I106" t="s">
        <v>76</v>
      </c>
      <c r="J106" t="s">
        <v>50</v>
      </c>
      <c r="K106" t="s">
        <v>51</v>
      </c>
      <c r="L106" t="s">
        <v>51</v>
      </c>
      <c r="M106" s="11" t="s">
        <v>134</v>
      </c>
      <c r="N106" t="s">
        <v>540</v>
      </c>
      <c r="O106" t="s">
        <v>51</v>
      </c>
      <c r="P106" t="s">
        <v>54</v>
      </c>
      <c r="Q106" t="s">
        <v>51</v>
      </c>
      <c r="R106" t="s">
        <v>541</v>
      </c>
      <c r="S106" s="1">
        <v>3443022.26</v>
      </c>
      <c r="T106" s="1">
        <v>2669788.5699999998</v>
      </c>
      <c r="U106" s="1">
        <v>19461684.27</v>
      </c>
      <c r="V106" s="1">
        <v>0</v>
      </c>
      <c r="W106" t="s">
        <v>51</v>
      </c>
      <c r="X106">
        <v>328428.32</v>
      </c>
      <c r="Y106">
        <v>0</v>
      </c>
      <c r="Z106">
        <v>0</v>
      </c>
      <c r="AA106" s="14">
        <v>62664207.670000002</v>
      </c>
      <c r="AB106" s="14">
        <v>133119686.19</v>
      </c>
      <c r="AC106">
        <v>0</v>
      </c>
      <c r="AD106">
        <v>0</v>
      </c>
      <c r="AE106">
        <v>3673590.97</v>
      </c>
      <c r="AF106" s="14">
        <v>2609145.86</v>
      </c>
      <c r="AG106">
        <v>0</v>
      </c>
      <c r="AH106" s="14">
        <v>0</v>
      </c>
      <c r="AI106">
        <v>50000000</v>
      </c>
      <c r="AJ106">
        <v>50000000</v>
      </c>
      <c r="AK106">
        <v>100000000</v>
      </c>
      <c r="AL106">
        <v>100000000</v>
      </c>
      <c r="AM106">
        <v>25782441.329999998</v>
      </c>
      <c r="AN106">
        <v>33033564.84</v>
      </c>
      <c r="AO106">
        <v>32978837.289999999</v>
      </c>
      <c r="AP106">
        <v>49945272.450000003</v>
      </c>
      <c r="AQ106" s="29">
        <f t="shared" si="1"/>
        <v>47.073584278556808</v>
      </c>
    </row>
    <row r="107" spans="2:43" x14ac:dyDescent="0.3">
      <c r="B107" t="s">
        <v>473</v>
      </c>
      <c r="C107" t="s">
        <v>542</v>
      </c>
      <c r="D107" t="s">
        <v>543</v>
      </c>
      <c r="E107" t="s">
        <v>544</v>
      </c>
      <c r="F107" t="s">
        <v>46</v>
      </c>
      <c r="G107" t="s">
        <v>107</v>
      </c>
      <c r="H107" t="s">
        <v>60</v>
      </c>
      <c r="I107" t="s">
        <v>49</v>
      </c>
      <c r="J107" t="s">
        <v>373</v>
      </c>
      <c r="K107" t="s">
        <v>51</v>
      </c>
      <c r="L107" t="s">
        <v>51</v>
      </c>
      <c r="M107" t="s">
        <v>134</v>
      </c>
      <c r="N107" t="s">
        <v>545</v>
      </c>
      <c r="O107" t="s">
        <v>54</v>
      </c>
      <c r="P107" t="s">
        <v>54</v>
      </c>
      <c r="Q107" t="s">
        <v>54</v>
      </c>
      <c r="R107" t="s">
        <v>546</v>
      </c>
      <c r="S107" s="1">
        <v>3305043552</v>
      </c>
      <c r="T107" s="1">
        <v>1414948617.8900001</v>
      </c>
      <c r="U107" s="1">
        <v>2683449696.8600001</v>
      </c>
      <c r="V107" s="1">
        <v>782274567.00999999</v>
      </c>
      <c r="W107" t="s">
        <v>54</v>
      </c>
      <c r="X107">
        <v>1197751.1299999999</v>
      </c>
      <c r="Y107">
        <v>19993.62</v>
      </c>
      <c r="Z107">
        <v>0</v>
      </c>
      <c r="AA107" s="14">
        <v>621593855.36000001</v>
      </c>
      <c r="AB107" s="14">
        <v>4596364117</v>
      </c>
      <c r="AC107">
        <v>0</v>
      </c>
      <c r="AD107">
        <v>92785355.310000002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1691128170.3399999</v>
      </c>
      <c r="AL107">
        <v>1691128170.3399999</v>
      </c>
      <c r="AM107">
        <v>2515546367.7600002</v>
      </c>
      <c r="AN107">
        <v>2515546367.7600002</v>
      </c>
      <c r="AO107">
        <v>0</v>
      </c>
      <c r="AP107">
        <v>0</v>
      </c>
      <c r="AQ107" s="29">
        <f t="shared" si="1"/>
        <v>13.523599078258142</v>
      </c>
    </row>
    <row r="108" spans="2:43" x14ac:dyDescent="0.3">
      <c r="B108" t="s">
        <v>547</v>
      </c>
      <c r="C108" t="s">
        <v>548</v>
      </c>
      <c r="D108" t="s">
        <v>549</v>
      </c>
      <c r="E108" t="s">
        <v>550</v>
      </c>
      <c r="F108" t="s">
        <v>46</v>
      </c>
      <c r="G108" t="s">
        <v>107</v>
      </c>
      <c r="H108" t="s">
        <v>60</v>
      </c>
      <c r="I108" t="s">
        <v>76</v>
      </c>
      <c r="J108" t="s">
        <v>50</v>
      </c>
      <c r="K108" t="s">
        <v>51</v>
      </c>
      <c r="L108" t="s">
        <v>51</v>
      </c>
      <c r="M108" t="s">
        <v>134</v>
      </c>
      <c r="N108" t="s">
        <v>551</v>
      </c>
      <c r="O108" t="s">
        <v>54</v>
      </c>
      <c r="P108" t="s">
        <v>54</v>
      </c>
      <c r="Q108" t="s">
        <v>54</v>
      </c>
      <c r="R108" t="s">
        <v>552</v>
      </c>
      <c r="S108" s="1">
        <v>628962559.91999996</v>
      </c>
      <c r="T108" s="1">
        <v>502653429.12</v>
      </c>
      <c r="U108" s="1">
        <v>1396873358.99</v>
      </c>
      <c r="V108" s="1">
        <v>44331819.740000002</v>
      </c>
      <c r="W108" t="s">
        <v>51</v>
      </c>
      <c r="X108">
        <v>38654.370000000003</v>
      </c>
      <c r="Y108">
        <v>0</v>
      </c>
      <c r="Z108">
        <v>0</v>
      </c>
      <c r="AA108" s="14">
        <v>-422274077.95999998</v>
      </c>
      <c r="AB108" s="14">
        <v>4588844439.5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137950485.71000001</v>
      </c>
      <c r="AJ108">
        <v>143586647.40000001</v>
      </c>
      <c r="AK108">
        <v>2249482402</v>
      </c>
      <c r="AL108">
        <v>2545601412.8899999</v>
      </c>
      <c r="AM108">
        <v>2249482402</v>
      </c>
      <c r="AN108">
        <v>2545601412.8899999</v>
      </c>
      <c r="AO108">
        <v>296119010.23000002</v>
      </c>
      <c r="AP108">
        <v>143586647.40000001</v>
      </c>
      <c r="AQ108" s="29">
        <f t="shared" si="1"/>
        <v>-9.2021876864061003</v>
      </c>
    </row>
    <row r="109" spans="2:43" x14ac:dyDescent="0.3">
      <c r="B109" t="s">
        <v>547</v>
      </c>
      <c r="C109" t="s">
        <v>553</v>
      </c>
      <c r="D109" t="s">
        <v>554</v>
      </c>
      <c r="E109" t="s">
        <v>555</v>
      </c>
      <c r="F109" t="s">
        <v>46</v>
      </c>
      <c r="G109" t="s">
        <v>314</v>
      </c>
      <c r="H109" t="s">
        <v>48</v>
      </c>
      <c r="I109" t="s">
        <v>76</v>
      </c>
      <c r="J109" t="s">
        <v>50</v>
      </c>
      <c r="K109" t="s">
        <v>51</v>
      </c>
      <c r="L109" t="s">
        <v>51</v>
      </c>
      <c r="M109" t="s">
        <v>134</v>
      </c>
      <c r="N109" t="s">
        <v>556</v>
      </c>
      <c r="O109" t="s">
        <v>54</v>
      </c>
      <c r="P109" t="s">
        <v>54</v>
      </c>
      <c r="Q109" t="s">
        <v>54</v>
      </c>
      <c r="R109" t="s">
        <v>557</v>
      </c>
      <c r="S109" s="1">
        <v>426934396.68000001</v>
      </c>
      <c r="T109" s="1">
        <v>118005030.55</v>
      </c>
      <c r="U109" s="1">
        <v>303985185</v>
      </c>
      <c r="V109" s="1">
        <v>136340021.81</v>
      </c>
      <c r="W109" t="s">
        <v>54</v>
      </c>
      <c r="X109">
        <v>936063.44</v>
      </c>
      <c r="Y109">
        <v>205789.96</v>
      </c>
      <c r="Z109">
        <v>195012.25</v>
      </c>
      <c r="AA109" s="14">
        <v>85242915.689999998</v>
      </c>
      <c r="AB109" s="14">
        <v>960599571.83000004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375668391</v>
      </c>
      <c r="AL109">
        <v>375668391</v>
      </c>
      <c r="AM109">
        <v>370668392</v>
      </c>
      <c r="AN109">
        <v>370668392</v>
      </c>
      <c r="AO109">
        <v>5000000</v>
      </c>
      <c r="AP109">
        <v>5000000</v>
      </c>
      <c r="AQ109" s="29">
        <f t="shared" si="1"/>
        <v>8.8739281371536638</v>
      </c>
    </row>
    <row r="110" spans="2:43" x14ac:dyDescent="0.3">
      <c r="B110" t="s">
        <v>547</v>
      </c>
      <c r="C110" t="s">
        <v>558</v>
      </c>
      <c r="D110" t="s">
        <v>559</v>
      </c>
      <c r="E110" t="s">
        <v>560</v>
      </c>
      <c r="F110" t="s">
        <v>46</v>
      </c>
      <c r="G110" t="s">
        <v>121</v>
      </c>
      <c r="H110" t="s">
        <v>48</v>
      </c>
      <c r="I110" t="s">
        <v>76</v>
      </c>
      <c r="J110" t="s">
        <v>50</v>
      </c>
      <c r="K110" t="s">
        <v>51</v>
      </c>
      <c r="L110" t="s">
        <v>51</v>
      </c>
      <c r="M110" t="s">
        <v>134</v>
      </c>
      <c r="N110" t="s">
        <v>561</v>
      </c>
      <c r="O110" t="s">
        <v>54</v>
      </c>
      <c r="P110" t="s">
        <v>54</v>
      </c>
      <c r="Q110" t="s">
        <v>54</v>
      </c>
      <c r="R110" t="s">
        <v>562</v>
      </c>
      <c r="S110" s="1">
        <v>2203307241.9000001</v>
      </c>
      <c r="T110" s="1">
        <v>930032581.67999995</v>
      </c>
      <c r="U110" s="1">
        <v>2297526690.8400002</v>
      </c>
      <c r="V110" s="1">
        <v>1982224.1</v>
      </c>
      <c r="W110" t="s">
        <v>51</v>
      </c>
      <c r="X110">
        <v>357403.74</v>
      </c>
      <c r="Y110">
        <v>0</v>
      </c>
      <c r="Z110">
        <v>0</v>
      </c>
      <c r="AA110" s="14">
        <v>-89943597.790000007</v>
      </c>
      <c r="AB110" s="14">
        <v>682843299.20000005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1000000</v>
      </c>
      <c r="AL110">
        <v>1000000</v>
      </c>
      <c r="AM110">
        <v>1000000</v>
      </c>
      <c r="AN110">
        <v>1000000</v>
      </c>
      <c r="AO110">
        <v>0</v>
      </c>
      <c r="AP110">
        <v>0</v>
      </c>
      <c r="AQ110" s="29">
        <f t="shared" si="1"/>
        <v>-13.171923616351714</v>
      </c>
    </row>
    <row r="111" spans="2:43" x14ac:dyDescent="0.3">
      <c r="B111" t="s">
        <v>547</v>
      </c>
      <c r="C111" t="s">
        <v>563</v>
      </c>
      <c r="D111" t="s">
        <v>564</v>
      </c>
      <c r="E111" t="s">
        <v>565</v>
      </c>
      <c r="F111" t="s">
        <v>46</v>
      </c>
      <c r="G111" t="s">
        <v>139</v>
      </c>
      <c r="H111" t="s">
        <v>60</v>
      </c>
      <c r="I111" t="s">
        <v>49</v>
      </c>
      <c r="J111" t="s">
        <v>50</v>
      </c>
      <c r="K111" t="s">
        <v>51</v>
      </c>
      <c r="L111" t="s">
        <v>51</v>
      </c>
      <c r="M111" t="s">
        <v>134</v>
      </c>
      <c r="N111" t="s">
        <v>566</v>
      </c>
      <c r="O111" t="s">
        <v>54</v>
      </c>
      <c r="P111" t="s">
        <v>54</v>
      </c>
      <c r="Q111" t="s">
        <v>51</v>
      </c>
      <c r="R111" t="s">
        <v>567</v>
      </c>
      <c r="S111" s="1">
        <v>98778097.939999998</v>
      </c>
      <c r="T111" s="1">
        <v>6263172.9800000004</v>
      </c>
      <c r="U111" s="1">
        <v>65276059.329999998</v>
      </c>
      <c r="V111" s="1">
        <v>53078051.32</v>
      </c>
      <c r="W111" t="s">
        <v>54</v>
      </c>
      <c r="X111">
        <v>304971.12</v>
      </c>
      <c r="Y111">
        <v>105724.21</v>
      </c>
      <c r="Z111">
        <v>9764.5</v>
      </c>
      <c r="AA111" s="14">
        <v>24465519.670000002</v>
      </c>
      <c r="AB111" s="14">
        <v>7920000</v>
      </c>
      <c r="AC111">
        <v>0</v>
      </c>
      <c r="AD111">
        <v>1349754.6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593999</v>
      </c>
      <c r="AL111">
        <v>593999</v>
      </c>
      <c r="AM111">
        <v>2020000</v>
      </c>
      <c r="AN111">
        <v>2020000</v>
      </c>
      <c r="AO111">
        <v>0</v>
      </c>
      <c r="AP111">
        <v>0</v>
      </c>
      <c r="AQ111" s="29">
        <f t="shared" si="1"/>
        <v>308.90807664141414</v>
      </c>
    </row>
    <row r="112" spans="2:43" x14ac:dyDescent="0.3">
      <c r="B112" t="s">
        <v>547</v>
      </c>
      <c r="C112" t="s">
        <v>568</v>
      </c>
      <c r="D112" t="s">
        <v>569</v>
      </c>
      <c r="E112" t="s">
        <v>570</v>
      </c>
      <c r="F112" t="s">
        <v>46</v>
      </c>
      <c r="G112" t="s">
        <v>133</v>
      </c>
      <c r="H112" t="s">
        <v>60</v>
      </c>
      <c r="I112" t="s">
        <v>49</v>
      </c>
      <c r="J112" t="s">
        <v>50</v>
      </c>
      <c r="K112" t="s">
        <v>51</v>
      </c>
      <c r="L112" t="s">
        <v>51</v>
      </c>
      <c r="M112" t="s">
        <v>134</v>
      </c>
      <c r="N112" t="s">
        <v>571</v>
      </c>
      <c r="O112" t="s">
        <v>54</v>
      </c>
      <c r="P112" t="s">
        <v>54</v>
      </c>
      <c r="Q112" t="s">
        <v>51</v>
      </c>
      <c r="R112" t="s">
        <v>572</v>
      </c>
      <c r="S112" s="1">
        <v>3235353.69</v>
      </c>
      <c r="T112" s="1">
        <v>38374674.399999999</v>
      </c>
      <c r="U112" s="1">
        <v>64317590.960000001</v>
      </c>
      <c r="V112" s="1">
        <v>0</v>
      </c>
      <c r="W112" t="s">
        <v>51</v>
      </c>
      <c r="X112">
        <v>566196.54</v>
      </c>
      <c r="Y112">
        <v>0</v>
      </c>
      <c r="Z112">
        <v>0</v>
      </c>
      <c r="AA112" s="14">
        <v>-59216926.920000002</v>
      </c>
      <c r="AB112" s="14">
        <v>57554594.789999999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2532640561</v>
      </c>
      <c r="AL112">
        <v>2532640561</v>
      </c>
      <c r="AM112">
        <v>67806094.379999995</v>
      </c>
      <c r="AN112">
        <v>58282518.840000004</v>
      </c>
      <c r="AO112">
        <v>58282518.840000004</v>
      </c>
      <c r="AP112">
        <v>57233360.289999999</v>
      </c>
      <c r="AQ112" s="29">
        <f t="shared" si="1"/>
        <v>-102.88827006091411</v>
      </c>
    </row>
    <row r="113" spans="2:43" x14ac:dyDescent="0.3">
      <c r="B113" t="s">
        <v>573</v>
      </c>
      <c r="C113" t="s">
        <v>574</v>
      </c>
      <c r="D113" t="s">
        <v>575</v>
      </c>
      <c r="E113" t="s">
        <v>576</v>
      </c>
      <c r="F113" t="s">
        <v>46</v>
      </c>
      <c r="G113" t="s">
        <v>102</v>
      </c>
      <c r="H113" t="s">
        <v>48</v>
      </c>
      <c r="I113" t="s">
        <v>363</v>
      </c>
      <c r="J113" t="s">
        <v>50</v>
      </c>
      <c r="K113" t="s">
        <v>51</v>
      </c>
      <c r="L113" t="s">
        <v>51</v>
      </c>
      <c r="M113" t="s">
        <v>52</v>
      </c>
      <c r="N113" t="s">
        <v>577</v>
      </c>
      <c r="O113" t="s">
        <v>54</v>
      </c>
      <c r="P113" t="s">
        <v>54</v>
      </c>
      <c r="Q113" t="s">
        <v>51</v>
      </c>
      <c r="R113" t="s">
        <v>578</v>
      </c>
      <c r="S113" s="1">
        <v>43631716.640000001</v>
      </c>
      <c r="T113" s="1">
        <v>319609028.08999997</v>
      </c>
      <c r="U113" s="1">
        <v>429064951.17000002</v>
      </c>
      <c r="V113" s="1">
        <v>20355152</v>
      </c>
      <c r="W113" t="s">
        <v>51</v>
      </c>
      <c r="X113">
        <v>398892.78</v>
      </c>
      <c r="Y113">
        <v>0</v>
      </c>
      <c r="Z113">
        <v>0</v>
      </c>
      <c r="AA113" s="14">
        <v>-13963005.26</v>
      </c>
      <c r="AB113" s="14">
        <v>73638884.340000004</v>
      </c>
      <c r="AC113">
        <v>0</v>
      </c>
      <c r="AD113">
        <v>0</v>
      </c>
      <c r="AE113">
        <v>219808184.53999999</v>
      </c>
      <c r="AF113">
        <v>232902830.65000001</v>
      </c>
      <c r="AG113">
        <v>0</v>
      </c>
      <c r="AH113" s="14">
        <v>0</v>
      </c>
      <c r="AI113">
        <v>0</v>
      </c>
      <c r="AJ113">
        <v>0</v>
      </c>
      <c r="AK113">
        <v>74990</v>
      </c>
      <c r="AL113">
        <v>74990</v>
      </c>
      <c r="AM113">
        <v>48597738.68</v>
      </c>
      <c r="AN113">
        <v>48597738.68</v>
      </c>
      <c r="AO113">
        <v>0</v>
      </c>
      <c r="AP113">
        <v>0</v>
      </c>
      <c r="AQ113" s="29">
        <f t="shared" si="1"/>
        <v>-18.961456824265625</v>
      </c>
    </row>
    <row r="114" spans="2:43" x14ac:dyDescent="0.3">
      <c r="B114" t="s">
        <v>573</v>
      </c>
      <c r="C114" t="s">
        <v>579</v>
      </c>
      <c r="D114" t="s">
        <v>580</v>
      </c>
      <c r="E114" t="s">
        <v>581</v>
      </c>
      <c r="F114" t="s">
        <v>46</v>
      </c>
      <c r="G114" t="s">
        <v>150</v>
      </c>
      <c r="H114" t="s">
        <v>48</v>
      </c>
      <c r="I114" t="s">
        <v>363</v>
      </c>
      <c r="J114" t="s">
        <v>50</v>
      </c>
      <c r="K114" t="s">
        <v>51</v>
      </c>
      <c r="L114" t="s">
        <v>51</v>
      </c>
      <c r="M114" t="s">
        <v>52</v>
      </c>
      <c r="N114" t="s">
        <v>582</v>
      </c>
      <c r="O114" t="s">
        <v>54</v>
      </c>
      <c r="P114" t="s">
        <v>54</v>
      </c>
      <c r="Q114" t="s">
        <v>51</v>
      </c>
      <c r="R114" t="s">
        <v>583</v>
      </c>
      <c r="S114" s="1">
        <v>29199584.609999999</v>
      </c>
      <c r="T114" s="1">
        <v>16963572.140000001</v>
      </c>
      <c r="U114" s="1">
        <v>27876209.09</v>
      </c>
      <c r="V114" s="1">
        <v>0</v>
      </c>
      <c r="W114" t="s">
        <v>51</v>
      </c>
      <c r="X114">
        <v>198763.51999999999</v>
      </c>
      <c r="Y114">
        <v>0</v>
      </c>
      <c r="Z114">
        <v>0</v>
      </c>
      <c r="AA114" s="14">
        <v>829328.57</v>
      </c>
      <c r="AB114" s="14">
        <v>33255645.829999998</v>
      </c>
      <c r="AC114">
        <v>0</v>
      </c>
      <c r="AD114">
        <v>0</v>
      </c>
      <c r="AE114">
        <v>18586987.039999999</v>
      </c>
      <c r="AF114">
        <v>27634969.629999999</v>
      </c>
      <c r="AG114">
        <v>0</v>
      </c>
      <c r="AH114" s="14">
        <v>0</v>
      </c>
      <c r="AI114">
        <v>0</v>
      </c>
      <c r="AJ114">
        <v>0</v>
      </c>
      <c r="AK114">
        <v>9990</v>
      </c>
      <c r="AL114">
        <v>9990</v>
      </c>
      <c r="AM114">
        <v>9124916.25</v>
      </c>
      <c r="AN114">
        <v>9124916.25</v>
      </c>
      <c r="AO114">
        <v>0</v>
      </c>
      <c r="AP114">
        <v>0</v>
      </c>
      <c r="AQ114" s="29">
        <f t="shared" si="1"/>
        <v>2.493797817788463</v>
      </c>
    </row>
    <row r="115" spans="2:43" x14ac:dyDescent="0.3">
      <c r="B115" t="s">
        <v>573</v>
      </c>
      <c r="C115" t="s">
        <v>584</v>
      </c>
      <c r="D115" t="s">
        <v>585</v>
      </c>
      <c r="E115" t="s">
        <v>586</v>
      </c>
      <c r="F115" t="s">
        <v>46</v>
      </c>
      <c r="G115" t="s">
        <v>102</v>
      </c>
      <c r="H115" t="s">
        <v>48</v>
      </c>
      <c r="I115" t="s">
        <v>363</v>
      </c>
      <c r="J115" t="s">
        <v>50</v>
      </c>
      <c r="K115" t="s">
        <v>51</v>
      </c>
      <c r="L115" t="s">
        <v>51</v>
      </c>
      <c r="M115" t="s">
        <v>52</v>
      </c>
      <c r="N115" t="s">
        <v>587</v>
      </c>
      <c r="O115" t="s">
        <v>54</v>
      </c>
      <c r="P115" t="s">
        <v>54</v>
      </c>
      <c r="Q115" t="s">
        <v>51</v>
      </c>
      <c r="R115" t="s">
        <v>588</v>
      </c>
      <c r="S115" s="1">
        <v>14166551.220000001</v>
      </c>
      <c r="T115" s="1">
        <v>95798379.120000005</v>
      </c>
      <c r="U115" s="1">
        <v>135695037.88</v>
      </c>
      <c r="V115" s="1">
        <v>11875469.060000001</v>
      </c>
      <c r="W115" t="s">
        <v>51</v>
      </c>
      <c r="X115">
        <v>361782.88</v>
      </c>
      <c r="Y115">
        <v>0</v>
      </c>
      <c r="Z115">
        <v>0</v>
      </c>
      <c r="AA115" s="14">
        <v>2487805.84</v>
      </c>
      <c r="AB115" s="14">
        <v>70576911.629999995</v>
      </c>
      <c r="AC115">
        <v>0</v>
      </c>
      <c r="AD115">
        <v>0</v>
      </c>
      <c r="AE115">
        <v>113599676.16</v>
      </c>
      <c r="AF115">
        <v>118790786.05</v>
      </c>
      <c r="AG115">
        <v>266643.34000000003</v>
      </c>
      <c r="AH115" s="14">
        <v>343003.25</v>
      </c>
      <c r="AI115">
        <v>0</v>
      </c>
      <c r="AJ115">
        <v>0</v>
      </c>
      <c r="AK115">
        <v>19998000</v>
      </c>
      <c r="AL115">
        <v>19998000</v>
      </c>
      <c r="AM115">
        <v>31600000</v>
      </c>
      <c r="AN115">
        <v>31600000</v>
      </c>
      <c r="AO115">
        <v>0</v>
      </c>
      <c r="AP115">
        <v>0</v>
      </c>
      <c r="AQ115" s="29">
        <f t="shared" si="1"/>
        <v>3.5249570752576158</v>
      </c>
    </row>
    <row r="116" spans="2:43" x14ac:dyDescent="0.3">
      <c r="B116" t="s">
        <v>573</v>
      </c>
      <c r="C116" t="s">
        <v>589</v>
      </c>
      <c r="D116" t="s">
        <v>590</v>
      </c>
      <c r="E116" t="s">
        <v>591</v>
      </c>
      <c r="F116" t="s">
        <v>46</v>
      </c>
      <c r="G116" t="s">
        <v>71</v>
      </c>
      <c r="H116" t="s">
        <v>48</v>
      </c>
      <c r="I116" t="s">
        <v>49</v>
      </c>
      <c r="J116" t="s">
        <v>50</v>
      </c>
      <c r="K116" t="s">
        <v>51</v>
      </c>
      <c r="L116" t="s">
        <v>51</v>
      </c>
      <c r="M116" t="s">
        <v>134</v>
      </c>
      <c r="N116" t="s">
        <v>592</v>
      </c>
      <c r="O116" t="s">
        <v>54</v>
      </c>
      <c r="P116" t="s">
        <v>54</v>
      </c>
      <c r="Q116" t="s">
        <v>54</v>
      </c>
      <c r="R116" t="s">
        <v>593</v>
      </c>
      <c r="S116" s="1">
        <v>1276045256.6099999</v>
      </c>
      <c r="T116" s="1">
        <v>207437223.37</v>
      </c>
      <c r="U116" s="1">
        <v>2117606856.6600001</v>
      </c>
      <c r="V116" s="1">
        <v>21622577.300000001</v>
      </c>
      <c r="W116" t="s">
        <v>54</v>
      </c>
      <c r="X116">
        <v>600253</v>
      </c>
      <c r="Y116">
        <v>25421.41</v>
      </c>
      <c r="Z116">
        <v>0</v>
      </c>
      <c r="AA116" s="14">
        <v>134545295.59999999</v>
      </c>
      <c r="AB116" s="14">
        <v>2263664144.6500001</v>
      </c>
      <c r="AC116">
        <v>0</v>
      </c>
      <c r="AD116">
        <v>69436124.189999998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74173276182</v>
      </c>
      <c r="AL116">
        <v>76668991052</v>
      </c>
      <c r="AM116">
        <v>2199586881.8299999</v>
      </c>
      <c r="AN116">
        <v>2296855999.6300001</v>
      </c>
      <c r="AO116">
        <v>0</v>
      </c>
      <c r="AP116">
        <v>0</v>
      </c>
      <c r="AQ116" s="29">
        <f t="shared" si="1"/>
        <v>5.9436951333079904</v>
      </c>
    </row>
    <row r="117" spans="2:43" x14ac:dyDescent="0.3">
      <c r="B117" t="s">
        <v>573</v>
      </c>
      <c r="C117" t="s">
        <v>594</v>
      </c>
      <c r="D117" t="s">
        <v>595</v>
      </c>
      <c r="E117" t="s">
        <v>596</v>
      </c>
      <c r="F117" t="s">
        <v>46</v>
      </c>
      <c r="G117" t="s">
        <v>409</v>
      </c>
      <c r="H117" t="s">
        <v>60</v>
      </c>
      <c r="I117" t="s">
        <v>49</v>
      </c>
      <c r="J117" t="s">
        <v>373</v>
      </c>
      <c r="K117" t="s">
        <v>54</v>
      </c>
      <c r="L117" t="s">
        <v>51</v>
      </c>
      <c r="M117" t="s">
        <v>134</v>
      </c>
      <c r="N117" t="s">
        <v>597</v>
      </c>
      <c r="O117" t="s">
        <v>54</v>
      </c>
      <c r="P117" t="s">
        <v>54</v>
      </c>
      <c r="Q117" t="s">
        <v>54</v>
      </c>
      <c r="R117" t="s">
        <v>598</v>
      </c>
      <c r="S117" s="1">
        <v>39819620000</v>
      </c>
      <c r="T117" s="1">
        <v>5695982000</v>
      </c>
      <c r="U117" s="1">
        <v>30165402000</v>
      </c>
      <c r="V117" s="1">
        <v>5713680000</v>
      </c>
      <c r="W117" t="s">
        <v>54</v>
      </c>
      <c r="X117">
        <v>1760465.45</v>
      </c>
      <c r="Y117">
        <v>1679119</v>
      </c>
      <c r="Z117">
        <v>0</v>
      </c>
      <c r="AA117" s="14">
        <v>7119287000</v>
      </c>
      <c r="AB117" s="14">
        <v>27383079000</v>
      </c>
      <c r="AC117">
        <v>35145544000</v>
      </c>
      <c r="AD117">
        <v>774546699.61000001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375048387</v>
      </c>
      <c r="AL117">
        <v>487562874</v>
      </c>
      <c r="AM117">
        <v>11006853000</v>
      </c>
      <c r="AN117">
        <v>14308909000</v>
      </c>
      <c r="AO117">
        <v>0</v>
      </c>
      <c r="AP117">
        <v>0</v>
      </c>
      <c r="AQ117" s="29">
        <f t="shared" si="1"/>
        <v>25.998854986322026</v>
      </c>
    </row>
    <row r="118" spans="2:43" x14ac:dyDescent="0.3">
      <c r="B118" t="s">
        <v>573</v>
      </c>
      <c r="C118" t="s">
        <v>599</v>
      </c>
      <c r="D118" t="s">
        <v>600</v>
      </c>
      <c r="E118" t="s">
        <v>601</v>
      </c>
      <c r="F118" t="s">
        <v>46</v>
      </c>
      <c r="G118" t="s">
        <v>65</v>
      </c>
      <c r="H118" t="s">
        <v>48</v>
      </c>
      <c r="I118" t="s">
        <v>49</v>
      </c>
      <c r="J118" t="s">
        <v>50</v>
      </c>
      <c r="K118" t="s">
        <v>51</v>
      </c>
      <c r="L118" t="s">
        <v>51</v>
      </c>
      <c r="M118" t="s">
        <v>134</v>
      </c>
      <c r="N118" t="s">
        <v>602</v>
      </c>
      <c r="O118" t="s">
        <v>54</v>
      </c>
      <c r="P118" t="s">
        <v>54</v>
      </c>
      <c r="Q118" t="s">
        <v>54</v>
      </c>
      <c r="R118" t="s">
        <v>603</v>
      </c>
      <c r="S118" s="1">
        <v>84840815.909999996</v>
      </c>
      <c r="T118" s="1">
        <v>114565231.13</v>
      </c>
      <c r="U118" s="1">
        <v>314493546.17000002</v>
      </c>
      <c r="V118" s="1">
        <v>8674651.7100000009</v>
      </c>
      <c r="W118" t="s">
        <v>54</v>
      </c>
      <c r="X118">
        <v>952462.04</v>
      </c>
      <c r="Y118">
        <v>102749.33</v>
      </c>
      <c r="Z118">
        <v>0</v>
      </c>
      <c r="AA118" s="14">
        <v>891168243.76999998</v>
      </c>
      <c r="AB118" s="14">
        <v>2080285686.8199999</v>
      </c>
      <c r="AC118">
        <v>0</v>
      </c>
      <c r="AD118">
        <v>681808320.33000004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205219</v>
      </c>
      <c r="AL118">
        <v>205219</v>
      </c>
      <c r="AM118">
        <v>574392847.02999997</v>
      </c>
      <c r="AN118">
        <v>546842388.64999998</v>
      </c>
      <c r="AO118">
        <v>0</v>
      </c>
      <c r="AP118">
        <v>0</v>
      </c>
      <c r="AQ118" s="29">
        <f t="shared" si="1"/>
        <v>42.838743227247413</v>
      </c>
    </row>
    <row r="119" spans="2:43" x14ac:dyDescent="0.3">
      <c r="B119" t="s">
        <v>573</v>
      </c>
      <c r="C119" t="s">
        <v>604</v>
      </c>
      <c r="D119" t="s">
        <v>605</v>
      </c>
      <c r="E119" t="s">
        <v>606</v>
      </c>
      <c r="F119" t="s">
        <v>46</v>
      </c>
      <c r="G119" t="s">
        <v>65</v>
      </c>
      <c r="H119" t="s">
        <v>60</v>
      </c>
      <c r="I119" t="s">
        <v>49</v>
      </c>
      <c r="J119" t="s">
        <v>50</v>
      </c>
      <c r="K119" t="s">
        <v>51</v>
      </c>
      <c r="L119" t="s">
        <v>54</v>
      </c>
      <c r="M119" t="s">
        <v>134</v>
      </c>
      <c r="N119" t="s">
        <v>66</v>
      </c>
      <c r="O119" t="s">
        <v>54</v>
      </c>
      <c r="P119" t="s">
        <v>54</v>
      </c>
      <c r="Q119" t="s">
        <v>54</v>
      </c>
      <c r="R119" t="s">
        <v>607</v>
      </c>
      <c r="S119" s="1">
        <v>1688729531</v>
      </c>
      <c r="T119" s="1">
        <v>7857111.8799999999</v>
      </c>
      <c r="U119" s="1">
        <v>148753816.25999999</v>
      </c>
      <c r="V119" s="1">
        <v>0</v>
      </c>
      <c r="W119" t="s">
        <v>51</v>
      </c>
      <c r="X119">
        <v>0</v>
      </c>
      <c r="Y119">
        <v>0</v>
      </c>
      <c r="Z119">
        <v>0</v>
      </c>
      <c r="AA119" s="14">
        <v>1732350393.1800001</v>
      </c>
      <c r="AB119" s="14">
        <v>618798417.38999999</v>
      </c>
      <c r="AC119">
        <v>0</v>
      </c>
      <c r="AD119">
        <v>755051997.47000003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176825</v>
      </c>
      <c r="AL119">
        <v>176825</v>
      </c>
      <c r="AM119">
        <v>5028066.57</v>
      </c>
      <c r="AN119">
        <v>5028066.57</v>
      </c>
      <c r="AO119">
        <v>0</v>
      </c>
      <c r="AP119">
        <v>0</v>
      </c>
      <c r="AQ119" s="29">
        <f t="shared" si="1"/>
        <v>279.95391463455854</v>
      </c>
    </row>
    <row r="120" spans="2:43" x14ac:dyDescent="0.3">
      <c r="B120" t="s">
        <v>573</v>
      </c>
      <c r="C120" t="s">
        <v>608</v>
      </c>
      <c r="D120" t="s">
        <v>609</v>
      </c>
      <c r="E120" t="s">
        <v>610</v>
      </c>
      <c r="F120" t="s">
        <v>46</v>
      </c>
      <c r="G120" t="s">
        <v>93</v>
      </c>
      <c r="H120" t="s">
        <v>60</v>
      </c>
      <c r="I120" t="s">
        <v>49</v>
      </c>
      <c r="J120" t="s">
        <v>50</v>
      </c>
      <c r="K120" t="s">
        <v>51</v>
      </c>
      <c r="L120" t="s">
        <v>51</v>
      </c>
      <c r="M120" t="s">
        <v>134</v>
      </c>
      <c r="N120" t="s">
        <v>611</v>
      </c>
      <c r="O120" t="s">
        <v>54</v>
      </c>
      <c r="P120" t="s">
        <v>54</v>
      </c>
      <c r="Q120" t="s">
        <v>51</v>
      </c>
      <c r="R120" t="s">
        <v>612</v>
      </c>
      <c r="S120" s="1">
        <v>11724802.5</v>
      </c>
      <c r="T120" s="1">
        <v>42323554.590000004</v>
      </c>
      <c r="U120" s="1">
        <v>51909000</v>
      </c>
      <c r="V120" s="1">
        <v>0</v>
      </c>
      <c r="W120" t="s">
        <v>51</v>
      </c>
      <c r="X120">
        <v>273888.03999999998</v>
      </c>
      <c r="Y120">
        <v>0</v>
      </c>
      <c r="Z120">
        <v>8073.96</v>
      </c>
      <c r="AA120" s="14">
        <v>-45750000</v>
      </c>
      <c r="AB120" s="14">
        <v>-345896366.66000003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16673866.23</v>
      </c>
      <c r="AJ120">
        <v>57860465</v>
      </c>
      <c r="AK120">
        <v>102426784</v>
      </c>
      <c r="AL120">
        <v>160287249</v>
      </c>
      <c r="AM120">
        <v>102427249.34999999</v>
      </c>
      <c r="AN120">
        <v>160287249.34999999</v>
      </c>
      <c r="AO120">
        <v>127572750.65000001</v>
      </c>
      <c r="AP120">
        <v>69712750.650000006</v>
      </c>
      <c r="AQ120" s="29">
        <f t="shared" si="1"/>
        <v>13.226504933187146</v>
      </c>
    </row>
    <row r="121" spans="2:43" x14ac:dyDescent="0.3">
      <c r="B121" t="s">
        <v>573</v>
      </c>
      <c r="C121" t="s">
        <v>613</v>
      </c>
      <c r="D121" t="s">
        <v>614</v>
      </c>
      <c r="E121" t="s">
        <v>615</v>
      </c>
      <c r="F121" t="s">
        <v>46</v>
      </c>
      <c r="G121" t="s">
        <v>107</v>
      </c>
      <c r="H121" t="s">
        <v>60</v>
      </c>
      <c r="I121" t="s">
        <v>49</v>
      </c>
      <c r="J121" t="s">
        <v>50</v>
      </c>
      <c r="K121" t="s">
        <v>51</v>
      </c>
      <c r="L121" t="s">
        <v>54</v>
      </c>
      <c r="M121" t="s">
        <v>134</v>
      </c>
      <c r="N121" t="s">
        <v>616</v>
      </c>
      <c r="O121" t="s">
        <v>51</v>
      </c>
      <c r="P121" t="s">
        <v>54</v>
      </c>
      <c r="Q121" t="s">
        <v>51</v>
      </c>
      <c r="R121" t="s">
        <v>617</v>
      </c>
      <c r="S121" s="1">
        <v>91549724.530000001</v>
      </c>
      <c r="T121" s="1">
        <v>29245429.199999999</v>
      </c>
      <c r="U121" s="1">
        <v>107328046.55</v>
      </c>
      <c r="V121" s="1">
        <v>46049968.920000002</v>
      </c>
      <c r="W121" t="s">
        <v>51</v>
      </c>
      <c r="X121">
        <v>112818.8</v>
      </c>
      <c r="Y121">
        <v>0</v>
      </c>
      <c r="Z121">
        <v>809.4</v>
      </c>
      <c r="AA121" s="14">
        <v>-9505323.0899999999</v>
      </c>
      <c r="AB121" s="14">
        <v>312524386.82999998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s="29">
        <f t="shared" si="1"/>
        <v>-3.0414660393111954</v>
      </c>
    </row>
    <row r="122" spans="2:43" x14ac:dyDescent="0.3">
      <c r="B122" t="s">
        <v>573</v>
      </c>
      <c r="C122" t="s">
        <v>618</v>
      </c>
      <c r="D122" t="s">
        <v>619</v>
      </c>
      <c r="E122" t="s">
        <v>620</v>
      </c>
      <c r="F122" t="s">
        <v>46</v>
      </c>
      <c r="G122" t="s">
        <v>107</v>
      </c>
      <c r="H122" t="s">
        <v>60</v>
      </c>
      <c r="I122" t="s">
        <v>49</v>
      </c>
      <c r="J122" t="s">
        <v>373</v>
      </c>
      <c r="K122" t="s">
        <v>54</v>
      </c>
      <c r="L122" t="s">
        <v>51</v>
      </c>
      <c r="M122" t="s">
        <v>134</v>
      </c>
      <c r="N122" t="s">
        <v>621</v>
      </c>
      <c r="O122" t="s">
        <v>54</v>
      </c>
      <c r="P122" t="s">
        <v>54</v>
      </c>
      <c r="Q122" t="s">
        <v>54</v>
      </c>
      <c r="R122" t="s">
        <v>622</v>
      </c>
      <c r="S122" s="1">
        <v>7786456648.1000004</v>
      </c>
      <c r="T122" s="1">
        <v>1733868046.7</v>
      </c>
      <c r="U122" s="1">
        <v>5829172605</v>
      </c>
      <c r="V122" s="1">
        <v>1938860917.96</v>
      </c>
      <c r="W122" t="s">
        <v>54</v>
      </c>
      <c r="X122">
        <v>1425200.93</v>
      </c>
      <c r="Y122">
        <v>792550.5</v>
      </c>
      <c r="Z122">
        <v>19445.62</v>
      </c>
      <c r="AA122" s="14">
        <v>1316920190.0599999</v>
      </c>
      <c r="AB122" s="14">
        <v>8048228646.2600002</v>
      </c>
      <c r="AC122">
        <v>7735301172</v>
      </c>
      <c r="AD122">
        <v>689867090.22000003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190249612</v>
      </c>
      <c r="AL122">
        <v>190249612</v>
      </c>
      <c r="AM122">
        <v>1702294063.74</v>
      </c>
      <c r="AN122">
        <v>1804432924.55</v>
      </c>
      <c r="AO122">
        <v>0</v>
      </c>
      <c r="AP122">
        <v>0</v>
      </c>
      <c r="AQ122" s="29">
        <f t="shared" si="1"/>
        <v>16.36285756707435</v>
      </c>
    </row>
    <row r="123" spans="2:43" x14ac:dyDescent="0.3">
      <c r="B123" t="s">
        <v>573</v>
      </c>
      <c r="C123" t="s">
        <v>623</v>
      </c>
      <c r="D123" t="s">
        <v>624</v>
      </c>
      <c r="E123" t="s">
        <v>625</v>
      </c>
      <c r="F123" t="s">
        <v>46</v>
      </c>
      <c r="G123" t="s">
        <v>139</v>
      </c>
      <c r="H123" t="s">
        <v>60</v>
      </c>
      <c r="I123" t="s">
        <v>49</v>
      </c>
      <c r="J123" t="s">
        <v>373</v>
      </c>
      <c r="K123" t="s">
        <v>51</v>
      </c>
      <c r="L123" t="s">
        <v>54</v>
      </c>
      <c r="M123" t="s">
        <v>134</v>
      </c>
      <c r="N123" t="s">
        <v>626</v>
      </c>
      <c r="O123" t="s">
        <v>54</v>
      </c>
      <c r="P123" t="s">
        <v>54</v>
      </c>
      <c r="Q123" t="s">
        <v>54</v>
      </c>
      <c r="R123" t="s">
        <v>627</v>
      </c>
      <c r="S123" s="1">
        <v>3458686648.9499998</v>
      </c>
      <c r="T123" s="1">
        <v>93762518.140000001</v>
      </c>
      <c r="U123" s="1">
        <v>452196084.11000001</v>
      </c>
      <c r="V123" s="1">
        <v>358433565.97000003</v>
      </c>
      <c r="W123" t="s">
        <v>54</v>
      </c>
      <c r="X123">
        <v>815264.41</v>
      </c>
      <c r="Y123">
        <v>551691.86</v>
      </c>
      <c r="Z123">
        <v>10871</v>
      </c>
      <c r="AA123" s="14">
        <v>497906912.35000002</v>
      </c>
      <c r="AB123" s="14">
        <v>1231157903.1800001</v>
      </c>
      <c r="AC123">
        <v>0</v>
      </c>
      <c r="AD123">
        <v>524647823.12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305621639</v>
      </c>
      <c r="AL123">
        <v>305621639</v>
      </c>
      <c r="AM123">
        <v>662567679.27999997</v>
      </c>
      <c r="AN123">
        <v>662567679.27999997</v>
      </c>
      <c r="AO123">
        <v>0</v>
      </c>
      <c r="AP123">
        <v>0</v>
      </c>
      <c r="AQ123" s="29">
        <f t="shared" si="1"/>
        <v>40.442165140957073</v>
      </c>
    </row>
    <row r="124" spans="2:43" x14ac:dyDescent="0.3">
      <c r="B124" t="s">
        <v>573</v>
      </c>
      <c r="C124" t="s">
        <v>628</v>
      </c>
      <c r="D124" t="s">
        <v>629</v>
      </c>
      <c r="E124" t="s">
        <v>630</v>
      </c>
      <c r="F124" t="s">
        <v>46</v>
      </c>
      <c r="G124" t="s">
        <v>240</v>
      </c>
      <c r="H124" t="s">
        <v>48</v>
      </c>
      <c r="I124" t="s">
        <v>49</v>
      </c>
      <c r="J124" t="s">
        <v>50</v>
      </c>
      <c r="K124" t="s">
        <v>51</v>
      </c>
      <c r="L124" t="s">
        <v>51</v>
      </c>
      <c r="M124" t="s">
        <v>134</v>
      </c>
      <c r="N124" t="s">
        <v>66</v>
      </c>
      <c r="O124" t="s">
        <v>54</v>
      </c>
      <c r="P124" t="s">
        <v>54</v>
      </c>
      <c r="Q124" t="s">
        <v>51</v>
      </c>
      <c r="R124" t="s">
        <v>631</v>
      </c>
      <c r="S124" s="1">
        <v>-1569</v>
      </c>
      <c r="T124" s="1">
        <v>0</v>
      </c>
      <c r="U124" s="1">
        <v>79111</v>
      </c>
      <c r="V124" s="1">
        <v>0</v>
      </c>
      <c r="W124" t="s">
        <v>51</v>
      </c>
      <c r="X124">
        <v>0</v>
      </c>
      <c r="Y124">
        <v>0</v>
      </c>
      <c r="Z124">
        <v>0</v>
      </c>
      <c r="AA124" s="14">
        <v>-80681</v>
      </c>
      <c r="AB124" s="14">
        <v>9507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66480.179999999993</v>
      </c>
      <c r="AK124">
        <v>2365310</v>
      </c>
      <c r="AL124">
        <v>2431790</v>
      </c>
      <c r="AM124">
        <v>2365310</v>
      </c>
      <c r="AN124">
        <v>2431790.1800000002</v>
      </c>
      <c r="AO124">
        <v>0</v>
      </c>
      <c r="AP124">
        <v>0</v>
      </c>
      <c r="AQ124" s="29">
        <f t="shared" si="1"/>
        <v>-848.64836436310088</v>
      </c>
    </row>
    <row r="125" spans="2:43" x14ac:dyDescent="0.3">
      <c r="B125" t="s">
        <v>573</v>
      </c>
      <c r="C125" t="s">
        <v>632</v>
      </c>
      <c r="D125" t="s">
        <v>633</v>
      </c>
      <c r="E125" t="s">
        <v>634</v>
      </c>
      <c r="F125" t="s">
        <v>46</v>
      </c>
      <c r="G125" t="s">
        <v>133</v>
      </c>
      <c r="H125" t="s">
        <v>60</v>
      </c>
      <c r="I125" t="s">
        <v>49</v>
      </c>
      <c r="J125" t="s">
        <v>50</v>
      </c>
      <c r="K125" t="s">
        <v>51</v>
      </c>
      <c r="L125" t="s">
        <v>51</v>
      </c>
      <c r="M125" t="s">
        <v>134</v>
      </c>
      <c r="N125" t="s">
        <v>635</v>
      </c>
      <c r="O125" t="s">
        <v>54</v>
      </c>
      <c r="P125" t="s">
        <v>54</v>
      </c>
      <c r="Q125" t="s">
        <v>54</v>
      </c>
      <c r="R125" t="s">
        <v>636</v>
      </c>
      <c r="S125" s="1">
        <v>243324950.13</v>
      </c>
      <c r="T125" s="1">
        <v>14628163</v>
      </c>
      <c r="U125" s="1">
        <v>652720868.80999994</v>
      </c>
      <c r="V125" s="1">
        <v>0</v>
      </c>
      <c r="W125" t="s">
        <v>51</v>
      </c>
      <c r="X125">
        <v>341318.03</v>
      </c>
      <c r="Y125">
        <v>0</v>
      </c>
      <c r="Z125">
        <v>19237.32</v>
      </c>
      <c r="AA125" s="14">
        <v>37554565.049999997</v>
      </c>
      <c r="AB125" s="14">
        <v>1248280389.54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75200578.469999999</v>
      </c>
      <c r="AJ125">
        <v>0</v>
      </c>
      <c r="AK125">
        <v>574184398</v>
      </c>
      <c r="AL125">
        <v>574184398</v>
      </c>
      <c r="AM125">
        <v>1404828906.05</v>
      </c>
      <c r="AN125">
        <v>1573664210.1700001</v>
      </c>
      <c r="AO125">
        <v>115906179.75</v>
      </c>
      <c r="AP125">
        <v>0</v>
      </c>
      <c r="AQ125" s="29">
        <f t="shared" si="1"/>
        <v>3.0085039679137404</v>
      </c>
    </row>
    <row r="126" spans="2:43" x14ac:dyDescent="0.3">
      <c r="B126" t="s">
        <v>573</v>
      </c>
      <c r="C126" t="s">
        <v>637</v>
      </c>
      <c r="D126" t="s">
        <v>638</v>
      </c>
      <c r="E126" t="s">
        <v>639</v>
      </c>
      <c r="F126" t="s">
        <v>46</v>
      </c>
      <c r="G126" t="s">
        <v>133</v>
      </c>
      <c r="H126" t="s">
        <v>48</v>
      </c>
      <c r="I126" t="s">
        <v>49</v>
      </c>
      <c r="J126" t="s">
        <v>50</v>
      </c>
      <c r="K126" t="s">
        <v>51</v>
      </c>
      <c r="L126" t="s">
        <v>51</v>
      </c>
      <c r="M126" t="s">
        <v>134</v>
      </c>
      <c r="N126" t="s">
        <v>640</v>
      </c>
      <c r="O126" t="s">
        <v>54</v>
      </c>
      <c r="P126" t="s">
        <v>54</v>
      </c>
      <c r="Q126" t="s">
        <v>54</v>
      </c>
      <c r="R126" t="s">
        <v>641</v>
      </c>
      <c r="S126" s="1">
        <v>1720116110.0699999</v>
      </c>
      <c r="T126" s="1">
        <v>55760382.450000003</v>
      </c>
      <c r="U126" s="1">
        <v>117810517.81999999</v>
      </c>
      <c r="V126" s="1">
        <v>5804708.6799999997</v>
      </c>
      <c r="W126" t="s">
        <v>54</v>
      </c>
      <c r="X126">
        <v>578233.28</v>
      </c>
      <c r="Y126">
        <v>83503.240000000005</v>
      </c>
      <c r="Z126">
        <v>6156.24</v>
      </c>
      <c r="AA126" s="14">
        <v>87388294.439999998</v>
      </c>
      <c r="AB126" s="14">
        <v>210778487.74000001</v>
      </c>
      <c r="AC126">
        <v>0</v>
      </c>
      <c r="AD126">
        <v>66773167.840000004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9965000</v>
      </c>
      <c r="AL126">
        <v>9965000</v>
      </c>
      <c r="AM126">
        <v>91717114.019999996</v>
      </c>
      <c r="AN126">
        <v>91717114.019999996</v>
      </c>
      <c r="AO126">
        <v>0</v>
      </c>
      <c r="AP126">
        <v>0</v>
      </c>
      <c r="AQ126" s="29">
        <f t="shared" si="1"/>
        <v>41.459778641070535</v>
      </c>
    </row>
    <row r="127" spans="2:43" x14ac:dyDescent="0.3">
      <c r="B127" t="s">
        <v>573</v>
      </c>
      <c r="C127" t="s">
        <v>642</v>
      </c>
      <c r="D127" t="s">
        <v>643</v>
      </c>
      <c r="E127" t="s">
        <v>644</v>
      </c>
      <c r="F127" t="s">
        <v>46</v>
      </c>
      <c r="G127" t="s">
        <v>47</v>
      </c>
      <c r="H127" t="s">
        <v>60</v>
      </c>
      <c r="I127" t="s">
        <v>49</v>
      </c>
      <c r="J127" t="s">
        <v>50</v>
      </c>
      <c r="K127" t="s">
        <v>51</v>
      </c>
      <c r="L127" t="s">
        <v>51</v>
      </c>
      <c r="M127" t="s">
        <v>134</v>
      </c>
      <c r="N127" t="s">
        <v>645</v>
      </c>
      <c r="O127" t="s">
        <v>54</v>
      </c>
      <c r="P127" t="s">
        <v>54</v>
      </c>
      <c r="Q127" t="s">
        <v>54</v>
      </c>
      <c r="R127" t="s">
        <v>646</v>
      </c>
      <c r="S127" s="1">
        <v>350204013.68000001</v>
      </c>
      <c r="T127" s="1">
        <v>221076443.03</v>
      </c>
      <c r="U127" s="1">
        <v>336430553.51999998</v>
      </c>
      <c r="V127" s="1">
        <v>14581738.32</v>
      </c>
      <c r="W127" t="s">
        <v>54</v>
      </c>
      <c r="X127">
        <v>553123.18000000005</v>
      </c>
      <c r="Y127">
        <v>1722.34</v>
      </c>
      <c r="Z127">
        <v>20603.84</v>
      </c>
      <c r="AA127" s="14">
        <v>37565212.810000002</v>
      </c>
      <c r="AB127" s="14">
        <v>156642005.97999999</v>
      </c>
      <c r="AC127">
        <v>0</v>
      </c>
      <c r="AD127">
        <v>52189765.799999997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96481395</v>
      </c>
      <c r="AL127">
        <v>96481395</v>
      </c>
      <c r="AM127">
        <v>96481395</v>
      </c>
      <c r="AN127">
        <v>96481395</v>
      </c>
      <c r="AO127">
        <v>0</v>
      </c>
      <c r="AP127">
        <v>0</v>
      </c>
      <c r="AQ127" s="29">
        <f t="shared" si="1"/>
        <v>23.981570316966138</v>
      </c>
    </row>
    <row r="128" spans="2:43" ht="57.6" x14ac:dyDescent="0.3">
      <c r="B128" t="s">
        <v>647</v>
      </c>
      <c r="C128" t="s">
        <v>648</v>
      </c>
      <c r="D128" t="s">
        <v>649</v>
      </c>
      <c r="E128" t="s">
        <v>650</v>
      </c>
      <c r="F128" t="s">
        <v>70</v>
      </c>
      <c r="G128" s="6" t="s">
        <v>75</v>
      </c>
      <c r="H128" t="s">
        <v>48</v>
      </c>
      <c r="I128" t="s">
        <v>76</v>
      </c>
      <c r="J128" t="s">
        <v>50</v>
      </c>
      <c r="K128" t="s">
        <v>51</v>
      </c>
      <c r="L128" t="s">
        <v>51</v>
      </c>
      <c r="M128" t="s">
        <v>52</v>
      </c>
      <c r="N128" t="s">
        <v>66</v>
      </c>
      <c r="O128" t="s">
        <v>51</v>
      </c>
      <c r="P128" t="s">
        <v>54</v>
      </c>
      <c r="Q128" t="s">
        <v>51</v>
      </c>
      <c r="R128" t="s">
        <v>55</v>
      </c>
      <c r="S128" s="1">
        <v>0</v>
      </c>
      <c r="T128" s="1">
        <v>0</v>
      </c>
      <c r="U128" s="1">
        <v>0</v>
      </c>
      <c r="V128" s="1">
        <v>0</v>
      </c>
      <c r="W128" t="s">
        <v>51</v>
      </c>
      <c r="X128">
        <v>0</v>
      </c>
      <c r="Y128">
        <v>0</v>
      </c>
      <c r="Z128">
        <v>0</v>
      </c>
      <c r="AA128" s="14">
        <v>-85216056.489999995</v>
      </c>
      <c r="AB128" s="14">
        <v>-1184642144.1300001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100</v>
      </c>
      <c r="AL128">
        <v>100</v>
      </c>
      <c r="AM128">
        <v>13803453.68</v>
      </c>
      <c r="AN128">
        <v>13803453.68</v>
      </c>
      <c r="AO128">
        <v>0</v>
      </c>
      <c r="AP128">
        <v>0</v>
      </c>
      <c r="AQ128" s="29">
        <f t="shared" si="1"/>
        <v>7.1934007170226559</v>
      </c>
    </row>
    <row r="129" spans="2:43" x14ac:dyDescent="0.3">
      <c r="B129" t="s">
        <v>647</v>
      </c>
      <c r="C129" t="s">
        <v>651</v>
      </c>
      <c r="D129" t="s">
        <v>652</v>
      </c>
      <c r="E129" t="s">
        <v>653</v>
      </c>
      <c r="F129" t="s">
        <v>46</v>
      </c>
      <c r="G129" t="s">
        <v>224</v>
      </c>
      <c r="H129" t="s">
        <v>48</v>
      </c>
      <c r="I129" t="s">
        <v>76</v>
      </c>
      <c r="J129" t="s">
        <v>50</v>
      </c>
      <c r="K129" t="s">
        <v>51</v>
      </c>
      <c r="L129" t="s">
        <v>51</v>
      </c>
      <c r="M129" t="s">
        <v>52</v>
      </c>
      <c r="N129" t="s">
        <v>654</v>
      </c>
      <c r="O129" t="s">
        <v>54</v>
      </c>
      <c r="P129" t="s">
        <v>54</v>
      </c>
      <c r="Q129" t="s">
        <v>51</v>
      </c>
      <c r="R129" t="s">
        <v>55</v>
      </c>
      <c r="S129" s="1">
        <v>72574.5</v>
      </c>
      <c r="T129" s="1">
        <v>201250.05</v>
      </c>
      <c r="U129" s="1">
        <v>214488.62</v>
      </c>
      <c r="V129" s="1">
        <v>0</v>
      </c>
      <c r="W129" t="s">
        <v>51</v>
      </c>
      <c r="X129">
        <v>16695.84</v>
      </c>
      <c r="Y129">
        <v>0</v>
      </c>
      <c r="Z129">
        <v>0</v>
      </c>
      <c r="AA129" s="14">
        <v>-138579.04999999999</v>
      </c>
      <c r="AB129" s="14">
        <v>1002194.11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100</v>
      </c>
      <c r="AL129">
        <v>100</v>
      </c>
      <c r="AM129">
        <v>3426643.64</v>
      </c>
      <c r="AN129">
        <v>3426643.64</v>
      </c>
      <c r="AO129">
        <v>0</v>
      </c>
      <c r="AP129">
        <v>0</v>
      </c>
      <c r="AQ129" s="29">
        <f t="shared" si="1"/>
        <v>-13.82756579960343</v>
      </c>
    </row>
    <row r="130" spans="2:43" x14ac:dyDescent="0.3">
      <c r="B130" t="s">
        <v>647</v>
      </c>
      <c r="C130" t="s">
        <v>655</v>
      </c>
      <c r="D130" t="s">
        <v>303</v>
      </c>
      <c r="E130" t="s">
        <v>656</v>
      </c>
      <c r="F130" t="s">
        <v>46</v>
      </c>
      <c r="G130" t="s">
        <v>75</v>
      </c>
      <c r="H130" t="s">
        <v>60</v>
      </c>
      <c r="I130" t="s">
        <v>49</v>
      </c>
      <c r="J130" t="s">
        <v>50</v>
      </c>
      <c r="K130" t="s">
        <v>51</v>
      </c>
      <c r="L130" t="s">
        <v>51</v>
      </c>
      <c r="M130" t="s">
        <v>134</v>
      </c>
      <c r="N130" t="s">
        <v>657</v>
      </c>
      <c r="O130" t="s">
        <v>54</v>
      </c>
      <c r="P130" t="s">
        <v>54</v>
      </c>
      <c r="Q130" t="s">
        <v>51</v>
      </c>
      <c r="R130" t="s">
        <v>55</v>
      </c>
      <c r="S130" s="1">
        <v>3835260.71</v>
      </c>
      <c r="T130" s="1">
        <v>2165434.9700000002</v>
      </c>
      <c r="U130" s="1">
        <v>6220790.0999999996</v>
      </c>
      <c r="V130" s="1">
        <v>4055355.13</v>
      </c>
      <c r="W130" t="s">
        <v>51</v>
      </c>
      <c r="X130">
        <v>73976.479999999996</v>
      </c>
      <c r="Y130">
        <v>0</v>
      </c>
      <c r="Z130">
        <v>0</v>
      </c>
      <c r="AA130" s="14">
        <v>887475.99</v>
      </c>
      <c r="AB130" s="14">
        <v>3170620.97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593931</v>
      </c>
      <c r="AN130">
        <v>593931</v>
      </c>
      <c r="AO130">
        <v>0</v>
      </c>
      <c r="AP130">
        <v>0</v>
      </c>
      <c r="AQ130" s="29">
        <f t="shared" ref="AQ130:AQ193" si="2">AA130*100/AB130</f>
        <v>27.990604944494514</v>
      </c>
    </row>
    <row r="131" spans="2:43" x14ac:dyDescent="0.3">
      <c r="B131" t="s">
        <v>647</v>
      </c>
      <c r="C131" t="s">
        <v>658</v>
      </c>
      <c r="D131" t="s">
        <v>659</v>
      </c>
      <c r="E131" t="s">
        <v>660</v>
      </c>
      <c r="F131" t="s">
        <v>46</v>
      </c>
      <c r="G131" t="s">
        <v>71</v>
      </c>
      <c r="H131" t="s">
        <v>48</v>
      </c>
      <c r="I131" t="s">
        <v>76</v>
      </c>
      <c r="J131" t="s">
        <v>50</v>
      </c>
      <c r="K131" t="s">
        <v>51</v>
      </c>
      <c r="L131" t="s">
        <v>51</v>
      </c>
      <c r="M131" t="s">
        <v>134</v>
      </c>
      <c r="N131" t="s">
        <v>66</v>
      </c>
      <c r="O131" t="s">
        <v>51</v>
      </c>
      <c r="P131" t="s">
        <v>51</v>
      </c>
      <c r="Q131" t="s">
        <v>51</v>
      </c>
      <c r="R131" t="s">
        <v>55</v>
      </c>
      <c r="S131" s="1">
        <v>0</v>
      </c>
      <c r="T131" s="1">
        <v>0</v>
      </c>
      <c r="U131" s="1">
        <v>0</v>
      </c>
      <c r="V131" s="1">
        <v>0</v>
      </c>
      <c r="W131" t="s">
        <v>51</v>
      </c>
      <c r="X131">
        <v>0</v>
      </c>
      <c r="Y131">
        <v>0</v>
      </c>
      <c r="Z131">
        <v>0</v>
      </c>
      <c r="AA131" s="14">
        <v>0</v>
      </c>
      <c r="AB131" s="14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s="29" t="e">
        <f t="shared" si="2"/>
        <v>#DIV/0!</v>
      </c>
    </row>
    <row r="132" spans="2:43" x14ac:dyDescent="0.3">
      <c r="B132" t="s">
        <v>647</v>
      </c>
      <c r="C132" t="s">
        <v>661</v>
      </c>
      <c r="D132" t="s">
        <v>662</v>
      </c>
      <c r="E132" t="s">
        <v>663</v>
      </c>
      <c r="F132" t="s">
        <v>46</v>
      </c>
      <c r="G132" t="s">
        <v>139</v>
      </c>
      <c r="H132" t="s">
        <v>60</v>
      </c>
      <c r="I132" t="s">
        <v>49</v>
      </c>
      <c r="J132" t="s">
        <v>50</v>
      </c>
      <c r="K132" t="s">
        <v>51</v>
      </c>
      <c r="L132" t="s">
        <v>51</v>
      </c>
      <c r="M132" t="s">
        <v>134</v>
      </c>
      <c r="N132" t="s">
        <v>664</v>
      </c>
      <c r="O132" t="s">
        <v>54</v>
      </c>
      <c r="P132" t="s">
        <v>54</v>
      </c>
      <c r="Q132" t="s">
        <v>54</v>
      </c>
      <c r="R132" t="s">
        <v>55</v>
      </c>
      <c r="S132" s="1">
        <v>489229991.79000002</v>
      </c>
      <c r="T132" s="1">
        <v>26407633.699999999</v>
      </c>
      <c r="U132" s="1">
        <v>69577864.739999995</v>
      </c>
      <c r="V132" s="1">
        <v>29146880.550000001</v>
      </c>
      <c r="W132" t="s">
        <v>54</v>
      </c>
      <c r="X132">
        <v>533402.72</v>
      </c>
      <c r="Y132">
        <v>52668.24</v>
      </c>
      <c r="Z132">
        <v>28335.11</v>
      </c>
      <c r="AA132" s="14">
        <v>43489794.689999998</v>
      </c>
      <c r="AB132" s="14">
        <v>188683337.38</v>
      </c>
      <c r="AD132">
        <v>29365700.050000001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39953400</v>
      </c>
      <c r="AL132">
        <v>399534</v>
      </c>
      <c r="AM132">
        <v>39953400</v>
      </c>
      <c r="AN132">
        <v>0</v>
      </c>
      <c r="AO132">
        <v>0</v>
      </c>
      <c r="AP132">
        <v>0</v>
      </c>
      <c r="AQ132" s="29">
        <f t="shared" si="2"/>
        <v>23.04909129438041</v>
      </c>
    </row>
    <row r="133" spans="2:43" x14ac:dyDescent="0.3">
      <c r="B133" t="s">
        <v>647</v>
      </c>
      <c r="C133" t="s">
        <v>665</v>
      </c>
      <c r="D133" t="s">
        <v>666</v>
      </c>
      <c r="E133" t="s">
        <v>667</v>
      </c>
      <c r="F133" t="s">
        <v>46</v>
      </c>
      <c r="G133" t="s">
        <v>107</v>
      </c>
      <c r="H133" t="s">
        <v>60</v>
      </c>
      <c r="I133" t="s">
        <v>49</v>
      </c>
      <c r="J133" t="s">
        <v>50</v>
      </c>
      <c r="K133" t="s">
        <v>51</v>
      </c>
      <c r="L133" t="s">
        <v>51</v>
      </c>
      <c r="M133" t="s">
        <v>134</v>
      </c>
      <c r="N133" t="s">
        <v>668</v>
      </c>
      <c r="O133" t="s">
        <v>54</v>
      </c>
      <c r="P133" t="s">
        <v>54</v>
      </c>
      <c r="Q133" t="s">
        <v>54</v>
      </c>
      <c r="R133" t="s">
        <v>669</v>
      </c>
      <c r="S133" s="1">
        <v>836133064.83000004</v>
      </c>
      <c r="T133" s="1">
        <v>219335241.81999999</v>
      </c>
      <c r="U133" s="1">
        <v>742719704.63</v>
      </c>
      <c r="V133" s="1">
        <v>236421341.36000001</v>
      </c>
      <c r="W133" t="s">
        <v>54</v>
      </c>
      <c r="X133">
        <v>508603.9</v>
      </c>
      <c r="Y133">
        <v>22444.17</v>
      </c>
      <c r="Z133">
        <v>19133.009999999998</v>
      </c>
      <c r="AA133" s="14">
        <v>90586784.700000003</v>
      </c>
      <c r="AB133" s="14">
        <v>1236679607.96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75178884.189999998</v>
      </c>
      <c r="AJ133">
        <v>77351959.790000007</v>
      </c>
      <c r="AK133">
        <v>100</v>
      </c>
      <c r="AL133">
        <v>100</v>
      </c>
      <c r="AM133">
        <v>891788338.08000004</v>
      </c>
      <c r="AN133">
        <v>969140297.87</v>
      </c>
      <c r="AO133">
        <v>0</v>
      </c>
      <c r="AP133">
        <v>0</v>
      </c>
      <c r="AQ133" s="29">
        <f t="shared" si="2"/>
        <v>7.3250002762987254</v>
      </c>
    </row>
    <row r="134" spans="2:43" x14ac:dyDescent="0.3">
      <c r="B134" t="s">
        <v>670</v>
      </c>
      <c r="C134" t="s">
        <v>671</v>
      </c>
      <c r="D134" t="s">
        <v>672</v>
      </c>
      <c r="E134" t="s">
        <v>673</v>
      </c>
      <c r="F134" t="s">
        <v>46</v>
      </c>
      <c r="G134" t="s">
        <v>102</v>
      </c>
      <c r="H134" t="s">
        <v>48</v>
      </c>
      <c r="I134" t="s">
        <v>76</v>
      </c>
      <c r="J134" t="s">
        <v>50</v>
      </c>
      <c r="K134" t="s">
        <v>51</v>
      </c>
      <c r="L134" t="s">
        <v>51</v>
      </c>
      <c r="M134" t="s">
        <v>52</v>
      </c>
      <c r="N134" t="s">
        <v>674</v>
      </c>
      <c r="O134" t="s">
        <v>54</v>
      </c>
      <c r="P134" t="s">
        <v>54</v>
      </c>
      <c r="Q134" t="s">
        <v>51</v>
      </c>
      <c r="R134" t="s">
        <v>675</v>
      </c>
      <c r="S134" s="1">
        <v>1586186.01</v>
      </c>
      <c r="T134" s="1">
        <v>127547925.81</v>
      </c>
      <c r="U134" s="1">
        <v>142208198.66</v>
      </c>
      <c r="V134" s="1">
        <v>3062369.86</v>
      </c>
      <c r="W134" t="s">
        <v>51</v>
      </c>
      <c r="X134">
        <v>408008.49</v>
      </c>
      <c r="Y134">
        <v>0</v>
      </c>
      <c r="Z134">
        <v>151.25</v>
      </c>
      <c r="AA134" s="14">
        <v>3510344.61</v>
      </c>
      <c r="AB134" s="14">
        <v>103203565.26000001</v>
      </c>
      <c r="AC134">
        <v>0</v>
      </c>
      <c r="AD134">
        <v>0</v>
      </c>
      <c r="AE134">
        <v>185017057.93000001</v>
      </c>
      <c r="AF134">
        <v>145339209.13999999</v>
      </c>
      <c r="AG134">
        <v>144257699.21000001</v>
      </c>
      <c r="AH134" s="14">
        <v>140619688.66</v>
      </c>
      <c r="AI134">
        <v>0</v>
      </c>
      <c r="AJ134">
        <v>0</v>
      </c>
      <c r="AK134">
        <v>100</v>
      </c>
      <c r="AL134">
        <v>100</v>
      </c>
      <c r="AM134">
        <v>34889260.759999998</v>
      </c>
      <c r="AN134">
        <v>34889260.759999998</v>
      </c>
      <c r="AO134">
        <v>0</v>
      </c>
      <c r="AP134">
        <v>0</v>
      </c>
      <c r="AQ134" s="29">
        <f t="shared" si="2"/>
        <v>3.4013792073523952</v>
      </c>
    </row>
    <row r="135" spans="2:43" x14ac:dyDescent="0.3">
      <c r="B135" t="s">
        <v>670</v>
      </c>
      <c r="C135" t="s">
        <v>676</v>
      </c>
      <c r="D135" t="s">
        <v>677</v>
      </c>
      <c r="E135" t="s">
        <v>678</v>
      </c>
      <c r="F135" t="s">
        <v>70</v>
      </c>
      <c r="G135" t="s">
        <v>224</v>
      </c>
      <c r="H135" t="s">
        <v>60</v>
      </c>
      <c r="I135" t="s">
        <v>76</v>
      </c>
      <c r="J135" t="s">
        <v>50</v>
      </c>
      <c r="K135" t="s">
        <v>51</v>
      </c>
      <c r="L135" t="s">
        <v>51</v>
      </c>
      <c r="M135" t="s">
        <v>52</v>
      </c>
      <c r="N135" t="s">
        <v>679</v>
      </c>
      <c r="O135" t="s">
        <v>54</v>
      </c>
      <c r="P135" t="s">
        <v>54</v>
      </c>
      <c r="Q135" t="s">
        <v>51</v>
      </c>
      <c r="R135" t="s">
        <v>675</v>
      </c>
      <c r="S135" s="1">
        <v>0</v>
      </c>
      <c r="T135" s="1">
        <v>23939272.850000001</v>
      </c>
      <c r="U135" s="1">
        <v>56903961.350000001</v>
      </c>
      <c r="V135" s="1">
        <v>1162596</v>
      </c>
      <c r="W135" t="s">
        <v>51</v>
      </c>
      <c r="X135">
        <v>94063.76</v>
      </c>
      <c r="Y135">
        <v>0</v>
      </c>
      <c r="Z135">
        <v>62558.85</v>
      </c>
      <c r="AA135" s="14">
        <v>-6844361</v>
      </c>
      <c r="AB135" s="14">
        <v>33761392.759999998</v>
      </c>
      <c r="AC135">
        <v>0</v>
      </c>
      <c r="AD135">
        <v>0</v>
      </c>
      <c r="AE135">
        <v>38369237</v>
      </c>
      <c r="AF135">
        <v>77666491</v>
      </c>
      <c r="AG135">
        <v>2424223</v>
      </c>
      <c r="AH135" s="14">
        <v>3199488.37</v>
      </c>
      <c r="AI135">
        <v>298165</v>
      </c>
      <c r="AJ135">
        <v>0</v>
      </c>
      <c r="AK135">
        <v>99.99</v>
      </c>
      <c r="AL135">
        <v>99.99</v>
      </c>
      <c r="AM135">
        <v>61171276</v>
      </c>
      <c r="AN135">
        <v>0</v>
      </c>
      <c r="AO135">
        <v>0</v>
      </c>
      <c r="AP135">
        <v>0</v>
      </c>
      <c r="AQ135" s="29">
        <f t="shared" si="2"/>
        <v>-20.272744814334491</v>
      </c>
    </row>
    <row r="136" spans="2:43" x14ac:dyDescent="0.3">
      <c r="B136" t="s">
        <v>670</v>
      </c>
      <c r="C136" t="s">
        <v>680</v>
      </c>
      <c r="D136" t="s">
        <v>681</v>
      </c>
      <c r="E136" t="s">
        <v>682</v>
      </c>
      <c r="F136" t="s">
        <v>46</v>
      </c>
      <c r="G136" t="s">
        <v>139</v>
      </c>
      <c r="H136" t="s">
        <v>60</v>
      </c>
      <c r="I136" t="s">
        <v>49</v>
      </c>
      <c r="J136" t="s">
        <v>50</v>
      </c>
      <c r="K136" t="s">
        <v>51</v>
      </c>
      <c r="L136" t="s">
        <v>51</v>
      </c>
      <c r="M136" t="s">
        <v>52</v>
      </c>
      <c r="N136" t="s">
        <v>683</v>
      </c>
      <c r="O136" t="s">
        <v>54</v>
      </c>
      <c r="P136" t="s">
        <v>54</v>
      </c>
      <c r="Q136" t="s">
        <v>51</v>
      </c>
      <c r="R136" t="s">
        <v>675</v>
      </c>
      <c r="S136" s="1">
        <v>33328033.870000001</v>
      </c>
      <c r="T136" s="1">
        <v>4524613.93</v>
      </c>
      <c r="U136" s="1">
        <v>120697167.48</v>
      </c>
      <c r="V136" s="1">
        <v>852340.08</v>
      </c>
      <c r="W136" t="s">
        <v>51</v>
      </c>
      <c r="X136">
        <v>328577.76</v>
      </c>
      <c r="Y136">
        <v>0</v>
      </c>
      <c r="Z136">
        <v>143589.12</v>
      </c>
      <c r="AA136" s="14">
        <v>0</v>
      </c>
      <c r="AB136" s="14">
        <v>0</v>
      </c>
      <c r="AC136">
        <v>0</v>
      </c>
      <c r="AD136">
        <v>0</v>
      </c>
      <c r="AE136">
        <v>8011265.4900000002</v>
      </c>
      <c r="AF136">
        <v>113581.49</v>
      </c>
      <c r="AG136">
        <v>0</v>
      </c>
      <c r="AH136" s="14">
        <v>0</v>
      </c>
      <c r="AI136">
        <v>0</v>
      </c>
      <c r="AJ136">
        <v>0</v>
      </c>
      <c r="AK136">
        <v>99.99</v>
      </c>
      <c r="AL136">
        <v>99.99</v>
      </c>
      <c r="AM136">
        <v>8500007</v>
      </c>
      <c r="AN136">
        <v>8500007</v>
      </c>
      <c r="AO136">
        <v>0</v>
      </c>
      <c r="AP136">
        <v>0</v>
      </c>
      <c r="AQ136" s="29" t="e">
        <f t="shared" si="2"/>
        <v>#DIV/0!</v>
      </c>
    </row>
    <row r="137" spans="2:43" x14ac:dyDescent="0.3">
      <c r="B137" t="s">
        <v>670</v>
      </c>
      <c r="C137" t="s">
        <v>684</v>
      </c>
      <c r="D137" t="s">
        <v>685</v>
      </c>
      <c r="E137" t="s">
        <v>686</v>
      </c>
      <c r="F137" t="s">
        <v>46</v>
      </c>
      <c r="G137" t="s">
        <v>133</v>
      </c>
      <c r="H137" t="s">
        <v>60</v>
      </c>
      <c r="I137" t="s">
        <v>49</v>
      </c>
      <c r="J137" t="s">
        <v>50</v>
      </c>
      <c r="K137" t="s">
        <v>51</v>
      </c>
      <c r="L137" t="s">
        <v>51</v>
      </c>
      <c r="M137" t="s">
        <v>52</v>
      </c>
      <c r="N137" t="s">
        <v>687</v>
      </c>
      <c r="O137" t="s">
        <v>54</v>
      </c>
      <c r="P137" t="s">
        <v>54</v>
      </c>
      <c r="Q137" t="s">
        <v>51</v>
      </c>
      <c r="R137" t="s">
        <v>688</v>
      </c>
      <c r="S137" s="1">
        <v>392423949.07999998</v>
      </c>
      <c r="T137" s="1">
        <v>1676736.39</v>
      </c>
      <c r="U137" s="1">
        <v>67511791.519999996</v>
      </c>
      <c r="V137" s="1">
        <v>53312410.109999999</v>
      </c>
      <c r="W137" t="s">
        <v>51</v>
      </c>
      <c r="X137">
        <v>464500.76</v>
      </c>
      <c r="Y137">
        <v>0</v>
      </c>
      <c r="Z137">
        <v>177487.66</v>
      </c>
      <c r="AA137" s="14">
        <v>38357340.439999998</v>
      </c>
      <c r="AB137" s="14">
        <v>1238329036.54</v>
      </c>
      <c r="AC137">
        <v>1200000000</v>
      </c>
      <c r="AD137">
        <v>0</v>
      </c>
      <c r="AE137">
        <v>14992000.84</v>
      </c>
      <c r="AF137">
        <v>392423949.07999998</v>
      </c>
      <c r="AG137">
        <v>0</v>
      </c>
      <c r="AH137" s="14">
        <v>0</v>
      </c>
      <c r="AI137">
        <v>856786746.74000001</v>
      </c>
      <c r="AJ137">
        <v>0</v>
      </c>
      <c r="AK137">
        <v>99.99</v>
      </c>
      <c r="AL137">
        <v>99.99</v>
      </c>
      <c r="AM137">
        <v>150000000</v>
      </c>
      <c r="AN137">
        <v>1200000000</v>
      </c>
      <c r="AO137">
        <v>100000000</v>
      </c>
      <c r="AP137">
        <v>0</v>
      </c>
      <c r="AQ137" s="29">
        <f t="shared" si="2"/>
        <v>3.0975079569460613</v>
      </c>
    </row>
    <row r="138" spans="2:43" x14ac:dyDescent="0.3">
      <c r="B138" t="s">
        <v>670</v>
      </c>
      <c r="C138" t="s">
        <v>689</v>
      </c>
      <c r="D138" t="s">
        <v>690</v>
      </c>
      <c r="E138" t="s">
        <v>691</v>
      </c>
      <c r="F138" t="s">
        <v>46</v>
      </c>
      <c r="G138" t="s">
        <v>65</v>
      </c>
      <c r="H138" t="s">
        <v>60</v>
      </c>
      <c r="I138" t="s">
        <v>49</v>
      </c>
      <c r="J138" t="s">
        <v>50</v>
      </c>
      <c r="K138" t="s">
        <v>51</v>
      </c>
      <c r="L138" t="s">
        <v>54</v>
      </c>
      <c r="M138" t="s">
        <v>52</v>
      </c>
      <c r="N138" t="s">
        <v>66</v>
      </c>
      <c r="O138" t="s">
        <v>54</v>
      </c>
      <c r="P138" t="s">
        <v>54</v>
      </c>
      <c r="Q138" t="s">
        <v>51</v>
      </c>
      <c r="R138" t="s">
        <v>675</v>
      </c>
      <c r="S138" s="1">
        <v>0</v>
      </c>
      <c r="T138" s="1">
        <v>0</v>
      </c>
      <c r="U138" s="1">
        <v>0</v>
      </c>
      <c r="V138" s="1">
        <v>0</v>
      </c>
      <c r="W138" t="s">
        <v>51</v>
      </c>
      <c r="X138">
        <v>0</v>
      </c>
      <c r="Y138">
        <v>0</v>
      </c>
      <c r="Z138">
        <v>0</v>
      </c>
      <c r="AA138" s="14">
        <v>0</v>
      </c>
      <c r="AB138" s="14">
        <v>5000000</v>
      </c>
      <c r="AC138">
        <v>5000000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100</v>
      </c>
      <c r="AL138">
        <v>100</v>
      </c>
      <c r="AM138">
        <v>5000000</v>
      </c>
      <c r="AN138">
        <v>5000000</v>
      </c>
      <c r="AO138">
        <v>0</v>
      </c>
      <c r="AP138">
        <v>0</v>
      </c>
      <c r="AQ138" s="29">
        <f t="shared" si="2"/>
        <v>0</v>
      </c>
    </row>
    <row r="139" spans="2:43" x14ac:dyDescent="0.3">
      <c r="B139" t="s">
        <v>670</v>
      </c>
      <c r="C139" t="s">
        <v>692</v>
      </c>
      <c r="D139" t="s">
        <v>693</v>
      </c>
      <c r="E139" t="s">
        <v>694</v>
      </c>
      <c r="F139" t="s">
        <v>46</v>
      </c>
      <c r="G139" t="s">
        <v>162</v>
      </c>
      <c r="H139" t="s">
        <v>60</v>
      </c>
      <c r="I139" t="s">
        <v>49</v>
      </c>
      <c r="J139" t="s">
        <v>50</v>
      </c>
      <c r="K139" t="s">
        <v>51</v>
      </c>
      <c r="L139" t="s">
        <v>54</v>
      </c>
      <c r="M139" t="s">
        <v>52</v>
      </c>
      <c r="N139" t="s">
        <v>66</v>
      </c>
      <c r="O139" t="s">
        <v>54</v>
      </c>
      <c r="P139" t="s">
        <v>54</v>
      </c>
      <c r="Q139" t="s">
        <v>51</v>
      </c>
      <c r="R139" t="s">
        <v>675</v>
      </c>
      <c r="S139" s="1">
        <v>0</v>
      </c>
      <c r="T139" s="1">
        <v>0</v>
      </c>
      <c r="U139" s="1">
        <v>0</v>
      </c>
      <c r="V139" s="1">
        <v>0</v>
      </c>
      <c r="W139" t="s">
        <v>51</v>
      </c>
      <c r="X139">
        <v>0</v>
      </c>
      <c r="Y139">
        <v>0</v>
      </c>
      <c r="Z139">
        <v>0</v>
      </c>
      <c r="AA139" s="14">
        <v>0</v>
      </c>
      <c r="AB139" s="14">
        <v>5500000</v>
      </c>
      <c r="AC139">
        <v>5500000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100</v>
      </c>
      <c r="AL139">
        <v>100</v>
      </c>
      <c r="AM139">
        <v>5500000</v>
      </c>
      <c r="AN139">
        <v>5500000</v>
      </c>
      <c r="AO139">
        <v>0</v>
      </c>
      <c r="AP139">
        <v>0</v>
      </c>
      <c r="AQ139" s="29">
        <f t="shared" si="2"/>
        <v>0</v>
      </c>
    </row>
    <row r="140" spans="2:43" x14ac:dyDescent="0.3">
      <c r="B140" t="s">
        <v>670</v>
      </c>
      <c r="C140" t="s">
        <v>695</v>
      </c>
      <c r="D140" t="s">
        <v>696</v>
      </c>
      <c r="E140" t="s">
        <v>697</v>
      </c>
      <c r="F140" t="s">
        <v>46</v>
      </c>
      <c r="G140" t="s">
        <v>47</v>
      </c>
      <c r="H140" t="s">
        <v>48</v>
      </c>
      <c r="I140" t="s">
        <v>76</v>
      </c>
      <c r="J140" t="s">
        <v>50</v>
      </c>
      <c r="K140" t="s">
        <v>51</v>
      </c>
      <c r="L140" t="s">
        <v>51</v>
      </c>
      <c r="M140" t="s">
        <v>52</v>
      </c>
      <c r="N140" t="s">
        <v>698</v>
      </c>
      <c r="O140" t="s">
        <v>54</v>
      </c>
      <c r="P140" t="s">
        <v>54</v>
      </c>
      <c r="Q140" t="s">
        <v>51</v>
      </c>
      <c r="R140" t="s">
        <v>699</v>
      </c>
      <c r="S140" s="1">
        <v>82875490.269999996</v>
      </c>
      <c r="T140" s="1">
        <v>105697124.40000001</v>
      </c>
      <c r="U140" s="1">
        <v>230792933.22999999</v>
      </c>
      <c r="V140" s="1">
        <v>55079369.640000001</v>
      </c>
      <c r="W140" t="s">
        <v>51</v>
      </c>
      <c r="X140">
        <v>516329.84</v>
      </c>
      <c r="Y140">
        <v>0</v>
      </c>
      <c r="Z140">
        <v>0</v>
      </c>
      <c r="AA140" s="14">
        <v>2196138.02</v>
      </c>
      <c r="AB140" s="14">
        <v>100381544.69</v>
      </c>
      <c r="AC140">
        <v>0</v>
      </c>
      <c r="AD140">
        <v>0</v>
      </c>
      <c r="AE140">
        <v>117747282.2</v>
      </c>
      <c r="AF140">
        <v>123713622.3</v>
      </c>
      <c r="AG140">
        <v>0</v>
      </c>
      <c r="AH140" s="14">
        <v>0</v>
      </c>
      <c r="AI140">
        <v>4000000</v>
      </c>
      <c r="AJ140">
        <v>0</v>
      </c>
      <c r="AK140">
        <v>100</v>
      </c>
      <c r="AL140">
        <v>100</v>
      </c>
      <c r="AM140">
        <v>90600149.030000001</v>
      </c>
      <c r="AN140">
        <v>90600149.030000001</v>
      </c>
      <c r="AO140">
        <v>9399850.9700000007</v>
      </c>
      <c r="AP140">
        <v>9399850.9700000007</v>
      </c>
      <c r="AQ140" s="29">
        <f t="shared" si="2"/>
        <v>2.1877906210570388</v>
      </c>
    </row>
    <row r="141" spans="2:43" x14ac:dyDescent="0.3">
      <c r="B141" t="s">
        <v>670</v>
      </c>
      <c r="C141" t="s">
        <v>700</v>
      </c>
      <c r="D141" t="s">
        <v>701</v>
      </c>
      <c r="E141" t="s">
        <v>702</v>
      </c>
      <c r="F141" t="s">
        <v>70</v>
      </c>
      <c r="G141" t="s">
        <v>107</v>
      </c>
      <c r="H141" t="s">
        <v>60</v>
      </c>
      <c r="I141" t="s">
        <v>363</v>
      </c>
      <c r="J141" t="s">
        <v>373</v>
      </c>
      <c r="K141" t="s">
        <v>51</v>
      </c>
      <c r="L141" t="s">
        <v>51</v>
      </c>
      <c r="M141" t="s">
        <v>52</v>
      </c>
      <c r="N141" t="s">
        <v>703</v>
      </c>
      <c r="O141" t="s">
        <v>54</v>
      </c>
      <c r="P141" t="s">
        <v>54</v>
      </c>
      <c r="Q141" t="s">
        <v>51</v>
      </c>
      <c r="R141" t="s">
        <v>675</v>
      </c>
      <c r="S141" s="1">
        <v>0</v>
      </c>
      <c r="T141" s="1">
        <v>1761866.61</v>
      </c>
      <c r="U141" s="1">
        <v>22091692.329999998</v>
      </c>
      <c r="V141" s="1">
        <v>0</v>
      </c>
      <c r="W141" t="s">
        <v>51</v>
      </c>
      <c r="X141">
        <v>339751.8</v>
      </c>
      <c r="Y141">
        <v>0</v>
      </c>
      <c r="Z141">
        <v>148387.72</v>
      </c>
      <c r="AA141" s="14">
        <v>-13857395.01</v>
      </c>
      <c r="AB141" s="14">
        <v>7260371.8799999999</v>
      </c>
      <c r="AC141">
        <v>0</v>
      </c>
      <c r="AD141">
        <v>0</v>
      </c>
      <c r="AE141">
        <v>23683899.27</v>
      </c>
      <c r="AF141">
        <v>21542319.469999999</v>
      </c>
      <c r="AG141">
        <v>0</v>
      </c>
      <c r="AH141" s="14">
        <v>0</v>
      </c>
      <c r="AI141">
        <v>0</v>
      </c>
      <c r="AJ141">
        <v>0</v>
      </c>
      <c r="AK141">
        <v>82.6</v>
      </c>
      <c r="AL141">
        <v>82.6</v>
      </c>
      <c r="AM141">
        <v>0</v>
      </c>
      <c r="AN141">
        <v>0</v>
      </c>
      <c r="AO141">
        <v>0</v>
      </c>
      <c r="AP141">
        <v>0</v>
      </c>
      <c r="AQ141" s="29">
        <f t="shared" si="2"/>
        <v>-190.8634328796943</v>
      </c>
    </row>
    <row r="142" spans="2:43" x14ac:dyDescent="0.3">
      <c r="B142" t="s">
        <v>670</v>
      </c>
      <c r="C142" t="s">
        <v>704</v>
      </c>
      <c r="D142" t="s">
        <v>705</v>
      </c>
      <c r="E142" t="s">
        <v>706</v>
      </c>
      <c r="F142" t="s">
        <v>46</v>
      </c>
      <c r="G142" t="s">
        <v>314</v>
      </c>
      <c r="H142" t="s">
        <v>60</v>
      </c>
      <c r="I142" t="s">
        <v>49</v>
      </c>
      <c r="J142" t="s">
        <v>50</v>
      </c>
      <c r="K142" t="s">
        <v>51</v>
      </c>
      <c r="L142" t="s">
        <v>54</v>
      </c>
      <c r="M142" t="s">
        <v>52</v>
      </c>
      <c r="N142" t="s">
        <v>66</v>
      </c>
      <c r="O142" t="s">
        <v>54</v>
      </c>
      <c r="P142" t="s">
        <v>54</v>
      </c>
      <c r="Q142" t="s">
        <v>51</v>
      </c>
      <c r="R142" t="s">
        <v>675</v>
      </c>
      <c r="S142" s="1">
        <v>0</v>
      </c>
      <c r="T142" s="1">
        <v>0</v>
      </c>
      <c r="U142" s="1">
        <v>0</v>
      </c>
      <c r="V142" s="1">
        <v>0</v>
      </c>
      <c r="W142" t="s">
        <v>51</v>
      </c>
      <c r="X142">
        <v>0</v>
      </c>
      <c r="Y142">
        <v>0</v>
      </c>
      <c r="Z142">
        <v>0</v>
      </c>
      <c r="AA142" s="14">
        <v>0</v>
      </c>
      <c r="AB142" s="14">
        <v>1000000</v>
      </c>
      <c r="AC142">
        <v>1000000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100</v>
      </c>
      <c r="AL142">
        <v>100</v>
      </c>
      <c r="AM142">
        <v>1000000</v>
      </c>
      <c r="AN142">
        <v>1000000</v>
      </c>
      <c r="AO142">
        <v>0</v>
      </c>
      <c r="AP142">
        <v>0</v>
      </c>
      <c r="AQ142" s="29">
        <f t="shared" si="2"/>
        <v>0</v>
      </c>
    </row>
    <row r="143" spans="2:43" x14ac:dyDescent="0.3">
      <c r="B143" t="s">
        <v>670</v>
      </c>
      <c r="C143" t="s">
        <v>707</v>
      </c>
      <c r="D143" t="s">
        <v>708</v>
      </c>
      <c r="E143" t="s">
        <v>709</v>
      </c>
      <c r="F143" t="s">
        <v>46</v>
      </c>
      <c r="G143" t="s">
        <v>71</v>
      </c>
      <c r="H143" t="s">
        <v>60</v>
      </c>
      <c r="I143" t="s">
        <v>49</v>
      </c>
      <c r="J143" t="s">
        <v>50</v>
      </c>
      <c r="K143" t="s">
        <v>51</v>
      </c>
      <c r="L143" t="s">
        <v>51</v>
      </c>
      <c r="M143" t="s">
        <v>134</v>
      </c>
      <c r="N143" t="s">
        <v>710</v>
      </c>
      <c r="O143" t="s">
        <v>54</v>
      </c>
      <c r="P143" t="s">
        <v>54</v>
      </c>
      <c r="Q143" t="s">
        <v>51</v>
      </c>
      <c r="R143" t="s">
        <v>675</v>
      </c>
      <c r="S143" s="1">
        <v>25598000</v>
      </c>
      <c r="T143" s="1">
        <v>1201752</v>
      </c>
      <c r="U143" s="1">
        <v>2666982</v>
      </c>
      <c r="V143" s="1">
        <v>4068</v>
      </c>
      <c r="W143" t="s">
        <v>51</v>
      </c>
      <c r="X143">
        <v>265490</v>
      </c>
      <c r="Y143">
        <v>0</v>
      </c>
      <c r="Z143">
        <v>0</v>
      </c>
      <c r="AA143" s="14">
        <v>4919619</v>
      </c>
      <c r="AB143" s="14">
        <v>219285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78580936.790000007</v>
      </c>
      <c r="AJ143">
        <v>0</v>
      </c>
      <c r="AK143">
        <v>99.99</v>
      </c>
      <c r="AL143">
        <v>99.99</v>
      </c>
      <c r="AM143">
        <v>210141484.66999999</v>
      </c>
      <c r="AN143">
        <v>210141484.66999999</v>
      </c>
      <c r="AO143">
        <v>0</v>
      </c>
      <c r="AP143">
        <v>0</v>
      </c>
      <c r="AQ143" s="29">
        <f t="shared" si="2"/>
        <v>2243.4817702989262</v>
      </c>
    </row>
    <row r="144" spans="2:43" x14ac:dyDescent="0.3">
      <c r="B144" t="s">
        <v>670</v>
      </c>
      <c r="C144" t="s">
        <v>711</v>
      </c>
      <c r="D144" t="s">
        <v>712</v>
      </c>
      <c r="E144" t="s">
        <v>713</v>
      </c>
      <c r="F144" t="s">
        <v>46</v>
      </c>
      <c r="G144" t="s">
        <v>59</v>
      </c>
      <c r="H144" t="s">
        <v>60</v>
      </c>
      <c r="I144" t="s">
        <v>49</v>
      </c>
      <c r="J144" t="s">
        <v>50</v>
      </c>
      <c r="K144" t="s">
        <v>51</v>
      </c>
      <c r="L144" t="s">
        <v>54</v>
      </c>
      <c r="M144" t="s">
        <v>134</v>
      </c>
      <c r="N144" t="s">
        <v>714</v>
      </c>
      <c r="O144" t="s">
        <v>54</v>
      </c>
      <c r="P144" t="s">
        <v>54</v>
      </c>
      <c r="Q144" t="s">
        <v>51</v>
      </c>
      <c r="R144" t="s">
        <v>675</v>
      </c>
      <c r="S144" s="1">
        <v>672323000</v>
      </c>
      <c r="T144" s="1">
        <v>72706000</v>
      </c>
      <c r="U144" s="1">
        <v>1521761000</v>
      </c>
      <c r="V144" s="1">
        <v>1196770000</v>
      </c>
      <c r="W144" t="s">
        <v>54</v>
      </c>
      <c r="X144">
        <v>0</v>
      </c>
      <c r="Y144">
        <v>0</v>
      </c>
      <c r="Z144">
        <v>0</v>
      </c>
      <c r="AA144" s="14">
        <v>344203000</v>
      </c>
      <c r="AB144" s="14">
        <v>2715197000</v>
      </c>
      <c r="AC144">
        <v>0</v>
      </c>
      <c r="AD144">
        <v>0</v>
      </c>
      <c r="AE144">
        <v>0</v>
      </c>
      <c r="AF144">
        <v>0</v>
      </c>
      <c r="AG144">
        <v>1008727139.36</v>
      </c>
      <c r="AH144">
        <v>1008727140</v>
      </c>
      <c r="AI144">
        <v>690000000</v>
      </c>
      <c r="AJ144">
        <v>510000000</v>
      </c>
      <c r="AK144">
        <v>100</v>
      </c>
      <c r="AL144">
        <v>100</v>
      </c>
      <c r="AM144">
        <v>1521810533.01</v>
      </c>
      <c r="AN144">
        <v>2031810533.01</v>
      </c>
      <c r="AO144">
        <v>0</v>
      </c>
      <c r="AP144">
        <v>350000000</v>
      </c>
      <c r="AQ144" s="29">
        <f t="shared" si="2"/>
        <v>12.67690705315305</v>
      </c>
    </row>
    <row r="145" spans="2:43" x14ac:dyDescent="0.3">
      <c r="B145" t="s">
        <v>715</v>
      </c>
      <c r="C145" t="s">
        <v>716</v>
      </c>
      <c r="D145" t="s">
        <v>303</v>
      </c>
      <c r="E145" t="s">
        <v>717</v>
      </c>
      <c r="F145" t="s">
        <v>46</v>
      </c>
      <c r="G145" t="s">
        <v>75</v>
      </c>
      <c r="H145" t="s">
        <v>60</v>
      </c>
      <c r="I145" t="s">
        <v>49</v>
      </c>
      <c r="J145" t="s">
        <v>50</v>
      </c>
      <c r="K145" t="s">
        <v>51</v>
      </c>
      <c r="L145" t="s">
        <v>54</v>
      </c>
      <c r="M145" t="s">
        <v>52</v>
      </c>
      <c r="N145" t="s">
        <v>718</v>
      </c>
      <c r="O145" t="s">
        <v>54</v>
      </c>
      <c r="P145" t="s">
        <v>54</v>
      </c>
      <c r="Q145" t="s">
        <v>54</v>
      </c>
      <c r="R145" t="s">
        <v>55</v>
      </c>
      <c r="S145" s="1">
        <v>2654629.66</v>
      </c>
      <c r="T145" s="1">
        <v>7705774.29</v>
      </c>
      <c r="U145" s="1">
        <v>29188721.280000001</v>
      </c>
      <c r="V145" s="1">
        <v>0</v>
      </c>
      <c r="W145" t="s">
        <v>51</v>
      </c>
      <c r="X145">
        <v>7705774.29</v>
      </c>
      <c r="Y145">
        <v>0</v>
      </c>
      <c r="Z145">
        <v>14476.88</v>
      </c>
      <c r="AA145" s="14">
        <v>-1214479.29</v>
      </c>
      <c r="AB145" s="14">
        <v>-17175189.010000002</v>
      </c>
      <c r="AC145">
        <v>0</v>
      </c>
      <c r="AD145">
        <v>0</v>
      </c>
      <c r="AE145">
        <v>20533029.77</v>
      </c>
      <c r="AF145">
        <v>19765292.32</v>
      </c>
      <c r="AG145">
        <v>1116638.8400000001</v>
      </c>
      <c r="AH145" s="14">
        <v>866222.58</v>
      </c>
      <c r="AI145">
        <v>0</v>
      </c>
      <c r="AJ145">
        <v>0</v>
      </c>
      <c r="AK145">
        <v>99.99</v>
      </c>
      <c r="AL145">
        <v>99.99</v>
      </c>
      <c r="AM145">
        <v>3833847.05</v>
      </c>
      <c r="AN145">
        <v>3833847.05</v>
      </c>
      <c r="AO145">
        <v>0</v>
      </c>
      <c r="AP145">
        <v>0</v>
      </c>
      <c r="AQ145" s="29">
        <f t="shared" si="2"/>
        <v>7.071126200083663</v>
      </c>
    </row>
    <row r="146" spans="2:43" x14ac:dyDescent="0.3">
      <c r="B146" t="s">
        <v>715</v>
      </c>
      <c r="C146" t="s">
        <v>719</v>
      </c>
      <c r="D146" t="s">
        <v>720</v>
      </c>
      <c r="E146" t="s">
        <v>721</v>
      </c>
      <c r="F146" t="s">
        <v>46</v>
      </c>
      <c r="G146" t="s">
        <v>65</v>
      </c>
      <c r="H146" t="s">
        <v>60</v>
      </c>
      <c r="I146" t="s">
        <v>49</v>
      </c>
      <c r="J146" t="s">
        <v>50</v>
      </c>
      <c r="K146" t="s">
        <v>51</v>
      </c>
      <c r="L146" t="s">
        <v>51</v>
      </c>
      <c r="M146" t="s">
        <v>52</v>
      </c>
      <c r="N146" t="s">
        <v>722</v>
      </c>
      <c r="O146" t="s">
        <v>54</v>
      </c>
      <c r="P146" t="s">
        <v>54</v>
      </c>
      <c r="Q146" t="s">
        <v>51</v>
      </c>
      <c r="R146" t="s">
        <v>723</v>
      </c>
      <c r="S146" s="1">
        <v>13029676.289999999</v>
      </c>
      <c r="T146" s="1">
        <v>7987558.1600000001</v>
      </c>
      <c r="U146" s="1">
        <v>15497114.01</v>
      </c>
      <c r="V146" s="1">
        <v>87291.85</v>
      </c>
      <c r="W146" t="s">
        <v>51</v>
      </c>
      <c r="X146">
        <v>343295.27</v>
      </c>
      <c r="Y146">
        <v>0</v>
      </c>
      <c r="Z146">
        <v>0</v>
      </c>
      <c r="AA146" s="14">
        <v>7750703.9299999997</v>
      </c>
      <c r="AB146" s="14">
        <v>69090105.769999996</v>
      </c>
      <c r="AC146">
        <v>0</v>
      </c>
      <c r="AD146">
        <v>0</v>
      </c>
      <c r="AE146">
        <v>5296978</v>
      </c>
      <c r="AF146">
        <v>5210027.58</v>
      </c>
      <c r="AG146">
        <v>0</v>
      </c>
      <c r="AH146" s="14">
        <v>0</v>
      </c>
      <c r="AI146">
        <v>0</v>
      </c>
      <c r="AJ146">
        <v>0</v>
      </c>
      <c r="AK146">
        <v>99.53</v>
      </c>
      <c r="AL146">
        <v>99.53</v>
      </c>
      <c r="AM146">
        <v>22565720.649999999</v>
      </c>
      <c r="AN146">
        <v>22565720.649999999</v>
      </c>
      <c r="AO146">
        <v>0</v>
      </c>
      <c r="AP146">
        <v>0</v>
      </c>
      <c r="AQ146" s="29">
        <f t="shared" si="2"/>
        <v>11.218254544003718</v>
      </c>
    </row>
    <row r="147" spans="2:43" x14ac:dyDescent="0.3">
      <c r="B147" t="s">
        <v>715</v>
      </c>
      <c r="C147" t="s">
        <v>724</v>
      </c>
      <c r="D147" t="s">
        <v>91</v>
      </c>
      <c r="E147" t="s">
        <v>725</v>
      </c>
      <c r="F147" t="s">
        <v>46</v>
      </c>
      <c r="G147" t="s">
        <v>93</v>
      </c>
      <c r="H147" t="s">
        <v>60</v>
      </c>
      <c r="I147" t="s">
        <v>49</v>
      </c>
      <c r="J147" t="s">
        <v>50</v>
      </c>
      <c r="K147" t="s">
        <v>51</v>
      </c>
      <c r="L147" t="s">
        <v>51</v>
      </c>
      <c r="M147" t="s">
        <v>52</v>
      </c>
      <c r="N147" t="s">
        <v>726</v>
      </c>
      <c r="O147" t="s">
        <v>54</v>
      </c>
      <c r="P147" t="s">
        <v>54</v>
      </c>
      <c r="Q147" t="s">
        <v>51</v>
      </c>
      <c r="R147" t="s">
        <v>727</v>
      </c>
      <c r="S147" s="1">
        <v>789455.77</v>
      </c>
      <c r="T147" s="1">
        <v>39016042.960000001</v>
      </c>
      <c r="U147" s="1">
        <v>112104480.81</v>
      </c>
      <c r="V147" s="1">
        <v>0</v>
      </c>
      <c r="W147" t="s">
        <v>51</v>
      </c>
      <c r="X147">
        <v>365222.73</v>
      </c>
      <c r="Y147">
        <v>0</v>
      </c>
      <c r="Z147">
        <v>14657.4</v>
      </c>
      <c r="AA147" s="14">
        <v>64618631.939999998</v>
      </c>
      <c r="AB147" s="14">
        <v>103353343.09</v>
      </c>
      <c r="AC147">
        <v>0</v>
      </c>
      <c r="AD147">
        <v>0</v>
      </c>
      <c r="AE147">
        <v>87776138.430000007</v>
      </c>
      <c r="AF147">
        <v>96036530.829999998</v>
      </c>
      <c r="AG147">
        <v>2158325.04</v>
      </c>
      <c r="AH147" s="14">
        <v>112747295.40000001</v>
      </c>
      <c r="AI147">
        <v>0</v>
      </c>
      <c r="AJ147">
        <v>0</v>
      </c>
      <c r="AK147">
        <v>99</v>
      </c>
      <c r="AL147">
        <v>99</v>
      </c>
      <c r="AM147">
        <v>89804780.659999996</v>
      </c>
      <c r="AN147">
        <v>89804780.659999996</v>
      </c>
      <c r="AO147">
        <v>0</v>
      </c>
      <c r="AP147">
        <v>0</v>
      </c>
      <c r="AQ147" s="29">
        <f t="shared" si="2"/>
        <v>62.522052996128195</v>
      </c>
    </row>
    <row r="148" spans="2:43" x14ac:dyDescent="0.3">
      <c r="B148" t="s">
        <v>715</v>
      </c>
      <c r="C148" t="s">
        <v>728</v>
      </c>
      <c r="D148" t="s">
        <v>729</v>
      </c>
      <c r="E148" t="s">
        <v>730</v>
      </c>
      <c r="F148" t="s">
        <v>46</v>
      </c>
      <c r="G148" t="s">
        <v>314</v>
      </c>
      <c r="H148" t="s">
        <v>48</v>
      </c>
      <c r="I148" t="s">
        <v>76</v>
      </c>
      <c r="J148" t="s">
        <v>50</v>
      </c>
      <c r="K148" t="s">
        <v>51</v>
      </c>
      <c r="L148" t="s">
        <v>51</v>
      </c>
      <c r="M148" t="s">
        <v>52</v>
      </c>
      <c r="N148" t="s">
        <v>466</v>
      </c>
      <c r="O148" t="s">
        <v>54</v>
      </c>
      <c r="P148" t="s">
        <v>54</v>
      </c>
      <c r="Q148" t="s">
        <v>51</v>
      </c>
      <c r="R148" t="s">
        <v>55</v>
      </c>
      <c r="S148" s="1">
        <v>11585896.560000001</v>
      </c>
      <c r="T148" s="1">
        <v>3621453.2</v>
      </c>
      <c r="U148" s="1">
        <v>11181259.779999999</v>
      </c>
      <c r="V148" s="1">
        <v>0</v>
      </c>
      <c r="W148" t="s">
        <v>51</v>
      </c>
      <c r="X148">
        <v>3256160.72</v>
      </c>
      <c r="Y148">
        <v>0</v>
      </c>
      <c r="Z148">
        <v>365292.48</v>
      </c>
      <c r="AA148" s="14">
        <v>270414783.73000002</v>
      </c>
      <c r="AB148" s="14">
        <v>216525127.71000001</v>
      </c>
      <c r="AC148">
        <v>0</v>
      </c>
      <c r="AD148">
        <v>0</v>
      </c>
      <c r="AE148">
        <v>34885831.310000002</v>
      </c>
      <c r="AF148">
        <v>22162938.52</v>
      </c>
      <c r="AG148">
        <v>0</v>
      </c>
      <c r="AH148" s="14">
        <v>0</v>
      </c>
      <c r="AI148">
        <v>0</v>
      </c>
      <c r="AJ148">
        <v>0</v>
      </c>
      <c r="AK148">
        <v>100</v>
      </c>
      <c r="AL148">
        <v>100</v>
      </c>
      <c r="AM148">
        <v>2599890.0299999998</v>
      </c>
      <c r="AN148">
        <v>2599890.0299999998</v>
      </c>
      <c r="AO148">
        <v>0</v>
      </c>
      <c r="AP148">
        <v>0</v>
      </c>
      <c r="AQ148" s="29">
        <f t="shared" si="2"/>
        <v>124.88840745180225</v>
      </c>
    </row>
    <row r="149" spans="2:43" x14ac:dyDescent="0.3">
      <c r="B149" t="s">
        <v>715</v>
      </c>
      <c r="C149" t="s">
        <v>731</v>
      </c>
      <c r="D149" t="s">
        <v>100</v>
      </c>
      <c r="E149" t="s">
        <v>732</v>
      </c>
      <c r="F149" t="s">
        <v>46</v>
      </c>
      <c r="G149" t="s">
        <v>102</v>
      </c>
      <c r="H149" t="s">
        <v>48</v>
      </c>
      <c r="I149" t="s">
        <v>76</v>
      </c>
      <c r="J149" t="s">
        <v>50</v>
      </c>
      <c r="K149" t="s">
        <v>51</v>
      </c>
      <c r="L149" t="s">
        <v>51</v>
      </c>
      <c r="M149" t="s">
        <v>52</v>
      </c>
      <c r="N149" t="s">
        <v>733</v>
      </c>
      <c r="O149" t="s">
        <v>54</v>
      </c>
      <c r="P149" t="s">
        <v>54</v>
      </c>
      <c r="Q149" t="s">
        <v>51</v>
      </c>
      <c r="R149" t="s">
        <v>734</v>
      </c>
      <c r="S149" s="1">
        <v>901202.54</v>
      </c>
      <c r="T149" s="1">
        <v>133427539.84</v>
      </c>
      <c r="U149" s="1">
        <v>153684371.37</v>
      </c>
      <c r="V149" s="1">
        <v>0</v>
      </c>
      <c r="W149" t="s">
        <v>51</v>
      </c>
      <c r="X149">
        <v>229270.92</v>
      </c>
      <c r="Y149">
        <v>0</v>
      </c>
      <c r="Z149">
        <v>1642277.35</v>
      </c>
      <c r="AA149" s="14">
        <v>7234508.1799999997</v>
      </c>
      <c r="AB149" s="14">
        <v>1145683.94</v>
      </c>
      <c r="AC149">
        <v>0</v>
      </c>
      <c r="AD149">
        <v>0</v>
      </c>
      <c r="AE149">
        <v>162793879.80000001</v>
      </c>
      <c r="AF149">
        <v>161010046.71000001</v>
      </c>
      <c r="AG149">
        <v>46016107.060000002</v>
      </c>
      <c r="AH149" s="14">
        <v>7480102.2300000004</v>
      </c>
      <c r="AI149">
        <v>0</v>
      </c>
      <c r="AJ149">
        <v>0</v>
      </c>
      <c r="AK149">
        <v>100</v>
      </c>
      <c r="AL149">
        <v>100</v>
      </c>
      <c r="AM149">
        <v>0</v>
      </c>
      <c r="AN149">
        <v>4000000</v>
      </c>
      <c r="AO149">
        <v>0</v>
      </c>
      <c r="AP149">
        <v>0</v>
      </c>
      <c r="AQ149" s="29">
        <f t="shared" si="2"/>
        <v>631.45758855622955</v>
      </c>
    </row>
    <row r="150" spans="2:43" x14ac:dyDescent="0.3">
      <c r="B150" t="s">
        <v>715</v>
      </c>
      <c r="C150" t="s">
        <v>735</v>
      </c>
      <c r="D150" t="s">
        <v>736</v>
      </c>
      <c r="E150" t="s">
        <v>737</v>
      </c>
      <c r="F150" t="s">
        <v>46</v>
      </c>
      <c r="G150" t="s">
        <v>47</v>
      </c>
      <c r="H150" t="s">
        <v>48</v>
      </c>
      <c r="I150" t="s">
        <v>49</v>
      </c>
      <c r="J150" t="s">
        <v>50</v>
      </c>
      <c r="K150" t="s">
        <v>51</v>
      </c>
      <c r="L150" t="s">
        <v>51</v>
      </c>
      <c r="M150" t="s">
        <v>52</v>
      </c>
      <c r="N150" t="s">
        <v>199</v>
      </c>
      <c r="O150" t="s">
        <v>54</v>
      </c>
      <c r="P150" t="s">
        <v>54</v>
      </c>
      <c r="Q150" t="s">
        <v>51</v>
      </c>
      <c r="R150" t="s">
        <v>55</v>
      </c>
      <c r="S150" s="1">
        <v>52470657.530000001</v>
      </c>
      <c r="T150" s="1">
        <v>74099417.950000003</v>
      </c>
      <c r="U150" s="1">
        <v>157505597.19</v>
      </c>
      <c r="V150" s="1">
        <v>34231846.189999998</v>
      </c>
      <c r="W150" t="s">
        <v>51</v>
      </c>
      <c r="X150">
        <v>532452.14</v>
      </c>
      <c r="Y150">
        <v>0</v>
      </c>
      <c r="Z150">
        <v>0</v>
      </c>
      <c r="AA150" s="14">
        <v>-3840412.37</v>
      </c>
      <c r="AB150" s="14">
        <v>93654453.849999994</v>
      </c>
      <c r="AC150">
        <v>0</v>
      </c>
      <c r="AD150">
        <v>0</v>
      </c>
      <c r="AE150">
        <v>92078748.609999999</v>
      </c>
      <c r="AF150">
        <v>100183598.5</v>
      </c>
      <c r="AG150">
        <v>0</v>
      </c>
      <c r="AH150" s="14">
        <v>50000</v>
      </c>
      <c r="AI150">
        <v>0</v>
      </c>
      <c r="AJ150">
        <v>29081412.989999998</v>
      </c>
      <c r="AK150">
        <v>50</v>
      </c>
      <c r="AL150">
        <v>0.5</v>
      </c>
      <c r="AM150">
        <v>29081412.989999998</v>
      </c>
      <c r="AN150">
        <v>0</v>
      </c>
      <c r="AO150">
        <v>0</v>
      </c>
      <c r="AP150">
        <v>0</v>
      </c>
      <c r="AQ150" s="29">
        <f t="shared" si="2"/>
        <v>-4.1006190438640848</v>
      </c>
    </row>
    <row r="151" spans="2:43" x14ac:dyDescent="0.3">
      <c r="B151" t="s">
        <v>715</v>
      </c>
      <c r="C151" t="s">
        <v>738</v>
      </c>
      <c r="D151" t="s">
        <v>739</v>
      </c>
      <c r="E151" t="s">
        <v>740</v>
      </c>
      <c r="F151" t="s">
        <v>46</v>
      </c>
      <c r="G151" t="s">
        <v>71</v>
      </c>
      <c r="H151" t="s">
        <v>60</v>
      </c>
      <c r="I151" t="s">
        <v>49</v>
      </c>
      <c r="J151" t="s">
        <v>373</v>
      </c>
      <c r="K151" t="s">
        <v>54</v>
      </c>
      <c r="L151" t="s">
        <v>51</v>
      </c>
      <c r="M151" t="s">
        <v>134</v>
      </c>
      <c r="N151" t="s">
        <v>741</v>
      </c>
      <c r="O151" t="s">
        <v>54</v>
      </c>
      <c r="P151" t="s">
        <v>54</v>
      </c>
      <c r="Q151" t="s">
        <v>54</v>
      </c>
      <c r="R151" t="s">
        <v>742</v>
      </c>
      <c r="S151" s="1">
        <v>2344017159.2800002</v>
      </c>
      <c r="T151" s="1">
        <v>444038096.83999997</v>
      </c>
      <c r="U151" s="1">
        <v>1567290913.28</v>
      </c>
      <c r="V151" s="1">
        <v>137280294.09999999</v>
      </c>
      <c r="W151" t="s">
        <v>54</v>
      </c>
      <c r="X151">
        <v>603867.88</v>
      </c>
      <c r="Y151">
        <v>31139.919999999998</v>
      </c>
      <c r="Z151">
        <v>1492.15</v>
      </c>
      <c r="AA151" s="14">
        <v>368068562.88999999</v>
      </c>
      <c r="AB151" s="14">
        <v>2106279880.3099999</v>
      </c>
      <c r="AC151">
        <v>1084962547.3499999</v>
      </c>
      <c r="AD151">
        <v>172797599.81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99.98</v>
      </c>
      <c r="AL151">
        <v>99.98</v>
      </c>
      <c r="AM151">
        <v>1472778725.04</v>
      </c>
      <c r="AN151">
        <v>1472778726.04</v>
      </c>
      <c r="AO151">
        <v>0</v>
      </c>
      <c r="AP151">
        <v>0</v>
      </c>
      <c r="AQ151" s="29">
        <f t="shared" si="2"/>
        <v>17.474817393965139</v>
      </c>
    </row>
    <row r="152" spans="2:43" x14ac:dyDescent="0.3">
      <c r="B152" t="s">
        <v>715</v>
      </c>
      <c r="C152" t="s">
        <v>743</v>
      </c>
      <c r="D152" t="s">
        <v>744</v>
      </c>
      <c r="E152" t="s">
        <v>745</v>
      </c>
      <c r="F152" t="s">
        <v>46</v>
      </c>
      <c r="G152" t="s">
        <v>65</v>
      </c>
      <c r="H152" t="s">
        <v>60</v>
      </c>
      <c r="I152" t="s">
        <v>49</v>
      </c>
      <c r="J152" t="s">
        <v>50</v>
      </c>
      <c r="K152" t="s">
        <v>51</v>
      </c>
      <c r="L152" t="s">
        <v>54</v>
      </c>
      <c r="M152" t="s">
        <v>134</v>
      </c>
      <c r="N152" t="s">
        <v>66</v>
      </c>
      <c r="O152" t="s">
        <v>54</v>
      </c>
      <c r="P152" t="s">
        <v>54</v>
      </c>
      <c r="Q152" t="s">
        <v>51</v>
      </c>
      <c r="R152" t="s">
        <v>723</v>
      </c>
      <c r="S152" s="1">
        <v>0</v>
      </c>
      <c r="T152" s="1">
        <v>0</v>
      </c>
      <c r="U152" s="1">
        <v>87843.44</v>
      </c>
      <c r="V152" s="1">
        <v>0</v>
      </c>
      <c r="W152" t="s">
        <v>51</v>
      </c>
      <c r="X152">
        <v>0</v>
      </c>
      <c r="Y152">
        <v>0</v>
      </c>
      <c r="Z152">
        <v>0</v>
      </c>
      <c r="AA152" s="14">
        <v>52628.13</v>
      </c>
      <c r="AB152" s="14">
        <v>24842900.489999998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99.53</v>
      </c>
      <c r="AL152">
        <v>99.53</v>
      </c>
      <c r="AM152">
        <v>28487875</v>
      </c>
      <c r="AN152">
        <v>28487875</v>
      </c>
      <c r="AO152">
        <v>15512125</v>
      </c>
      <c r="AP152">
        <v>15512125</v>
      </c>
      <c r="AQ152" s="29">
        <f t="shared" si="2"/>
        <v>0.21184374192210115</v>
      </c>
    </row>
    <row r="153" spans="2:43" x14ac:dyDescent="0.3">
      <c r="B153" t="s">
        <v>715</v>
      </c>
      <c r="C153" t="s">
        <v>746</v>
      </c>
      <c r="D153" t="s">
        <v>747</v>
      </c>
      <c r="E153" t="s">
        <v>748</v>
      </c>
      <c r="F153" t="s">
        <v>46</v>
      </c>
      <c r="G153" t="s">
        <v>107</v>
      </c>
      <c r="H153" t="s">
        <v>60</v>
      </c>
      <c r="I153" t="s">
        <v>49</v>
      </c>
      <c r="J153" t="s">
        <v>50</v>
      </c>
      <c r="K153" t="s">
        <v>51</v>
      </c>
      <c r="L153" t="s">
        <v>51</v>
      </c>
      <c r="M153" t="s">
        <v>134</v>
      </c>
      <c r="N153" t="s">
        <v>749</v>
      </c>
      <c r="O153" t="s">
        <v>54</v>
      </c>
      <c r="P153" t="s">
        <v>54</v>
      </c>
      <c r="Q153" t="s">
        <v>54</v>
      </c>
      <c r="R153" t="s">
        <v>750</v>
      </c>
      <c r="S153" s="1">
        <v>780169317.39999998</v>
      </c>
      <c r="T153" s="1">
        <v>279616275.04000002</v>
      </c>
      <c r="U153" s="1">
        <v>1251995061.27</v>
      </c>
      <c r="V153" s="1">
        <v>0</v>
      </c>
      <c r="W153" t="s">
        <v>51</v>
      </c>
      <c r="X153">
        <v>286193.03000000003</v>
      </c>
      <c r="Y153">
        <v>0</v>
      </c>
      <c r="Z153">
        <v>198766.15</v>
      </c>
      <c r="AA153" s="14">
        <v>-304884941.61000001</v>
      </c>
      <c r="AB153" s="14">
        <v>1414791666.26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155894306.72</v>
      </c>
      <c r="AJ153">
        <v>178010391.40000001</v>
      </c>
      <c r="AK153">
        <v>99.99</v>
      </c>
      <c r="AL153">
        <v>99.99</v>
      </c>
      <c r="AM153">
        <v>3977088223.27</v>
      </c>
      <c r="AN153">
        <v>4127088223.27</v>
      </c>
      <c r="AO153">
        <v>175094889.78999999</v>
      </c>
      <c r="AP153">
        <v>22911776.73</v>
      </c>
      <c r="AQ153" s="29">
        <f t="shared" si="2"/>
        <v>-21.549811811937158</v>
      </c>
    </row>
    <row r="154" spans="2:43" x14ac:dyDescent="0.3">
      <c r="B154" t="s">
        <v>715</v>
      </c>
      <c r="C154" t="s">
        <v>751</v>
      </c>
      <c r="D154" t="s">
        <v>752</v>
      </c>
      <c r="E154" t="s">
        <v>753</v>
      </c>
      <c r="F154" t="s">
        <v>46</v>
      </c>
      <c r="G154" t="s">
        <v>139</v>
      </c>
      <c r="H154" t="s">
        <v>60</v>
      </c>
      <c r="I154" t="s">
        <v>76</v>
      </c>
      <c r="J154" t="s">
        <v>50</v>
      </c>
      <c r="K154" t="s">
        <v>51</v>
      </c>
      <c r="L154" t="s">
        <v>51</v>
      </c>
      <c r="M154" t="s">
        <v>134</v>
      </c>
      <c r="N154" t="s">
        <v>754</v>
      </c>
      <c r="O154" t="s">
        <v>54</v>
      </c>
      <c r="P154" t="s">
        <v>54</v>
      </c>
      <c r="Q154" t="s">
        <v>51</v>
      </c>
      <c r="R154" t="s">
        <v>755</v>
      </c>
      <c r="S154" s="1">
        <v>70036.800000000003</v>
      </c>
      <c r="T154" s="1">
        <v>7998229.7699999996</v>
      </c>
      <c r="U154" s="1">
        <v>14254878.75</v>
      </c>
      <c r="V154" s="1">
        <v>5454382.9900000002</v>
      </c>
      <c r="W154" t="s">
        <v>51</v>
      </c>
      <c r="X154">
        <v>338259.34</v>
      </c>
      <c r="Y154">
        <v>0</v>
      </c>
      <c r="Z154">
        <v>0</v>
      </c>
      <c r="AA154" s="14">
        <v>36486626.579999998</v>
      </c>
      <c r="AB154" s="14">
        <v>36663898.399999999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25.5</v>
      </c>
      <c r="AL154">
        <v>25.5</v>
      </c>
      <c r="AM154">
        <v>0</v>
      </c>
      <c r="AN154">
        <v>9672812.7400000002</v>
      </c>
      <c r="AO154">
        <v>2428519.46</v>
      </c>
      <c r="AP154">
        <v>0</v>
      </c>
      <c r="AQ154" s="29">
        <f t="shared" si="2"/>
        <v>99.516494896243771</v>
      </c>
    </row>
    <row r="155" spans="2:43" x14ac:dyDescent="0.3">
      <c r="B155" t="s">
        <v>756</v>
      </c>
      <c r="C155" t="s">
        <v>757</v>
      </c>
      <c r="D155" t="s">
        <v>758</v>
      </c>
      <c r="E155" t="s">
        <v>759</v>
      </c>
      <c r="F155" t="s">
        <v>70</v>
      </c>
      <c r="G155" t="s">
        <v>224</v>
      </c>
      <c r="H155" t="s">
        <v>60</v>
      </c>
      <c r="I155" t="s">
        <v>76</v>
      </c>
      <c r="J155" t="s">
        <v>50</v>
      </c>
      <c r="K155" t="s">
        <v>51</v>
      </c>
      <c r="L155" t="s">
        <v>51</v>
      </c>
      <c r="M155" t="s">
        <v>52</v>
      </c>
      <c r="N155" t="s">
        <v>66</v>
      </c>
      <c r="O155" t="s">
        <v>51</v>
      </c>
      <c r="P155" t="s">
        <v>54</v>
      </c>
      <c r="Q155" t="s">
        <v>51</v>
      </c>
      <c r="R155" t="s">
        <v>55</v>
      </c>
      <c r="S155" s="1">
        <v>0</v>
      </c>
      <c r="T155" s="1">
        <v>0</v>
      </c>
      <c r="U155" s="1">
        <v>0</v>
      </c>
      <c r="V155" s="1">
        <v>0</v>
      </c>
      <c r="W155" t="s">
        <v>51</v>
      </c>
      <c r="X155">
        <v>0</v>
      </c>
      <c r="Y155">
        <v>0</v>
      </c>
      <c r="Z155">
        <v>0</v>
      </c>
      <c r="AA155" s="14">
        <v>0</v>
      </c>
      <c r="AB155" s="14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73709</v>
      </c>
      <c r="AL155">
        <v>73709</v>
      </c>
      <c r="AM155">
        <v>73709</v>
      </c>
      <c r="AN155">
        <v>73709</v>
      </c>
      <c r="AO155">
        <v>0</v>
      </c>
      <c r="AP155">
        <v>0</v>
      </c>
      <c r="AQ155" s="29" t="e">
        <f t="shared" si="2"/>
        <v>#DIV/0!</v>
      </c>
    </row>
    <row r="156" spans="2:43" x14ac:dyDescent="0.3">
      <c r="B156" t="s">
        <v>756</v>
      </c>
      <c r="C156" t="s">
        <v>760</v>
      </c>
      <c r="D156" t="s">
        <v>761</v>
      </c>
      <c r="E156" t="s">
        <v>762</v>
      </c>
      <c r="F156" t="s">
        <v>46</v>
      </c>
      <c r="G156" t="s">
        <v>93</v>
      </c>
      <c r="H156" t="s">
        <v>60</v>
      </c>
      <c r="I156" t="s">
        <v>49</v>
      </c>
      <c r="J156" t="s">
        <v>50</v>
      </c>
      <c r="K156" t="s">
        <v>51</v>
      </c>
      <c r="L156" t="s">
        <v>51</v>
      </c>
      <c r="M156" t="s">
        <v>52</v>
      </c>
      <c r="N156" t="s">
        <v>763</v>
      </c>
      <c r="O156" t="s">
        <v>54</v>
      </c>
      <c r="P156" t="s">
        <v>54</v>
      </c>
      <c r="Q156" t="s">
        <v>51</v>
      </c>
      <c r="R156" t="s">
        <v>55</v>
      </c>
      <c r="S156" s="1">
        <v>56902399.310000002</v>
      </c>
      <c r="T156" s="1">
        <v>17305120.890000001</v>
      </c>
      <c r="U156" s="1">
        <v>67995550.230000004</v>
      </c>
      <c r="V156" s="1">
        <v>31260219.859999999</v>
      </c>
      <c r="W156" t="s">
        <v>51</v>
      </c>
      <c r="X156">
        <v>406026.23</v>
      </c>
      <c r="Y156">
        <v>0</v>
      </c>
      <c r="Z156">
        <v>0</v>
      </c>
      <c r="AA156" s="14">
        <v>0</v>
      </c>
      <c r="AB156" s="14">
        <v>0</v>
      </c>
      <c r="AC156">
        <v>1000000000</v>
      </c>
      <c r="AD156">
        <v>0</v>
      </c>
      <c r="AE156">
        <v>53199465.780000001</v>
      </c>
      <c r="AF156">
        <v>56120836.140000001</v>
      </c>
      <c r="AG156">
        <v>0</v>
      </c>
      <c r="AH156" s="14">
        <v>0</v>
      </c>
      <c r="AI156">
        <v>22343838.699999999</v>
      </c>
      <c r="AJ156">
        <v>5211746.28</v>
      </c>
      <c r="AK156">
        <v>260738619</v>
      </c>
      <c r="AL156">
        <v>265950366</v>
      </c>
      <c r="AM156">
        <v>22343838.699999999</v>
      </c>
      <c r="AN156">
        <v>5251478</v>
      </c>
      <c r="AO156">
        <v>5211746.28</v>
      </c>
      <c r="AP156">
        <v>10059079</v>
      </c>
      <c r="AQ156" s="29" t="e">
        <f t="shared" si="2"/>
        <v>#DIV/0!</v>
      </c>
    </row>
    <row r="157" spans="2:43" x14ac:dyDescent="0.3">
      <c r="B157" t="s">
        <v>756</v>
      </c>
      <c r="C157" t="s">
        <v>764</v>
      </c>
      <c r="D157" t="s">
        <v>765</v>
      </c>
      <c r="E157" t="s">
        <v>766</v>
      </c>
      <c r="F157" t="s">
        <v>46</v>
      </c>
      <c r="G157" t="s">
        <v>65</v>
      </c>
      <c r="H157" t="s">
        <v>60</v>
      </c>
      <c r="I157" t="s">
        <v>49</v>
      </c>
      <c r="J157" t="s">
        <v>50</v>
      </c>
      <c r="K157" t="s">
        <v>51</v>
      </c>
      <c r="L157" t="s">
        <v>51</v>
      </c>
      <c r="M157" t="s">
        <v>52</v>
      </c>
      <c r="N157" t="s">
        <v>767</v>
      </c>
      <c r="O157" t="s">
        <v>54</v>
      </c>
      <c r="P157" t="s">
        <v>54</v>
      </c>
      <c r="Q157" t="s">
        <v>51</v>
      </c>
      <c r="R157" t="s">
        <v>55</v>
      </c>
      <c r="S157" s="1">
        <v>23209609.969999999</v>
      </c>
      <c r="T157" s="1">
        <v>7086166.1500000004</v>
      </c>
      <c r="U157" s="1">
        <v>21884387.300000001</v>
      </c>
      <c r="V157" s="1">
        <v>775949.86</v>
      </c>
      <c r="W157" t="s">
        <v>51</v>
      </c>
      <c r="X157">
        <v>269996.95</v>
      </c>
      <c r="Y157">
        <v>0</v>
      </c>
      <c r="Z157">
        <v>0</v>
      </c>
      <c r="AA157" s="14">
        <v>1316395.0900000001</v>
      </c>
      <c r="AB157" s="14">
        <v>39287802.549999997</v>
      </c>
      <c r="AC157">
        <v>0</v>
      </c>
      <c r="AD157">
        <v>0</v>
      </c>
      <c r="AE157">
        <v>8729178.5</v>
      </c>
      <c r="AF157">
        <v>17714731.489999998</v>
      </c>
      <c r="AG157">
        <v>8729178.5</v>
      </c>
      <c r="AH157" s="14">
        <v>17714731.489999998</v>
      </c>
      <c r="AI157">
        <v>0</v>
      </c>
      <c r="AJ157">
        <v>0</v>
      </c>
      <c r="AK157">
        <v>1634536</v>
      </c>
      <c r="AL157">
        <v>1634536</v>
      </c>
      <c r="AM157">
        <v>2000000</v>
      </c>
      <c r="AN157">
        <v>2000000</v>
      </c>
      <c r="AO157">
        <v>0</v>
      </c>
      <c r="AP157">
        <v>0</v>
      </c>
      <c r="AQ157" s="29">
        <f t="shared" si="2"/>
        <v>3.3506457591377816</v>
      </c>
    </row>
    <row r="158" spans="2:43" x14ac:dyDescent="0.3">
      <c r="B158" t="s">
        <v>756</v>
      </c>
      <c r="C158" t="s">
        <v>768</v>
      </c>
      <c r="D158" t="s">
        <v>100</v>
      </c>
      <c r="E158" t="s">
        <v>769</v>
      </c>
      <c r="F158" t="s">
        <v>70</v>
      </c>
      <c r="G158" t="s">
        <v>102</v>
      </c>
      <c r="H158" t="s">
        <v>48</v>
      </c>
      <c r="I158" t="s">
        <v>76</v>
      </c>
      <c r="J158" t="s">
        <v>50</v>
      </c>
      <c r="K158" t="s">
        <v>51</v>
      </c>
      <c r="L158" t="s">
        <v>51</v>
      </c>
      <c r="M158" t="s">
        <v>52</v>
      </c>
      <c r="N158" t="s">
        <v>66</v>
      </c>
      <c r="O158" t="s">
        <v>51</v>
      </c>
      <c r="P158" t="s">
        <v>54</v>
      </c>
      <c r="Q158" t="s">
        <v>51</v>
      </c>
      <c r="R158" t="s">
        <v>55</v>
      </c>
      <c r="S158" s="1">
        <v>0</v>
      </c>
      <c r="T158" s="1">
        <v>0</v>
      </c>
      <c r="U158" s="1">
        <v>45450.64</v>
      </c>
      <c r="V158" s="1">
        <v>0</v>
      </c>
      <c r="W158" t="s">
        <v>51</v>
      </c>
      <c r="X158">
        <v>0</v>
      </c>
      <c r="Y158">
        <v>0</v>
      </c>
      <c r="Z158">
        <v>0</v>
      </c>
      <c r="AA158" s="14">
        <v>-19402.22</v>
      </c>
      <c r="AB158" s="14">
        <v>1228.06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3111.66</v>
      </c>
      <c r="AN158">
        <v>3111.66</v>
      </c>
      <c r="AO158">
        <v>0</v>
      </c>
      <c r="AP158">
        <v>0</v>
      </c>
      <c r="AQ158" s="29">
        <f t="shared" si="2"/>
        <v>-1579.9081478103676</v>
      </c>
    </row>
    <row r="159" spans="2:43" x14ac:dyDescent="0.3">
      <c r="B159" t="s">
        <v>756</v>
      </c>
      <c r="C159" t="s">
        <v>770</v>
      </c>
      <c r="D159" t="s">
        <v>771</v>
      </c>
      <c r="E159" t="s">
        <v>772</v>
      </c>
      <c r="F159" t="s">
        <v>70</v>
      </c>
      <c r="G159" t="s">
        <v>102</v>
      </c>
      <c r="H159" t="s">
        <v>48</v>
      </c>
      <c r="I159" t="s">
        <v>76</v>
      </c>
      <c r="J159" t="s">
        <v>50</v>
      </c>
      <c r="K159" t="s">
        <v>51</v>
      </c>
      <c r="L159" t="s">
        <v>51</v>
      </c>
      <c r="M159" t="s">
        <v>52</v>
      </c>
      <c r="N159" t="s">
        <v>66</v>
      </c>
      <c r="O159" t="s">
        <v>54</v>
      </c>
      <c r="P159" t="s">
        <v>54</v>
      </c>
      <c r="Q159" t="s">
        <v>51</v>
      </c>
      <c r="R159" t="s">
        <v>55</v>
      </c>
      <c r="S159" s="1">
        <v>0</v>
      </c>
      <c r="T159" s="1">
        <v>0</v>
      </c>
      <c r="U159" s="1">
        <v>1582278</v>
      </c>
      <c r="V159" s="1">
        <v>0</v>
      </c>
      <c r="W159" t="s">
        <v>51</v>
      </c>
      <c r="X159">
        <v>0</v>
      </c>
      <c r="Y159">
        <v>0</v>
      </c>
      <c r="Z159">
        <v>0</v>
      </c>
      <c r="AA159" s="14">
        <v>-316471</v>
      </c>
      <c r="AB159" s="14">
        <v>4184852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1182563</v>
      </c>
      <c r="AL159">
        <v>1182563</v>
      </c>
      <c r="AM159">
        <v>1182563</v>
      </c>
      <c r="AN159">
        <v>1182563</v>
      </c>
      <c r="AO159">
        <v>791511</v>
      </c>
      <c r="AP159">
        <v>791511</v>
      </c>
      <c r="AQ159" s="29">
        <f t="shared" si="2"/>
        <v>-7.5622984994451414</v>
      </c>
    </row>
    <row r="160" spans="2:43" x14ac:dyDescent="0.3">
      <c r="B160" t="s">
        <v>756</v>
      </c>
      <c r="C160" t="s">
        <v>773</v>
      </c>
      <c r="D160" t="s">
        <v>672</v>
      </c>
      <c r="E160" t="s">
        <v>774</v>
      </c>
      <c r="F160" t="s">
        <v>46</v>
      </c>
      <c r="G160" t="s">
        <v>102</v>
      </c>
      <c r="H160" t="s">
        <v>48</v>
      </c>
      <c r="I160" t="s">
        <v>76</v>
      </c>
      <c r="J160" t="s">
        <v>50</v>
      </c>
      <c r="K160" t="s">
        <v>51</v>
      </c>
      <c r="L160" t="s">
        <v>51</v>
      </c>
      <c r="M160" t="s">
        <v>52</v>
      </c>
      <c r="N160" t="s">
        <v>775</v>
      </c>
      <c r="O160" t="s">
        <v>54</v>
      </c>
      <c r="P160" t="s">
        <v>54</v>
      </c>
      <c r="Q160" t="s">
        <v>51</v>
      </c>
      <c r="R160" t="s">
        <v>776</v>
      </c>
      <c r="S160" s="1">
        <v>667113.42000000004</v>
      </c>
      <c r="T160" s="1">
        <v>104379480.59999999</v>
      </c>
      <c r="U160" s="1">
        <v>143742750.31999999</v>
      </c>
      <c r="V160" s="1">
        <v>1178579.28</v>
      </c>
      <c r="W160" t="s">
        <v>51</v>
      </c>
      <c r="X160">
        <v>323872.7</v>
      </c>
      <c r="Y160">
        <v>0</v>
      </c>
      <c r="Z160">
        <v>0</v>
      </c>
      <c r="AA160" s="14">
        <v>219175.3</v>
      </c>
      <c r="AB160" s="14">
        <v>4007991.65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978753.02</v>
      </c>
      <c r="AN160">
        <v>978753.02</v>
      </c>
      <c r="AO160">
        <v>0</v>
      </c>
      <c r="AP160">
        <v>0</v>
      </c>
      <c r="AQ160" s="29">
        <f t="shared" si="2"/>
        <v>5.4684570014011884</v>
      </c>
    </row>
    <row r="161" spans="2:43" x14ac:dyDescent="0.3">
      <c r="B161" t="s">
        <v>756</v>
      </c>
      <c r="C161" t="s">
        <v>777</v>
      </c>
      <c r="D161" t="s">
        <v>778</v>
      </c>
      <c r="E161" t="s">
        <v>779</v>
      </c>
      <c r="F161" t="s">
        <v>70</v>
      </c>
      <c r="G161" t="s">
        <v>75</v>
      </c>
      <c r="H161" t="s">
        <v>48</v>
      </c>
      <c r="I161" t="s">
        <v>76</v>
      </c>
      <c r="J161" t="s">
        <v>50</v>
      </c>
      <c r="K161" t="s">
        <v>51</v>
      </c>
      <c r="L161" t="s">
        <v>54</v>
      </c>
      <c r="M161" t="s">
        <v>52</v>
      </c>
      <c r="N161" t="s">
        <v>780</v>
      </c>
      <c r="O161" t="s">
        <v>51</v>
      </c>
      <c r="P161" t="s">
        <v>54</v>
      </c>
      <c r="Q161" t="s">
        <v>51</v>
      </c>
      <c r="R161" t="s">
        <v>55</v>
      </c>
      <c r="S161" s="1">
        <v>16757101.93</v>
      </c>
      <c r="T161" s="1">
        <v>16756014.24</v>
      </c>
      <c r="U161" s="1">
        <v>20172280.77</v>
      </c>
      <c r="V161" s="1">
        <v>0</v>
      </c>
      <c r="W161" t="s">
        <v>51</v>
      </c>
      <c r="X161">
        <v>16756014.24</v>
      </c>
      <c r="Y161">
        <v>0</v>
      </c>
      <c r="Z161">
        <v>0</v>
      </c>
      <c r="AA161" s="14">
        <v>-3358877.08</v>
      </c>
      <c r="AB161" s="14">
        <v>4338673.4800000004</v>
      </c>
      <c r="AC161">
        <v>0</v>
      </c>
      <c r="AD161">
        <v>0</v>
      </c>
      <c r="AE161">
        <v>15969322.1</v>
      </c>
      <c r="AF161">
        <v>16757101.9</v>
      </c>
      <c r="AG161">
        <v>592500</v>
      </c>
      <c r="AH161" s="14">
        <v>3068468.39</v>
      </c>
      <c r="AI161">
        <v>0</v>
      </c>
      <c r="AJ161">
        <v>0</v>
      </c>
      <c r="AK161">
        <v>0</v>
      </c>
      <c r="AL161">
        <v>0</v>
      </c>
      <c r="AM161">
        <v>15880227.18</v>
      </c>
      <c r="AN161">
        <v>15880227.18</v>
      </c>
      <c r="AO161">
        <v>0</v>
      </c>
      <c r="AP161">
        <v>0</v>
      </c>
      <c r="AQ161" s="29">
        <f t="shared" si="2"/>
        <v>-77.417143638105713</v>
      </c>
    </row>
    <row r="162" spans="2:43" x14ac:dyDescent="0.3">
      <c r="B162" t="s">
        <v>756</v>
      </c>
      <c r="C162" t="s">
        <v>781</v>
      </c>
      <c r="D162" t="s">
        <v>782</v>
      </c>
      <c r="E162" t="s">
        <v>783</v>
      </c>
      <c r="F162" t="s">
        <v>46</v>
      </c>
      <c r="G162" t="s">
        <v>121</v>
      </c>
      <c r="H162" t="s">
        <v>60</v>
      </c>
      <c r="I162" t="s">
        <v>49</v>
      </c>
      <c r="J162" t="s">
        <v>50</v>
      </c>
      <c r="K162" t="s">
        <v>51</v>
      </c>
      <c r="L162" t="s">
        <v>51</v>
      </c>
      <c r="M162" t="s">
        <v>52</v>
      </c>
      <c r="N162" t="s">
        <v>61</v>
      </c>
      <c r="O162" t="s">
        <v>54</v>
      </c>
      <c r="P162" t="s">
        <v>54</v>
      </c>
      <c r="Q162" t="s">
        <v>51</v>
      </c>
      <c r="R162" t="s">
        <v>55</v>
      </c>
      <c r="S162" s="1">
        <v>3199336.87</v>
      </c>
      <c r="T162" s="1">
        <v>2178445</v>
      </c>
      <c r="U162" s="1">
        <v>3213195.32</v>
      </c>
      <c r="V162" s="1">
        <v>0</v>
      </c>
      <c r="W162" t="s">
        <v>51</v>
      </c>
      <c r="X162">
        <v>99157.36</v>
      </c>
      <c r="Y162">
        <v>0</v>
      </c>
      <c r="Z162">
        <v>8610</v>
      </c>
      <c r="AA162" s="14">
        <v>-338992.67</v>
      </c>
      <c r="AB162" s="14">
        <v>1091926.05</v>
      </c>
      <c r="AC162">
        <v>0</v>
      </c>
      <c r="AD162">
        <v>0</v>
      </c>
      <c r="AE162">
        <v>1380268.26</v>
      </c>
      <c r="AF162">
        <v>2198996.42</v>
      </c>
      <c r="AG162">
        <v>0</v>
      </c>
      <c r="AH162" s="14">
        <v>0</v>
      </c>
      <c r="AI162">
        <v>0</v>
      </c>
      <c r="AJ162">
        <v>0</v>
      </c>
      <c r="AK162">
        <v>201</v>
      </c>
      <c r="AL162">
        <v>201</v>
      </c>
      <c r="AM162">
        <v>576922</v>
      </c>
      <c r="AN162">
        <v>300000</v>
      </c>
      <c r="AO162">
        <v>183172</v>
      </c>
      <c r="AP162">
        <v>0</v>
      </c>
      <c r="AQ162" s="29">
        <f t="shared" si="2"/>
        <v>-31.045387185331826</v>
      </c>
    </row>
    <row r="163" spans="2:43" x14ac:dyDescent="0.3">
      <c r="B163" t="s">
        <v>756</v>
      </c>
      <c r="C163" t="s">
        <v>784</v>
      </c>
      <c r="D163" t="s">
        <v>785</v>
      </c>
      <c r="E163" t="s">
        <v>786</v>
      </c>
      <c r="F163" t="s">
        <v>46</v>
      </c>
      <c r="G163" t="s">
        <v>162</v>
      </c>
      <c r="H163" t="s">
        <v>60</v>
      </c>
      <c r="I163" t="s">
        <v>49</v>
      </c>
      <c r="J163" t="s">
        <v>50</v>
      </c>
      <c r="K163" t="s">
        <v>51</v>
      </c>
      <c r="L163" t="s">
        <v>51</v>
      </c>
      <c r="M163" t="s">
        <v>52</v>
      </c>
      <c r="N163" t="s">
        <v>787</v>
      </c>
      <c r="O163" t="s">
        <v>54</v>
      </c>
      <c r="P163" t="s">
        <v>54</v>
      </c>
      <c r="Q163" t="s">
        <v>51</v>
      </c>
      <c r="R163" t="s">
        <v>788</v>
      </c>
      <c r="S163" s="1">
        <v>8279173.5999999996</v>
      </c>
      <c r="T163" s="1">
        <v>2485136.65</v>
      </c>
      <c r="U163" s="1">
        <v>8953419.7100000009</v>
      </c>
      <c r="V163" s="1">
        <v>0</v>
      </c>
      <c r="W163" t="s">
        <v>51</v>
      </c>
      <c r="X163">
        <v>188355.94</v>
      </c>
      <c r="Y163">
        <v>0</v>
      </c>
      <c r="Z163">
        <v>0</v>
      </c>
      <c r="AA163" s="14">
        <v>-674246.11</v>
      </c>
      <c r="AB163" s="14">
        <v>1636687.92</v>
      </c>
      <c r="AC163">
        <v>0</v>
      </c>
      <c r="AD163">
        <v>0</v>
      </c>
      <c r="AE163">
        <v>6418997.8499999996</v>
      </c>
      <c r="AF163">
        <v>8234861.4800000004</v>
      </c>
      <c r="AG163">
        <v>0</v>
      </c>
      <c r="AH163" s="14">
        <v>0</v>
      </c>
      <c r="AI163">
        <v>0</v>
      </c>
      <c r="AJ163">
        <v>0</v>
      </c>
      <c r="AK163">
        <v>6424993.0300000003</v>
      </c>
      <c r="AL163">
        <v>6424993.0300000003</v>
      </c>
      <c r="AM163">
        <v>6451519.0300000003</v>
      </c>
      <c r="AN163">
        <v>6451519.0300000003</v>
      </c>
      <c r="AO163">
        <v>0</v>
      </c>
      <c r="AP163">
        <v>0</v>
      </c>
      <c r="AQ163" s="29">
        <f t="shared" si="2"/>
        <v>-41.195765042366787</v>
      </c>
    </row>
    <row r="164" spans="2:43" x14ac:dyDescent="0.3">
      <c r="B164" t="s">
        <v>756</v>
      </c>
      <c r="C164" t="s">
        <v>789</v>
      </c>
      <c r="D164" t="s">
        <v>790</v>
      </c>
      <c r="E164" t="s">
        <v>791</v>
      </c>
      <c r="F164" t="s">
        <v>46</v>
      </c>
      <c r="G164" t="s">
        <v>162</v>
      </c>
      <c r="H164" t="s">
        <v>60</v>
      </c>
      <c r="I164" t="s">
        <v>49</v>
      </c>
      <c r="J164" t="s">
        <v>50</v>
      </c>
      <c r="K164" t="s">
        <v>51</v>
      </c>
      <c r="L164" t="s">
        <v>54</v>
      </c>
      <c r="M164" t="s">
        <v>52</v>
      </c>
      <c r="N164" t="s">
        <v>117</v>
      </c>
      <c r="O164" t="s">
        <v>54</v>
      </c>
      <c r="P164" t="s">
        <v>54</v>
      </c>
      <c r="Q164" t="s">
        <v>51</v>
      </c>
      <c r="R164" t="s">
        <v>788</v>
      </c>
      <c r="S164" s="1">
        <v>133671.17000000001</v>
      </c>
      <c r="T164" s="1">
        <v>64395.21</v>
      </c>
      <c r="U164" s="1">
        <v>37081204.140000001</v>
      </c>
      <c r="V164" s="1">
        <v>0</v>
      </c>
      <c r="W164" t="s">
        <v>51</v>
      </c>
      <c r="X164">
        <v>21766.11</v>
      </c>
      <c r="Y164">
        <v>0</v>
      </c>
      <c r="Z164">
        <v>0</v>
      </c>
      <c r="AA164" s="14">
        <v>-36950434.450000003</v>
      </c>
      <c r="AB164" s="14">
        <v>-28930827.359999999</v>
      </c>
      <c r="AC164">
        <v>0</v>
      </c>
      <c r="AD164">
        <v>0</v>
      </c>
      <c r="AE164">
        <v>137235.98000000001</v>
      </c>
      <c r="AF164">
        <v>131072.57999999999</v>
      </c>
      <c r="AG164">
        <v>0</v>
      </c>
      <c r="AH164" s="14">
        <v>0</v>
      </c>
      <c r="AI164">
        <v>0</v>
      </c>
      <c r="AJ164">
        <v>0</v>
      </c>
      <c r="AK164">
        <v>15790626.210000001</v>
      </c>
      <c r="AL164">
        <v>15790626.210000001</v>
      </c>
      <c r="AM164">
        <v>15790626.210000001</v>
      </c>
      <c r="AN164">
        <v>15790626.210000001</v>
      </c>
      <c r="AO164">
        <v>701977.56</v>
      </c>
      <c r="AP164">
        <v>701977.56</v>
      </c>
      <c r="AQ164" s="29">
        <f t="shared" si="2"/>
        <v>127.7199369040098</v>
      </c>
    </row>
    <row r="165" spans="2:43" x14ac:dyDescent="0.3">
      <c r="B165" t="s">
        <v>756</v>
      </c>
      <c r="C165" t="s">
        <v>792</v>
      </c>
      <c r="D165" t="s">
        <v>793</v>
      </c>
      <c r="E165" t="s">
        <v>794</v>
      </c>
      <c r="F165" t="s">
        <v>46</v>
      </c>
      <c r="G165" t="s">
        <v>107</v>
      </c>
      <c r="H165" t="s">
        <v>60</v>
      </c>
      <c r="I165" t="s">
        <v>49</v>
      </c>
      <c r="J165" t="s">
        <v>50</v>
      </c>
      <c r="K165" t="s">
        <v>51</v>
      </c>
      <c r="L165" t="s">
        <v>51</v>
      </c>
      <c r="M165" t="s">
        <v>134</v>
      </c>
      <c r="N165" t="s">
        <v>795</v>
      </c>
      <c r="O165" t="s">
        <v>54</v>
      </c>
      <c r="P165" t="s">
        <v>54</v>
      </c>
      <c r="Q165" t="s">
        <v>54</v>
      </c>
      <c r="R165" t="s">
        <v>796</v>
      </c>
      <c r="S165" s="1">
        <v>1515059261.3099999</v>
      </c>
      <c r="T165" s="1">
        <v>516953836.91000003</v>
      </c>
      <c r="U165" s="1">
        <v>1594520337.5799999</v>
      </c>
      <c r="V165" s="1">
        <v>248497647.08000001</v>
      </c>
      <c r="W165" t="s">
        <v>51</v>
      </c>
      <c r="X165">
        <v>868978.84</v>
      </c>
      <c r="Y165">
        <v>0</v>
      </c>
      <c r="Z165">
        <v>27242.25</v>
      </c>
      <c r="AA165" s="14">
        <v>231020423.91</v>
      </c>
      <c r="AB165" s="14">
        <v>5919927533.3400002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35337622.740000002</v>
      </c>
      <c r="AJ165">
        <v>124326481.62</v>
      </c>
      <c r="AK165">
        <v>1874223248257</v>
      </c>
      <c r="AL165">
        <v>1916036690527</v>
      </c>
      <c r="AM165">
        <v>1016081717.73</v>
      </c>
      <c r="AN165">
        <v>1140408199.3499999</v>
      </c>
      <c r="AO165">
        <v>124326481.62</v>
      </c>
      <c r="AP165">
        <v>101950388.91</v>
      </c>
      <c r="AQ165" s="29">
        <f t="shared" si="2"/>
        <v>3.9024197949879156</v>
      </c>
    </row>
    <row r="166" spans="2:43" x14ac:dyDescent="0.3">
      <c r="B166" t="s">
        <v>756</v>
      </c>
      <c r="C166" t="s">
        <v>797</v>
      </c>
      <c r="D166" t="s">
        <v>798</v>
      </c>
      <c r="E166" t="s">
        <v>799</v>
      </c>
      <c r="F166" t="s">
        <v>46</v>
      </c>
      <c r="G166" t="s">
        <v>47</v>
      </c>
      <c r="H166" t="s">
        <v>60</v>
      </c>
      <c r="I166" t="s">
        <v>363</v>
      </c>
      <c r="J166" t="s">
        <v>50</v>
      </c>
      <c r="K166" t="s">
        <v>51</v>
      </c>
      <c r="L166" t="s">
        <v>51</v>
      </c>
      <c r="M166" t="s">
        <v>134</v>
      </c>
      <c r="N166" t="s">
        <v>800</v>
      </c>
      <c r="O166" t="s">
        <v>54</v>
      </c>
      <c r="P166" t="s">
        <v>54</v>
      </c>
      <c r="Q166" t="s">
        <v>51</v>
      </c>
      <c r="R166" t="s">
        <v>55</v>
      </c>
      <c r="S166" s="1">
        <v>60671674.009999998</v>
      </c>
      <c r="T166" s="1">
        <v>38896221.340000004</v>
      </c>
      <c r="U166" s="1">
        <v>63114103.960000001</v>
      </c>
      <c r="V166" s="1">
        <v>0</v>
      </c>
      <c r="W166" t="s">
        <v>51</v>
      </c>
      <c r="X166">
        <v>421382.73</v>
      </c>
      <c r="Y166">
        <v>0</v>
      </c>
      <c r="Z166">
        <v>0.09</v>
      </c>
      <c r="AA166" s="14">
        <v>-2702694.82</v>
      </c>
      <c r="AB166" s="14">
        <v>2961125.38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67817227</v>
      </c>
      <c r="AL166">
        <v>67817227</v>
      </c>
      <c r="AM166">
        <v>71899068.730000004</v>
      </c>
      <c r="AN166">
        <v>71899068.730000004</v>
      </c>
      <c r="AO166">
        <v>0</v>
      </c>
      <c r="AP166">
        <v>0</v>
      </c>
      <c r="AQ166" s="29">
        <f t="shared" si="2"/>
        <v>-91.272555976673985</v>
      </c>
    </row>
    <row r="167" spans="2:43" x14ac:dyDescent="0.3">
      <c r="B167" t="s">
        <v>756</v>
      </c>
      <c r="C167" t="s">
        <v>801</v>
      </c>
      <c r="D167" t="s">
        <v>802</v>
      </c>
      <c r="E167" t="s">
        <v>803</v>
      </c>
      <c r="F167" t="s">
        <v>46</v>
      </c>
      <c r="G167" t="s">
        <v>314</v>
      </c>
      <c r="H167" t="s">
        <v>60</v>
      </c>
      <c r="I167" t="s">
        <v>49</v>
      </c>
      <c r="J167" t="s">
        <v>50</v>
      </c>
      <c r="K167" t="s">
        <v>51</v>
      </c>
      <c r="L167" t="s">
        <v>51</v>
      </c>
      <c r="M167" t="s">
        <v>134</v>
      </c>
      <c r="N167" t="s">
        <v>804</v>
      </c>
      <c r="O167" t="s">
        <v>54</v>
      </c>
      <c r="P167" t="s">
        <v>54</v>
      </c>
      <c r="Q167" t="s">
        <v>54</v>
      </c>
      <c r="R167" t="s">
        <v>55</v>
      </c>
      <c r="S167" s="1">
        <v>30853155.5</v>
      </c>
      <c r="T167" s="1">
        <v>8553631.9000000004</v>
      </c>
      <c r="U167" s="1">
        <v>59798178.630000003</v>
      </c>
      <c r="V167" s="1">
        <v>38632838.350000001</v>
      </c>
      <c r="W167" t="s">
        <v>51</v>
      </c>
      <c r="X167">
        <v>462272.31</v>
      </c>
      <c r="Y167">
        <v>0</v>
      </c>
      <c r="Z167">
        <v>83354.87</v>
      </c>
      <c r="AA167" s="14">
        <v>1120953</v>
      </c>
      <c r="AB167" s="14">
        <v>151483230</v>
      </c>
      <c r="AC167">
        <v>151483230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72927041.75</v>
      </c>
      <c r="AJ167">
        <v>28000000</v>
      </c>
      <c r="AK167">
        <v>118447855</v>
      </c>
      <c r="AL167">
        <v>146447885</v>
      </c>
      <c r="AM167">
        <v>118447855</v>
      </c>
      <c r="AN167">
        <v>146447885</v>
      </c>
      <c r="AO167">
        <v>0</v>
      </c>
      <c r="AP167">
        <v>0</v>
      </c>
      <c r="AQ167" s="29">
        <f t="shared" si="2"/>
        <v>0.73998488149480313</v>
      </c>
    </row>
    <row r="168" spans="2:43" x14ac:dyDescent="0.3">
      <c r="B168" t="s">
        <v>756</v>
      </c>
      <c r="C168" t="s">
        <v>805</v>
      </c>
      <c r="D168" t="s">
        <v>806</v>
      </c>
      <c r="E168" t="s">
        <v>807</v>
      </c>
      <c r="F168" t="s">
        <v>46</v>
      </c>
      <c r="G168" t="s">
        <v>150</v>
      </c>
      <c r="H168" t="s">
        <v>48</v>
      </c>
      <c r="I168" t="s">
        <v>49</v>
      </c>
      <c r="J168" t="s">
        <v>50</v>
      </c>
      <c r="K168" t="s">
        <v>51</v>
      </c>
      <c r="L168" t="s">
        <v>51</v>
      </c>
      <c r="M168" t="s">
        <v>134</v>
      </c>
      <c r="N168" t="s">
        <v>808</v>
      </c>
      <c r="O168" t="s">
        <v>54</v>
      </c>
      <c r="P168" t="s">
        <v>54</v>
      </c>
      <c r="Q168" t="s">
        <v>51</v>
      </c>
      <c r="R168" t="s">
        <v>55</v>
      </c>
      <c r="S168" s="1">
        <v>23422037.07</v>
      </c>
      <c r="T168" s="1">
        <v>17455306.48</v>
      </c>
      <c r="U168" s="1">
        <v>26315446.27</v>
      </c>
      <c r="V168" s="1">
        <v>289171.89</v>
      </c>
      <c r="W168" t="s">
        <v>51</v>
      </c>
      <c r="X168">
        <v>212332</v>
      </c>
      <c r="Y168">
        <v>0</v>
      </c>
      <c r="Z168">
        <v>0</v>
      </c>
      <c r="AA168" s="14">
        <v>-2893409.2</v>
      </c>
      <c r="AB168" s="14">
        <v>16717204.18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4000000</v>
      </c>
      <c r="AJ168">
        <v>2750000</v>
      </c>
      <c r="AK168">
        <v>18446242</v>
      </c>
      <c r="AL168">
        <v>12164783</v>
      </c>
      <c r="AM168">
        <v>18446242.609999999</v>
      </c>
      <c r="AN168">
        <v>12164783.17</v>
      </c>
      <c r="AO168">
        <v>0</v>
      </c>
      <c r="AP168">
        <v>0</v>
      </c>
      <c r="AQ168" s="29">
        <f t="shared" si="2"/>
        <v>-17.307973084767337</v>
      </c>
    </row>
    <row r="169" spans="2:43" x14ac:dyDescent="0.3">
      <c r="B169" t="s">
        <v>756</v>
      </c>
      <c r="C169" t="s">
        <v>809</v>
      </c>
      <c r="D169" t="s">
        <v>810</v>
      </c>
      <c r="E169" t="s">
        <v>811</v>
      </c>
      <c r="F169" t="s">
        <v>46</v>
      </c>
      <c r="G169" t="s">
        <v>139</v>
      </c>
      <c r="H169" t="s">
        <v>60</v>
      </c>
      <c r="I169" t="s">
        <v>49</v>
      </c>
      <c r="J169" t="s">
        <v>50</v>
      </c>
      <c r="K169" t="s">
        <v>51</v>
      </c>
      <c r="L169" t="s">
        <v>51</v>
      </c>
      <c r="M169" t="s">
        <v>134</v>
      </c>
      <c r="N169" t="s">
        <v>812</v>
      </c>
      <c r="O169" t="s">
        <v>54</v>
      </c>
      <c r="P169" t="s">
        <v>54</v>
      </c>
      <c r="Q169" t="s">
        <v>54</v>
      </c>
      <c r="R169" t="s">
        <v>813</v>
      </c>
      <c r="S169" s="1">
        <v>164124000</v>
      </c>
      <c r="T169" s="1">
        <v>16947000</v>
      </c>
      <c r="U169" s="1">
        <v>170402000</v>
      </c>
      <c r="V169" s="1">
        <v>11986000</v>
      </c>
      <c r="W169" t="s">
        <v>54</v>
      </c>
      <c r="X169">
        <v>347795.82</v>
      </c>
      <c r="Y169">
        <v>11644.82</v>
      </c>
      <c r="Z169">
        <v>16934.650000000001</v>
      </c>
      <c r="AA169" s="14">
        <v>6823000</v>
      </c>
      <c r="AB169" s="14">
        <v>84966000</v>
      </c>
      <c r="AC169">
        <v>0</v>
      </c>
      <c r="AD169">
        <v>899620.83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1030355</v>
      </c>
      <c r="AL169">
        <v>1058871</v>
      </c>
      <c r="AM169">
        <v>36184000</v>
      </c>
      <c r="AN169">
        <v>37185000</v>
      </c>
      <c r="AO169">
        <v>0</v>
      </c>
      <c r="AP169">
        <v>0</v>
      </c>
      <c r="AQ169" s="29">
        <f t="shared" si="2"/>
        <v>8.030270931902173</v>
      </c>
    </row>
    <row r="170" spans="2:43" x14ac:dyDescent="0.3">
      <c r="B170" t="s">
        <v>814</v>
      </c>
      <c r="C170" t="s">
        <v>815</v>
      </c>
      <c r="D170" t="s">
        <v>816</v>
      </c>
      <c r="E170" t="s">
        <v>817</v>
      </c>
      <c r="F170" t="s">
        <v>46</v>
      </c>
      <c r="G170" t="s">
        <v>93</v>
      </c>
      <c r="H170" t="s">
        <v>60</v>
      </c>
      <c r="I170" t="s">
        <v>49</v>
      </c>
      <c r="J170" t="s">
        <v>50</v>
      </c>
      <c r="K170" t="s">
        <v>51</v>
      </c>
      <c r="L170" t="s">
        <v>51</v>
      </c>
      <c r="M170" t="s">
        <v>52</v>
      </c>
      <c r="N170" t="s">
        <v>818</v>
      </c>
      <c r="O170" t="s">
        <v>54</v>
      </c>
      <c r="P170" t="s">
        <v>54</v>
      </c>
      <c r="Q170" t="s">
        <v>51</v>
      </c>
      <c r="R170" t="s">
        <v>819</v>
      </c>
      <c r="S170" s="1">
        <v>339109</v>
      </c>
      <c r="T170" s="1">
        <v>15981096.140000001</v>
      </c>
      <c r="U170" s="1">
        <v>356794846.68000001</v>
      </c>
      <c r="V170" s="1">
        <v>314593792.77999997</v>
      </c>
      <c r="W170" t="s">
        <v>51</v>
      </c>
      <c r="X170">
        <v>166570</v>
      </c>
      <c r="Y170">
        <v>0</v>
      </c>
      <c r="Z170">
        <v>0</v>
      </c>
      <c r="AA170" s="14">
        <v>-5331840</v>
      </c>
      <c r="AB170" s="14">
        <v>21995095</v>
      </c>
      <c r="AC170">
        <v>0</v>
      </c>
      <c r="AD170">
        <v>0</v>
      </c>
      <c r="AE170">
        <v>82932230.969999999</v>
      </c>
      <c r="AF170">
        <v>343030068.44999999</v>
      </c>
      <c r="AG170">
        <v>43836538.479999997</v>
      </c>
      <c r="AH170" s="14">
        <v>57549051.25</v>
      </c>
      <c r="AI170">
        <v>0</v>
      </c>
      <c r="AJ170">
        <v>0</v>
      </c>
      <c r="AK170">
        <v>469028</v>
      </c>
      <c r="AL170">
        <v>469028</v>
      </c>
      <c r="AM170">
        <v>472970</v>
      </c>
      <c r="AN170">
        <v>472970</v>
      </c>
      <c r="AO170">
        <v>0</v>
      </c>
      <c r="AP170">
        <v>0</v>
      </c>
      <c r="AQ170" s="29">
        <f t="shared" si="2"/>
        <v>-24.241041013916966</v>
      </c>
    </row>
    <row r="171" spans="2:43" x14ac:dyDescent="0.3">
      <c r="B171" t="s">
        <v>814</v>
      </c>
      <c r="C171" t="s">
        <v>820</v>
      </c>
      <c r="D171" t="s">
        <v>821</v>
      </c>
      <c r="E171" t="s">
        <v>822</v>
      </c>
      <c r="F171" t="s">
        <v>46</v>
      </c>
      <c r="G171" t="s">
        <v>240</v>
      </c>
      <c r="H171" t="s">
        <v>48</v>
      </c>
      <c r="I171" t="s">
        <v>363</v>
      </c>
      <c r="J171" t="s">
        <v>50</v>
      </c>
      <c r="K171" t="s">
        <v>51</v>
      </c>
      <c r="L171" t="s">
        <v>51</v>
      </c>
      <c r="M171" t="s">
        <v>52</v>
      </c>
      <c r="N171" t="s">
        <v>823</v>
      </c>
      <c r="O171" t="s">
        <v>54</v>
      </c>
      <c r="P171" t="s">
        <v>54</v>
      </c>
      <c r="Q171" t="s">
        <v>51</v>
      </c>
      <c r="R171" t="s">
        <v>824</v>
      </c>
      <c r="S171" s="1">
        <v>3713806.31</v>
      </c>
      <c r="T171" s="1">
        <v>188440964.63</v>
      </c>
      <c r="U171" s="1">
        <v>504829671.56</v>
      </c>
      <c r="V171" s="1">
        <v>1431460</v>
      </c>
      <c r="W171" t="s">
        <v>51</v>
      </c>
      <c r="X171">
        <v>333785.58</v>
      </c>
      <c r="Y171">
        <v>0</v>
      </c>
      <c r="Z171">
        <v>22777.18</v>
      </c>
      <c r="AA171" s="14">
        <v>7223990</v>
      </c>
      <c r="AB171" s="14">
        <v>-187784489.59</v>
      </c>
      <c r="AC171">
        <v>0</v>
      </c>
      <c r="AD171">
        <v>0</v>
      </c>
      <c r="AE171">
        <v>456342055.38</v>
      </c>
      <c r="AF171">
        <v>501792914.06</v>
      </c>
      <c r="AG171">
        <v>264031251.59999999</v>
      </c>
      <c r="AH171" s="14">
        <v>242782097.41999999</v>
      </c>
      <c r="AI171">
        <v>0</v>
      </c>
      <c r="AJ171">
        <v>0</v>
      </c>
      <c r="AK171">
        <v>575700</v>
      </c>
      <c r="AL171">
        <v>575700</v>
      </c>
      <c r="AM171">
        <v>575700</v>
      </c>
      <c r="AN171">
        <v>575700</v>
      </c>
      <c r="AO171">
        <v>424300</v>
      </c>
      <c r="AP171">
        <v>424300</v>
      </c>
      <c r="AQ171" s="29">
        <f t="shared" si="2"/>
        <v>-3.8469577630040304</v>
      </c>
    </row>
    <row r="172" spans="2:43" x14ac:dyDescent="0.3">
      <c r="B172" t="s">
        <v>814</v>
      </c>
      <c r="C172" t="s">
        <v>825</v>
      </c>
      <c r="D172" t="s">
        <v>826</v>
      </c>
      <c r="E172" t="s">
        <v>827</v>
      </c>
      <c r="F172" t="s">
        <v>46</v>
      </c>
      <c r="G172" t="s">
        <v>162</v>
      </c>
      <c r="H172" t="s">
        <v>60</v>
      </c>
      <c r="I172" t="s">
        <v>49</v>
      </c>
      <c r="J172" t="s">
        <v>373</v>
      </c>
      <c r="K172" t="s">
        <v>51</v>
      </c>
      <c r="L172" t="s">
        <v>51</v>
      </c>
      <c r="M172" t="s">
        <v>52</v>
      </c>
      <c r="N172" t="s">
        <v>828</v>
      </c>
      <c r="O172" t="s">
        <v>54</v>
      </c>
      <c r="P172" t="s">
        <v>54</v>
      </c>
      <c r="Q172" t="s">
        <v>51</v>
      </c>
      <c r="R172" t="s">
        <v>829</v>
      </c>
      <c r="S172" s="1">
        <v>5721177.9699999997</v>
      </c>
      <c r="T172" s="1">
        <v>29394243.600000001</v>
      </c>
      <c r="U172" s="1">
        <v>133790121.90000001</v>
      </c>
      <c r="V172" s="1">
        <v>488645.52</v>
      </c>
      <c r="W172" t="s">
        <v>51</v>
      </c>
      <c r="X172">
        <v>202561.42</v>
      </c>
      <c r="Y172">
        <v>0</v>
      </c>
      <c r="Z172">
        <v>0</v>
      </c>
      <c r="AA172" s="14">
        <v>-3448939.13</v>
      </c>
      <c r="AB172" s="14">
        <v>234492076.09</v>
      </c>
      <c r="AC172">
        <v>0</v>
      </c>
      <c r="AD172">
        <v>0</v>
      </c>
      <c r="AE172">
        <v>89764930.540000007</v>
      </c>
      <c r="AF172">
        <v>126352872.31999999</v>
      </c>
      <c r="AG172">
        <v>329664257.63999999</v>
      </c>
      <c r="AH172" s="14">
        <v>133790121.90000001</v>
      </c>
      <c r="AI172">
        <v>0</v>
      </c>
      <c r="AJ172">
        <v>0</v>
      </c>
      <c r="AK172">
        <v>47609915475</v>
      </c>
      <c r="AL172">
        <v>47609915475</v>
      </c>
      <c r="AM172">
        <v>72065680.989999995</v>
      </c>
      <c r="AN172">
        <v>72065680.989999995</v>
      </c>
      <c r="AO172">
        <v>0</v>
      </c>
      <c r="AP172">
        <v>0</v>
      </c>
      <c r="AQ172" s="29">
        <f t="shared" si="2"/>
        <v>-1.4708126549556704</v>
      </c>
    </row>
    <row r="173" spans="2:43" x14ac:dyDescent="0.3">
      <c r="B173" t="s">
        <v>814</v>
      </c>
      <c r="C173" t="s">
        <v>830</v>
      </c>
      <c r="D173" t="s">
        <v>806</v>
      </c>
      <c r="E173" t="s">
        <v>831</v>
      </c>
      <c r="F173" t="s">
        <v>46</v>
      </c>
      <c r="G173" t="s">
        <v>150</v>
      </c>
      <c r="H173" t="s">
        <v>48</v>
      </c>
      <c r="I173" t="s">
        <v>49</v>
      </c>
      <c r="J173" t="s">
        <v>50</v>
      </c>
      <c r="K173" t="s">
        <v>51</v>
      </c>
      <c r="L173" t="s">
        <v>51</v>
      </c>
      <c r="M173" t="s">
        <v>52</v>
      </c>
      <c r="N173" t="s">
        <v>53</v>
      </c>
      <c r="O173" t="s">
        <v>54</v>
      </c>
      <c r="P173" t="s">
        <v>54</v>
      </c>
      <c r="Q173" t="s">
        <v>51</v>
      </c>
      <c r="R173" t="s">
        <v>832</v>
      </c>
      <c r="S173" s="1">
        <v>1476265</v>
      </c>
      <c r="T173" s="1">
        <v>5431068.1500000004</v>
      </c>
      <c r="U173" s="1">
        <v>9458571</v>
      </c>
      <c r="V173" s="1">
        <v>22875</v>
      </c>
      <c r="W173" t="s">
        <v>51</v>
      </c>
      <c r="X173">
        <v>169000</v>
      </c>
      <c r="Y173">
        <v>0</v>
      </c>
      <c r="Z173">
        <v>0</v>
      </c>
      <c r="AA173" s="14">
        <v>-1109731</v>
      </c>
      <c r="AB173" s="14">
        <v>4181649</v>
      </c>
      <c r="AC173">
        <v>0</v>
      </c>
      <c r="AD173">
        <v>0</v>
      </c>
      <c r="AE173">
        <v>6013999</v>
      </c>
      <c r="AF173">
        <v>6241593</v>
      </c>
      <c r="AG173">
        <v>6034464</v>
      </c>
      <c r="AH173" s="14">
        <v>6797716.0499999998</v>
      </c>
      <c r="AI173">
        <v>0</v>
      </c>
      <c r="AJ173">
        <v>0</v>
      </c>
      <c r="AK173">
        <v>3488600</v>
      </c>
      <c r="AL173">
        <v>3488600</v>
      </c>
      <c r="AM173">
        <v>3488600</v>
      </c>
      <c r="AN173">
        <v>3488600</v>
      </c>
      <c r="AO173">
        <v>0</v>
      </c>
      <c r="AP173">
        <v>0</v>
      </c>
      <c r="AQ173" s="29">
        <f t="shared" si="2"/>
        <v>-26.538119292173974</v>
      </c>
    </row>
    <row r="174" spans="2:43" x14ac:dyDescent="0.3">
      <c r="B174" t="s">
        <v>814</v>
      </c>
      <c r="C174" t="s">
        <v>833</v>
      </c>
      <c r="D174" t="s">
        <v>834</v>
      </c>
      <c r="E174" t="s">
        <v>835</v>
      </c>
      <c r="F174" t="s">
        <v>46</v>
      </c>
      <c r="G174" t="s">
        <v>240</v>
      </c>
      <c r="H174" t="s">
        <v>48</v>
      </c>
      <c r="I174" t="s">
        <v>76</v>
      </c>
      <c r="J174" t="s">
        <v>50</v>
      </c>
      <c r="K174" t="s">
        <v>51</v>
      </c>
      <c r="L174" t="s">
        <v>51</v>
      </c>
      <c r="M174" t="s">
        <v>52</v>
      </c>
      <c r="N174" t="s">
        <v>836</v>
      </c>
      <c r="O174" t="s">
        <v>54</v>
      </c>
      <c r="P174" t="s">
        <v>54</v>
      </c>
      <c r="Q174" t="s">
        <v>51</v>
      </c>
      <c r="R174" t="s">
        <v>837</v>
      </c>
      <c r="S174" s="1">
        <v>2406453</v>
      </c>
      <c r="T174" s="1">
        <v>5244286.2699999996</v>
      </c>
      <c r="U174" s="1">
        <v>7597705</v>
      </c>
      <c r="V174" s="1">
        <v>193165</v>
      </c>
      <c r="W174" t="s">
        <v>51</v>
      </c>
      <c r="X174">
        <v>169000</v>
      </c>
      <c r="Y174">
        <v>0</v>
      </c>
      <c r="Z174">
        <v>0</v>
      </c>
      <c r="AA174" s="14">
        <v>-2187495</v>
      </c>
      <c r="AB174" s="14">
        <v>6475642</v>
      </c>
      <c r="AC174">
        <v>0</v>
      </c>
      <c r="AD174">
        <v>0</v>
      </c>
      <c r="AE174">
        <v>3545444</v>
      </c>
      <c r="AF174">
        <v>2813215</v>
      </c>
      <c r="AG174">
        <v>3581594.78</v>
      </c>
      <c r="AH174" s="14">
        <v>2860155.75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1000000</v>
      </c>
      <c r="AP174">
        <v>1000000</v>
      </c>
      <c r="AQ174" s="29">
        <f t="shared" si="2"/>
        <v>-33.780357221724117</v>
      </c>
    </row>
    <row r="175" spans="2:43" x14ac:dyDescent="0.3">
      <c r="B175" t="s">
        <v>814</v>
      </c>
      <c r="C175" t="s">
        <v>838</v>
      </c>
      <c r="D175" t="s">
        <v>839</v>
      </c>
      <c r="E175" t="s">
        <v>840</v>
      </c>
      <c r="F175" t="s">
        <v>46</v>
      </c>
      <c r="G175" t="s">
        <v>102</v>
      </c>
      <c r="H175" t="s">
        <v>48</v>
      </c>
      <c r="I175" t="s">
        <v>76</v>
      </c>
      <c r="J175" t="s">
        <v>50</v>
      </c>
      <c r="K175" t="s">
        <v>51</v>
      </c>
      <c r="L175" t="s">
        <v>51</v>
      </c>
      <c r="M175" t="s">
        <v>52</v>
      </c>
      <c r="N175" t="s">
        <v>841</v>
      </c>
      <c r="O175" t="s">
        <v>54</v>
      </c>
      <c r="P175" t="s">
        <v>54</v>
      </c>
      <c r="Q175" t="s">
        <v>51</v>
      </c>
      <c r="R175" t="s">
        <v>842</v>
      </c>
      <c r="S175" s="1">
        <v>851004</v>
      </c>
      <c r="T175" s="1">
        <v>94681085.900000006</v>
      </c>
      <c r="U175" s="1">
        <v>160358658.84</v>
      </c>
      <c r="V175" s="1">
        <v>15335848.039999999</v>
      </c>
      <c r="W175" t="s">
        <v>51</v>
      </c>
      <c r="X175">
        <v>196274.94</v>
      </c>
      <c r="Y175">
        <v>0</v>
      </c>
      <c r="Z175">
        <v>0</v>
      </c>
      <c r="AA175" s="14">
        <v>11684063</v>
      </c>
      <c r="AB175" s="14">
        <v>41529972</v>
      </c>
      <c r="AC175">
        <v>0</v>
      </c>
      <c r="AD175">
        <v>0</v>
      </c>
      <c r="AE175">
        <v>103554690</v>
      </c>
      <c r="AF175">
        <v>156160752.43000001</v>
      </c>
      <c r="AG175">
        <v>105004217.42</v>
      </c>
      <c r="AH175" s="14">
        <v>151538197.97999999</v>
      </c>
      <c r="AI175">
        <v>0</v>
      </c>
      <c r="AJ175">
        <v>0</v>
      </c>
      <c r="AK175">
        <v>0</v>
      </c>
      <c r="AL175">
        <v>0</v>
      </c>
      <c r="AM175">
        <v>25601618</v>
      </c>
      <c r="AN175">
        <v>25601618</v>
      </c>
      <c r="AO175">
        <v>0</v>
      </c>
      <c r="AP175">
        <v>0</v>
      </c>
      <c r="AQ175" s="29">
        <f t="shared" si="2"/>
        <v>28.134049789390659</v>
      </c>
    </row>
    <row r="176" spans="2:43" x14ac:dyDescent="0.3">
      <c r="B176" t="s">
        <v>814</v>
      </c>
      <c r="C176" t="s">
        <v>843</v>
      </c>
      <c r="D176" t="s">
        <v>844</v>
      </c>
      <c r="E176" t="s">
        <v>845</v>
      </c>
      <c r="F176" t="s">
        <v>46</v>
      </c>
      <c r="G176" t="s">
        <v>133</v>
      </c>
      <c r="H176" t="s">
        <v>60</v>
      </c>
      <c r="I176" t="s">
        <v>49</v>
      </c>
      <c r="J176" t="s">
        <v>50</v>
      </c>
      <c r="K176" t="s">
        <v>51</v>
      </c>
      <c r="L176" t="s">
        <v>51</v>
      </c>
      <c r="M176" t="s">
        <v>52</v>
      </c>
      <c r="N176" t="s">
        <v>846</v>
      </c>
      <c r="O176" t="s">
        <v>54</v>
      </c>
      <c r="P176" t="s">
        <v>54</v>
      </c>
      <c r="Q176" t="s">
        <v>51</v>
      </c>
      <c r="R176" t="s">
        <v>847</v>
      </c>
      <c r="S176" s="1">
        <v>2591756.31</v>
      </c>
      <c r="T176" s="1">
        <v>90348534.459999993</v>
      </c>
      <c r="U176" s="1">
        <v>112253521.17</v>
      </c>
      <c r="V176" s="1">
        <v>82453.649999999994</v>
      </c>
      <c r="W176" t="s">
        <v>51</v>
      </c>
      <c r="X176">
        <v>266619.12</v>
      </c>
      <c r="Y176">
        <v>0</v>
      </c>
      <c r="Z176">
        <v>9675</v>
      </c>
      <c r="AA176" s="14">
        <v>4730722.8099999996</v>
      </c>
      <c r="AB176" s="14">
        <v>-173306115.06</v>
      </c>
      <c r="AC176">
        <v>0</v>
      </c>
      <c r="AD176">
        <v>0</v>
      </c>
      <c r="AE176">
        <v>116576907.02</v>
      </c>
      <c r="AF176">
        <v>103486318.27</v>
      </c>
      <c r="AG176">
        <v>119184635.69</v>
      </c>
      <c r="AH176" s="14">
        <v>109449983.56</v>
      </c>
      <c r="AI176">
        <v>3411145.63</v>
      </c>
      <c r="AJ176">
        <v>2418337.31</v>
      </c>
      <c r="AK176">
        <v>435714</v>
      </c>
      <c r="AL176">
        <v>439125</v>
      </c>
      <c r="AM176">
        <v>443027279.10000002</v>
      </c>
      <c r="AN176">
        <v>446438424.73000002</v>
      </c>
      <c r="AO176">
        <v>3411145.63</v>
      </c>
      <c r="AP176">
        <v>2418337.31</v>
      </c>
      <c r="AQ176" s="29">
        <f t="shared" si="2"/>
        <v>-2.7296917990240472</v>
      </c>
    </row>
    <row r="177" spans="2:43" x14ac:dyDescent="0.3">
      <c r="B177" t="s">
        <v>814</v>
      </c>
      <c r="C177" t="s">
        <v>848</v>
      </c>
      <c r="D177" t="s">
        <v>849</v>
      </c>
      <c r="E177" t="s">
        <v>850</v>
      </c>
      <c r="F177" t="s">
        <v>46</v>
      </c>
      <c r="G177" t="s">
        <v>65</v>
      </c>
      <c r="H177" t="s">
        <v>60</v>
      </c>
      <c r="I177" t="s">
        <v>49</v>
      </c>
      <c r="J177" t="s">
        <v>50</v>
      </c>
      <c r="K177" t="s">
        <v>51</v>
      </c>
      <c r="L177" t="s">
        <v>51</v>
      </c>
      <c r="M177" t="s">
        <v>134</v>
      </c>
      <c r="N177" t="s">
        <v>851</v>
      </c>
      <c r="O177" t="s">
        <v>54</v>
      </c>
      <c r="P177" t="s">
        <v>54</v>
      </c>
      <c r="Q177" t="s">
        <v>54</v>
      </c>
      <c r="R177" t="s">
        <v>852</v>
      </c>
      <c r="S177" s="1">
        <v>109214152</v>
      </c>
      <c r="T177" s="1">
        <v>41068500</v>
      </c>
      <c r="U177" s="1">
        <v>48754745</v>
      </c>
      <c r="V177" s="1">
        <v>0</v>
      </c>
      <c r="W177" t="s">
        <v>54</v>
      </c>
      <c r="X177">
        <v>272808.90000000002</v>
      </c>
      <c r="Y177">
        <v>19631.12</v>
      </c>
      <c r="Z177">
        <v>22342.66</v>
      </c>
      <c r="AA177" s="14">
        <v>23222481</v>
      </c>
      <c r="AB177" s="14">
        <v>184111853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480500421384</v>
      </c>
      <c r="AL177">
        <v>480500421384</v>
      </c>
      <c r="AM177">
        <v>35862477</v>
      </c>
      <c r="AN177">
        <v>35862477</v>
      </c>
      <c r="AO177">
        <v>0</v>
      </c>
      <c r="AP177">
        <v>0</v>
      </c>
      <c r="AQ177" s="29">
        <f t="shared" si="2"/>
        <v>12.613246035821495</v>
      </c>
    </row>
    <row r="178" spans="2:43" x14ac:dyDescent="0.3">
      <c r="B178" t="s">
        <v>814</v>
      </c>
      <c r="C178" t="s">
        <v>853</v>
      </c>
      <c r="D178" t="s">
        <v>854</v>
      </c>
      <c r="E178" t="s">
        <v>855</v>
      </c>
      <c r="F178" t="s">
        <v>46</v>
      </c>
      <c r="G178" t="s">
        <v>71</v>
      </c>
      <c r="H178" t="s">
        <v>60</v>
      </c>
      <c r="I178" t="s">
        <v>49</v>
      </c>
      <c r="J178" t="s">
        <v>50</v>
      </c>
      <c r="K178" t="s">
        <v>51</v>
      </c>
      <c r="L178" t="s">
        <v>51</v>
      </c>
      <c r="M178" t="s">
        <v>134</v>
      </c>
      <c r="N178" t="s">
        <v>856</v>
      </c>
      <c r="O178" t="s">
        <v>54</v>
      </c>
      <c r="P178" t="s">
        <v>54</v>
      </c>
      <c r="Q178" t="s">
        <v>51</v>
      </c>
      <c r="R178" t="s">
        <v>857</v>
      </c>
      <c r="S178" s="1">
        <v>11854520.98</v>
      </c>
      <c r="T178" s="1">
        <v>8139000</v>
      </c>
      <c r="U178" s="1">
        <v>14349947.699999999</v>
      </c>
      <c r="V178" s="1">
        <v>0</v>
      </c>
      <c r="W178" t="s">
        <v>51</v>
      </c>
      <c r="X178">
        <v>255099.33</v>
      </c>
      <c r="Y178">
        <v>0</v>
      </c>
      <c r="Z178">
        <v>0</v>
      </c>
      <c r="AA178" s="14">
        <v>-2495426.7200000002</v>
      </c>
      <c r="AB178" s="14">
        <v>65970297.579999998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19400000</v>
      </c>
      <c r="AJ178">
        <v>0</v>
      </c>
      <c r="AK178">
        <v>96251015</v>
      </c>
      <c r="AL178">
        <v>96251015</v>
      </c>
      <c r="AM178">
        <v>97300000</v>
      </c>
      <c r="AN178">
        <v>97300000</v>
      </c>
      <c r="AO178">
        <v>0</v>
      </c>
      <c r="AP178">
        <v>0</v>
      </c>
      <c r="AQ178" s="29">
        <f t="shared" si="2"/>
        <v>-3.7826519078133289</v>
      </c>
    </row>
    <row r="179" spans="2:43" x14ac:dyDescent="0.3">
      <c r="B179" t="s">
        <v>814</v>
      </c>
      <c r="C179" t="s">
        <v>858</v>
      </c>
      <c r="D179" t="s">
        <v>859</v>
      </c>
      <c r="E179" t="s">
        <v>860</v>
      </c>
      <c r="F179" t="s">
        <v>46</v>
      </c>
      <c r="G179" t="s">
        <v>150</v>
      </c>
      <c r="H179" t="s">
        <v>60</v>
      </c>
      <c r="I179" t="s">
        <v>49</v>
      </c>
      <c r="J179" t="s">
        <v>50</v>
      </c>
      <c r="K179" t="s">
        <v>51</v>
      </c>
      <c r="L179" t="s">
        <v>51</v>
      </c>
      <c r="M179" t="s">
        <v>134</v>
      </c>
      <c r="N179" t="s">
        <v>861</v>
      </c>
      <c r="O179" t="s">
        <v>54</v>
      </c>
      <c r="P179" t="s">
        <v>54</v>
      </c>
      <c r="Q179" t="s">
        <v>51</v>
      </c>
      <c r="R179" t="s">
        <v>862</v>
      </c>
      <c r="S179" s="1">
        <v>62715869</v>
      </c>
      <c r="T179" s="1">
        <v>15391808</v>
      </c>
      <c r="U179" s="1">
        <v>27942106</v>
      </c>
      <c r="V179" s="1">
        <v>2131635.27</v>
      </c>
      <c r="W179" t="s">
        <v>51</v>
      </c>
      <c r="X179">
        <v>247018.42</v>
      </c>
      <c r="Y179">
        <v>0</v>
      </c>
      <c r="Z179">
        <v>27300.44</v>
      </c>
      <c r="AA179" s="14">
        <v>177996</v>
      </c>
      <c r="AB179" s="14">
        <v>41810448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131250</v>
      </c>
      <c r="AL179">
        <v>131250</v>
      </c>
      <c r="AM179">
        <v>66570000</v>
      </c>
      <c r="AN179">
        <v>66570000</v>
      </c>
      <c r="AO179">
        <v>0</v>
      </c>
      <c r="AP179">
        <v>0</v>
      </c>
      <c r="AQ179" s="29">
        <f t="shared" si="2"/>
        <v>0.42572134123030686</v>
      </c>
    </row>
    <row r="180" spans="2:43" x14ac:dyDescent="0.3">
      <c r="B180" t="s">
        <v>814</v>
      </c>
      <c r="C180" t="s">
        <v>863</v>
      </c>
      <c r="D180" t="s">
        <v>864</v>
      </c>
      <c r="E180" t="s">
        <v>865</v>
      </c>
      <c r="F180" t="s">
        <v>46</v>
      </c>
      <c r="G180" t="s">
        <v>107</v>
      </c>
      <c r="H180" t="s">
        <v>60</v>
      </c>
      <c r="I180" t="s">
        <v>49</v>
      </c>
      <c r="J180" t="s">
        <v>50</v>
      </c>
      <c r="K180" t="s">
        <v>51</v>
      </c>
      <c r="L180" t="s">
        <v>51</v>
      </c>
      <c r="M180" t="s">
        <v>134</v>
      </c>
      <c r="N180" t="s">
        <v>866</v>
      </c>
      <c r="O180" t="s">
        <v>54</v>
      </c>
      <c r="P180" t="s">
        <v>54</v>
      </c>
      <c r="Q180" t="s">
        <v>54</v>
      </c>
      <c r="R180" t="s">
        <v>867</v>
      </c>
      <c r="S180" s="1">
        <v>2886188098.75</v>
      </c>
      <c r="T180" s="1">
        <v>756401344.70000005</v>
      </c>
      <c r="U180" s="1">
        <v>2744019053.3099999</v>
      </c>
      <c r="V180" s="1">
        <v>433792011.24000001</v>
      </c>
      <c r="W180" t="s">
        <v>51</v>
      </c>
      <c r="X180">
        <v>583436.80000000005</v>
      </c>
      <c r="Y180">
        <v>0</v>
      </c>
      <c r="Z180">
        <v>13159.52</v>
      </c>
      <c r="AA180" s="14">
        <v>142169045.44</v>
      </c>
      <c r="AB180" s="14">
        <v>8115054105.5100002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231707574.56</v>
      </c>
      <c r="AJ180">
        <v>92466285.930000007</v>
      </c>
      <c r="AK180">
        <v>202971399</v>
      </c>
      <c r="AL180">
        <v>210666100</v>
      </c>
      <c r="AM180">
        <v>7468746041.0900002</v>
      </c>
      <c r="AN180">
        <v>7757721748.6099997</v>
      </c>
      <c r="AO180">
        <v>231707574.56</v>
      </c>
      <c r="AP180">
        <v>92466285.930000007</v>
      </c>
      <c r="AQ180" s="29">
        <f t="shared" si="2"/>
        <v>1.7519174067301577</v>
      </c>
    </row>
    <row r="181" spans="2:43" x14ac:dyDescent="0.3">
      <c r="B181" t="s">
        <v>814</v>
      </c>
      <c r="C181" t="s">
        <v>868</v>
      </c>
      <c r="D181" t="s">
        <v>869</v>
      </c>
      <c r="E181" t="s">
        <v>870</v>
      </c>
      <c r="F181" t="s">
        <v>46</v>
      </c>
      <c r="G181" t="s">
        <v>139</v>
      </c>
      <c r="H181" t="s">
        <v>60</v>
      </c>
      <c r="I181" t="s">
        <v>49</v>
      </c>
      <c r="J181" t="s">
        <v>50</v>
      </c>
      <c r="K181" t="s">
        <v>51</v>
      </c>
      <c r="L181" t="s">
        <v>51</v>
      </c>
      <c r="M181" t="s">
        <v>134</v>
      </c>
      <c r="N181" t="s">
        <v>687</v>
      </c>
      <c r="O181" t="s">
        <v>54</v>
      </c>
      <c r="P181" t="s">
        <v>54</v>
      </c>
      <c r="Q181" t="s">
        <v>54</v>
      </c>
      <c r="R181" t="s">
        <v>871</v>
      </c>
      <c r="S181" s="1">
        <v>1718865221</v>
      </c>
      <c r="T181" s="1">
        <v>52295787</v>
      </c>
      <c r="U181" s="1">
        <v>615375082.33000004</v>
      </c>
      <c r="V181" s="1">
        <v>149066549</v>
      </c>
      <c r="W181" t="s">
        <v>54</v>
      </c>
      <c r="X181">
        <v>427515.38</v>
      </c>
      <c r="Y181">
        <v>31199.94</v>
      </c>
      <c r="Z181">
        <v>12084.59</v>
      </c>
      <c r="AA181" s="14">
        <v>114303783</v>
      </c>
      <c r="AB181" s="14">
        <v>565048790</v>
      </c>
      <c r="AC181">
        <v>0</v>
      </c>
      <c r="AD181">
        <v>10208569.539999999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30622406</v>
      </c>
      <c r="AL181">
        <v>31621297</v>
      </c>
      <c r="AM181">
        <v>41306804.899999999</v>
      </c>
      <c r="AN181">
        <v>42654208.039999999</v>
      </c>
      <c r="AO181">
        <v>0</v>
      </c>
      <c r="AP181">
        <v>0</v>
      </c>
      <c r="AQ181" s="29">
        <f t="shared" si="2"/>
        <v>20.229011197422437</v>
      </c>
    </row>
    <row r="182" spans="2:43" x14ac:dyDescent="0.3">
      <c r="B182" t="s">
        <v>814</v>
      </c>
      <c r="C182" t="s">
        <v>872</v>
      </c>
      <c r="D182" t="s">
        <v>873</v>
      </c>
      <c r="E182" t="s">
        <v>874</v>
      </c>
      <c r="F182" t="s">
        <v>46</v>
      </c>
      <c r="G182" t="s">
        <v>121</v>
      </c>
      <c r="H182" t="s">
        <v>60</v>
      </c>
      <c r="I182" t="s">
        <v>49</v>
      </c>
      <c r="J182" t="s">
        <v>50</v>
      </c>
      <c r="K182" t="s">
        <v>51</v>
      </c>
      <c r="L182" t="s">
        <v>51</v>
      </c>
      <c r="M182" t="s">
        <v>134</v>
      </c>
      <c r="N182" t="s">
        <v>875</v>
      </c>
      <c r="O182" t="s">
        <v>54</v>
      </c>
      <c r="P182" t="s">
        <v>54</v>
      </c>
      <c r="Q182" t="s">
        <v>54</v>
      </c>
      <c r="R182" t="s">
        <v>876</v>
      </c>
      <c r="S182" s="1">
        <v>687016112.39999998</v>
      </c>
      <c r="T182" s="1">
        <v>64166129.409999996</v>
      </c>
      <c r="U182" s="1">
        <v>86010170.780000001</v>
      </c>
      <c r="V182" s="1">
        <v>9436045</v>
      </c>
      <c r="W182" t="s">
        <v>54</v>
      </c>
      <c r="X182">
        <v>365088.53</v>
      </c>
      <c r="Y182">
        <v>1695.38</v>
      </c>
      <c r="Z182">
        <v>9689.2000000000007</v>
      </c>
      <c r="AA182" s="14">
        <v>22672831.969999999</v>
      </c>
      <c r="AB182" s="14">
        <v>295208486.38</v>
      </c>
      <c r="AC182">
        <v>0</v>
      </c>
      <c r="AD182">
        <v>19130943.140000001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91425333</v>
      </c>
      <c r="AL182">
        <v>91425333</v>
      </c>
      <c r="AM182">
        <v>87989242</v>
      </c>
      <c r="AN182">
        <v>87989242</v>
      </c>
      <c r="AO182">
        <v>0</v>
      </c>
      <c r="AP182">
        <v>0</v>
      </c>
      <c r="AQ182" s="29">
        <f t="shared" si="2"/>
        <v>7.6802778429665279</v>
      </c>
    </row>
    <row r="183" spans="2:43" x14ac:dyDescent="0.3">
      <c r="B183" t="s">
        <v>814</v>
      </c>
      <c r="C183" t="s">
        <v>877</v>
      </c>
      <c r="D183" t="s">
        <v>878</v>
      </c>
      <c r="E183" t="s">
        <v>879</v>
      </c>
      <c r="F183" t="s">
        <v>46</v>
      </c>
      <c r="G183" t="s">
        <v>314</v>
      </c>
      <c r="H183" t="s">
        <v>60</v>
      </c>
      <c r="I183" t="s">
        <v>49</v>
      </c>
      <c r="J183" t="s">
        <v>50</v>
      </c>
      <c r="K183" t="s">
        <v>51</v>
      </c>
      <c r="L183" t="s">
        <v>51</v>
      </c>
      <c r="M183" t="s">
        <v>134</v>
      </c>
      <c r="N183" t="s">
        <v>880</v>
      </c>
      <c r="O183" t="s">
        <v>54</v>
      </c>
      <c r="P183" t="s">
        <v>54</v>
      </c>
      <c r="Q183" t="s">
        <v>51</v>
      </c>
      <c r="R183" t="s">
        <v>881</v>
      </c>
      <c r="S183" s="1">
        <v>42859983.509999998</v>
      </c>
      <c r="T183" s="1">
        <v>25765607.300000001</v>
      </c>
      <c r="U183" s="1">
        <v>35031013.350000001</v>
      </c>
      <c r="V183" s="1">
        <v>1558754</v>
      </c>
      <c r="W183" t="s">
        <v>51</v>
      </c>
      <c r="X183">
        <v>316704.46999999997</v>
      </c>
      <c r="Y183">
        <v>0</v>
      </c>
      <c r="Z183">
        <v>328262.57</v>
      </c>
      <c r="AA183" s="14">
        <v>6260952.9500000002</v>
      </c>
      <c r="AB183" s="14">
        <v>18753532.370000001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205862945.88999999</v>
      </c>
      <c r="AL183">
        <v>217082945.88999999</v>
      </c>
      <c r="AM183">
        <v>205862945.88999999</v>
      </c>
      <c r="AN183">
        <v>217082945.88999999</v>
      </c>
      <c r="AO183">
        <v>11220000</v>
      </c>
      <c r="AP183">
        <v>0</v>
      </c>
      <c r="AQ183" s="29">
        <f t="shared" si="2"/>
        <v>33.385459477573612</v>
      </c>
    </row>
    <row r="184" spans="2:43" x14ac:dyDescent="0.3">
      <c r="B184" t="s">
        <v>814</v>
      </c>
      <c r="C184" t="s">
        <v>882</v>
      </c>
      <c r="D184" t="s">
        <v>883</v>
      </c>
      <c r="E184" t="s">
        <v>884</v>
      </c>
      <c r="F184" t="s">
        <v>46</v>
      </c>
      <c r="G184" t="s">
        <v>314</v>
      </c>
      <c r="H184" t="s">
        <v>48</v>
      </c>
      <c r="I184" t="s">
        <v>76</v>
      </c>
      <c r="J184" t="s">
        <v>50</v>
      </c>
      <c r="K184" t="s">
        <v>51</v>
      </c>
      <c r="L184" t="s">
        <v>51</v>
      </c>
      <c r="M184" t="s">
        <v>134</v>
      </c>
      <c r="N184" t="s">
        <v>885</v>
      </c>
      <c r="O184" t="s">
        <v>54</v>
      </c>
      <c r="P184" t="s">
        <v>54</v>
      </c>
      <c r="Q184" t="s">
        <v>54</v>
      </c>
      <c r="R184" t="s">
        <v>886</v>
      </c>
      <c r="S184" s="1">
        <v>396624308.07999998</v>
      </c>
      <c r="T184" s="1">
        <v>93320372.400000006</v>
      </c>
      <c r="U184" s="1">
        <v>345642212.48000002</v>
      </c>
      <c r="V184" s="1">
        <v>114037754.78</v>
      </c>
      <c r="W184" t="s">
        <v>54</v>
      </c>
      <c r="X184">
        <v>422680.08</v>
      </c>
      <c r="Y184">
        <v>3408.75</v>
      </c>
      <c r="Z184">
        <v>20020</v>
      </c>
      <c r="AA184" s="14">
        <v>92770948.239999995</v>
      </c>
      <c r="AB184" s="14">
        <v>3918756099.9499998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934607.44</v>
      </c>
      <c r="AJ184">
        <v>313144.86</v>
      </c>
      <c r="AK184">
        <v>0</v>
      </c>
      <c r="AL184">
        <v>0</v>
      </c>
      <c r="AM184">
        <v>1965486107.8800001</v>
      </c>
      <c r="AN184">
        <v>1965799252.74</v>
      </c>
      <c r="AO184">
        <v>0</v>
      </c>
      <c r="AP184">
        <v>0</v>
      </c>
      <c r="AQ184" s="29">
        <f t="shared" si="2"/>
        <v>2.3673570355956493</v>
      </c>
    </row>
    <row r="185" spans="2:43" x14ac:dyDescent="0.3">
      <c r="B185" t="s">
        <v>887</v>
      </c>
      <c r="C185" t="s">
        <v>888</v>
      </c>
      <c r="D185" t="s">
        <v>889</v>
      </c>
      <c r="E185" t="s">
        <v>890</v>
      </c>
      <c r="F185" t="s">
        <v>46</v>
      </c>
      <c r="G185" t="s">
        <v>240</v>
      </c>
      <c r="H185" t="s">
        <v>60</v>
      </c>
      <c r="I185" t="s">
        <v>49</v>
      </c>
      <c r="J185" t="s">
        <v>50</v>
      </c>
      <c r="K185" t="s">
        <v>51</v>
      </c>
      <c r="L185" t="s">
        <v>51</v>
      </c>
      <c r="M185" t="s">
        <v>52</v>
      </c>
      <c r="N185" t="s">
        <v>891</v>
      </c>
      <c r="O185" t="s">
        <v>54</v>
      </c>
      <c r="P185" t="s">
        <v>54</v>
      </c>
      <c r="Q185" t="s">
        <v>51</v>
      </c>
      <c r="R185" t="s">
        <v>55</v>
      </c>
      <c r="S185" s="1">
        <v>73719380.109999999</v>
      </c>
      <c r="T185" s="1">
        <v>10263328.23</v>
      </c>
      <c r="U185" s="1">
        <v>48377952.700000003</v>
      </c>
      <c r="V185" s="1">
        <v>38114624.469999999</v>
      </c>
      <c r="W185" t="s">
        <v>51</v>
      </c>
      <c r="X185">
        <v>363070.29</v>
      </c>
      <c r="Y185">
        <v>0</v>
      </c>
      <c r="Z185">
        <v>0</v>
      </c>
      <c r="AA185" s="14">
        <v>33892613.100000001</v>
      </c>
      <c r="AB185" s="14">
        <v>37930094.090000004</v>
      </c>
      <c r="AC185">
        <v>0</v>
      </c>
      <c r="AD185">
        <v>0</v>
      </c>
      <c r="AE185">
        <v>4028882.02</v>
      </c>
      <c r="AF185">
        <v>7298112.0199999996</v>
      </c>
      <c r="AG185">
        <v>0</v>
      </c>
      <c r="AH185" s="14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s="29">
        <f t="shared" si="2"/>
        <v>89.355468034379442</v>
      </c>
    </row>
    <row r="186" spans="2:43" x14ac:dyDescent="0.3">
      <c r="B186" t="s">
        <v>887</v>
      </c>
      <c r="C186" t="s">
        <v>892</v>
      </c>
      <c r="D186" t="s">
        <v>893</v>
      </c>
      <c r="E186" t="s">
        <v>894</v>
      </c>
      <c r="F186" t="s">
        <v>46</v>
      </c>
      <c r="G186" t="s">
        <v>133</v>
      </c>
      <c r="H186" t="s">
        <v>60</v>
      </c>
      <c r="I186" t="s">
        <v>49</v>
      </c>
      <c r="J186" t="s">
        <v>50</v>
      </c>
      <c r="K186" t="s">
        <v>51</v>
      </c>
      <c r="L186" t="s">
        <v>51</v>
      </c>
      <c r="M186" t="s">
        <v>52</v>
      </c>
      <c r="N186" t="s">
        <v>895</v>
      </c>
      <c r="O186" t="s">
        <v>54</v>
      </c>
      <c r="P186" t="s">
        <v>54</v>
      </c>
      <c r="Q186" t="s">
        <v>51</v>
      </c>
      <c r="R186" t="s">
        <v>896</v>
      </c>
      <c r="S186" s="1">
        <v>124544568.09999999</v>
      </c>
      <c r="T186" s="1">
        <v>86907487.269999996</v>
      </c>
      <c r="U186" s="1">
        <v>120312238.5</v>
      </c>
      <c r="V186" s="1">
        <v>0</v>
      </c>
      <c r="W186" t="s">
        <v>51</v>
      </c>
      <c r="X186">
        <v>569824.80000000005</v>
      </c>
      <c r="Y186">
        <v>0</v>
      </c>
      <c r="Z186">
        <v>7727.28</v>
      </c>
      <c r="AA186" s="14">
        <v>4445291.67</v>
      </c>
      <c r="AB186" s="14">
        <v>70207886.430000007</v>
      </c>
      <c r="AC186">
        <v>0</v>
      </c>
      <c r="AD186">
        <v>0</v>
      </c>
      <c r="AE186">
        <v>119403742.09999999</v>
      </c>
      <c r="AF186">
        <v>124544568.09999999</v>
      </c>
      <c r="AG186">
        <v>24498908.870000001</v>
      </c>
      <c r="AH186" s="14">
        <v>19646296.73</v>
      </c>
      <c r="AI186">
        <v>0</v>
      </c>
      <c r="AJ186">
        <v>0</v>
      </c>
      <c r="AK186">
        <v>99.64</v>
      </c>
      <c r="AL186">
        <v>99.64</v>
      </c>
      <c r="AM186">
        <v>125885754.90000001</v>
      </c>
      <c r="AN186">
        <v>125885754.90000001</v>
      </c>
      <c r="AO186">
        <v>132327076.7</v>
      </c>
      <c r="AP186">
        <v>131229267.59999999</v>
      </c>
      <c r="AQ186" s="29">
        <f t="shared" si="2"/>
        <v>6.3316130082225577</v>
      </c>
    </row>
    <row r="187" spans="2:43" x14ac:dyDescent="0.3">
      <c r="B187" t="s">
        <v>887</v>
      </c>
      <c r="C187" t="s">
        <v>897</v>
      </c>
      <c r="D187" t="s">
        <v>898</v>
      </c>
      <c r="E187" t="s">
        <v>899</v>
      </c>
      <c r="F187" t="s">
        <v>46</v>
      </c>
      <c r="G187" t="s">
        <v>139</v>
      </c>
      <c r="H187" t="s">
        <v>60</v>
      </c>
      <c r="I187" t="s">
        <v>49</v>
      </c>
      <c r="J187" t="s">
        <v>50</v>
      </c>
      <c r="K187" t="s">
        <v>51</v>
      </c>
      <c r="L187" t="s">
        <v>51</v>
      </c>
      <c r="M187" t="s">
        <v>52</v>
      </c>
      <c r="N187" t="s">
        <v>703</v>
      </c>
      <c r="O187" t="s">
        <v>54</v>
      </c>
      <c r="P187" t="s">
        <v>54</v>
      </c>
      <c r="Q187" t="s">
        <v>51</v>
      </c>
      <c r="R187" t="s">
        <v>900</v>
      </c>
      <c r="S187" s="1">
        <v>0</v>
      </c>
      <c r="T187" s="1">
        <v>544264.5</v>
      </c>
      <c r="U187" s="1">
        <v>1138355.6000000001</v>
      </c>
      <c r="V187" s="1">
        <v>55536.5</v>
      </c>
      <c r="W187" t="s">
        <v>51</v>
      </c>
      <c r="X187">
        <v>168098.77</v>
      </c>
      <c r="Y187">
        <v>0</v>
      </c>
      <c r="Z187">
        <v>67114.98</v>
      </c>
      <c r="AA187" s="14">
        <v>-1129569.72</v>
      </c>
      <c r="AB187" s="14">
        <v>298494.32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629920</v>
      </c>
      <c r="AJ187">
        <v>487680</v>
      </c>
      <c r="AK187">
        <v>1181595</v>
      </c>
      <c r="AL187">
        <v>1653796</v>
      </c>
      <c r="AM187">
        <v>4065086.84</v>
      </c>
      <c r="AN187">
        <v>5689600</v>
      </c>
      <c r="AO187">
        <v>0</v>
      </c>
      <c r="AP187">
        <v>2438398</v>
      </c>
      <c r="AQ187" s="29">
        <f t="shared" si="2"/>
        <v>-378.42251738659547</v>
      </c>
    </row>
    <row r="188" spans="2:43" x14ac:dyDescent="0.3">
      <c r="B188" t="s">
        <v>887</v>
      </c>
      <c r="C188" t="s">
        <v>901</v>
      </c>
      <c r="D188" t="s">
        <v>902</v>
      </c>
      <c r="E188" t="s">
        <v>903</v>
      </c>
      <c r="F188" t="s">
        <v>46</v>
      </c>
      <c r="G188" t="s">
        <v>107</v>
      </c>
      <c r="H188" t="s">
        <v>60</v>
      </c>
      <c r="I188" t="s">
        <v>49</v>
      </c>
      <c r="J188" t="s">
        <v>50</v>
      </c>
      <c r="K188" t="s">
        <v>51</v>
      </c>
      <c r="L188" t="s">
        <v>51</v>
      </c>
      <c r="M188" s="11" t="s">
        <v>134</v>
      </c>
      <c r="N188" t="s">
        <v>904</v>
      </c>
      <c r="O188" t="s">
        <v>54</v>
      </c>
      <c r="P188" t="s">
        <v>54</v>
      </c>
      <c r="Q188" t="s">
        <v>51</v>
      </c>
      <c r="R188" t="s">
        <v>55</v>
      </c>
      <c r="S188" s="1">
        <v>455445503</v>
      </c>
      <c r="T188" s="1">
        <v>231622998</v>
      </c>
      <c r="U188" s="1">
        <v>2047011179.3299999</v>
      </c>
      <c r="V188" s="1">
        <v>1032012985</v>
      </c>
      <c r="W188" t="s">
        <v>51</v>
      </c>
      <c r="X188">
        <v>65334.32</v>
      </c>
      <c r="Y188">
        <v>0</v>
      </c>
      <c r="Z188">
        <v>0</v>
      </c>
      <c r="AA188" s="14">
        <v>-104703542</v>
      </c>
      <c r="AB188" s="14">
        <v>-651271903.95000005</v>
      </c>
      <c r="AC188">
        <v>0</v>
      </c>
      <c r="AD188">
        <v>0</v>
      </c>
      <c r="AE188">
        <v>786512172</v>
      </c>
      <c r="AF188" s="14">
        <v>198060292.16999999</v>
      </c>
      <c r="AG188">
        <v>0</v>
      </c>
      <c r="AH188" s="14">
        <v>0</v>
      </c>
      <c r="AI188">
        <v>34408805</v>
      </c>
      <c r="AJ188">
        <v>0</v>
      </c>
      <c r="AK188">
        <v>621910776</v>
      </c>
      <c r="AL188">
        <v>621910776</v>
      </c>
      <c r="AM188">
        <v>621910776</v>
      </c>
      <c r="AN188">
        <v>621910776</v>
      </c>
      <c r="AO188">
        <v>0</v>
      </c>
      <c r="AP188">
        <v>0</v>
      </c>
      <c r="AQ188" s="29">
        <f t="shared" si="2"/>
        <v>16.076778587402163</v>
      </c>
    </row>
    <row r="189" spans="2:43" x14ac:dyDescent="0.3">
      <c r="B189" t="s">
        <v>887</v>
      </c>
      <c r="C189" t="s">
        <v>905</v>
      </c>
      <c r="D189" t="s">
        <v>906</v>
      </c>
      <c r="E189" t="s">
        <v>907</v>
      </c>
      <c r="F189" t="s">
        <v>46</v>
      </c>
      <c r="G189" t="s">
        <v>71</v>
      </c>
      <c r="H189" t="s">
        <v>60</v>
      </c>
      <c r="I189" t="s">
        <v>49</v>
      </c>
      <c r="J189" t="s">
        <v>50</v>
      </c>
      <c r="K189" t="s">
        <v>51</v>
      </c>
      <c r="L189" t="s">
        <v>51</v>
      </c>
      <c r="M189" t="s">
        <v>134</v>
      </c>
      <c r="N189" t="s">
        <v>754</v>
      </c>
      <c r="O189" t="s">
        <v>54</v>
      </c>
      <c r="P189" t="s">
        <v>54</v>
      </c>
      <c r="Q189" t="s">
        <v>54</v>
      </c>
      <c r="R189" t="s">
        <v>908</v>
      </c>
      <c r="S189" s="1">
        <v>16359854.390000001</v>
      </c>
      <c r="T189" s="1">
        <v>4001351.79</v>
      </c>
      <c r="U189" s="1">
        <v>14563090.369999999</v>
      </c>
      <c r="V189" s="1">
        <v>0</v>
      </c>
      <c r="W189" t="s">
        <v>51</v>
      </c>
      <c r="X189">
        <v>288512</v>
      </c>
      <c r="Y189">
        <v>0</v>
      </c>
      <c r="Z189">
        <v>48673.42</v>
      </c>
      <c r="AA189" s="14">
        <v>1796764.01</v>
      </c>
      <c r="AB189" s="14">
        <v>77079311.620000005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24004800</v>
      </c>
      <c r="AJ189">
        <v>14002800</v>
      </c>
      <c r="AK189">
        <v>6981336</v>
      </c>
      <c r="AL189">
        <v>8381616</v>
      </c>
      <c r="AM189">
        <v>69813360</v>
      </c>
      <c r="AN189">
        <v>83816160</v>
      </c>
      <c r="AO189">
        <v>0</v>
      </c>
      <c r="AP189">
        <v>0</v>
      </c>
      <c r="AQ189" s="29">
        <f t="shared" si="2"/>
        <v>2.3310587137285594</v>
      </c>
    </row>
    <row r="190" spans="2:43" x14ac:dyDescent="0.3">
      <c r="B190" t="s">
        <v>887</v>
      </c>
      <c r="C190" t="s">
        <v>909</v>
      </c>
      <c r="D190" t="s">
        <v>910</v>
      </c>
      <c r="E190" t="s">
        <v>911</v>
      </c>
      <c r="F190" t="s">
        <v>46</v>
      </c>
      <c r="G190" t="s">
        <v>47</v>
      </c>
      <c r="H190" t="s">
        <v>60</v>
      </c>
      <c r="I190" t="s">
        <v>49</v>
      </c>
      <c r="J190" t="s">
        <v>50</v>
      </c>
      <c r="K190" t="s">
        <v>51</v>
      </c>
      <c r="L190" t="s">
        <v>51</v>
      </c>
      <c r="M190" t="s">
        <v>134</v>
      </c>
      <c r="N190" t="s">
        <v>912</v>
      </c>
      <c r="O190" t="s">
        <v>54</v>
      </c>
      <c r="P190" t="s">
        <v>54</v>
      </c>
      <c r="Q190" t="s">
        <v>54</v>
      </c>
      <c r="R190" t="s">
        <v>913</v>
      </c>
      <c r="S190" s="1">
        <v>3060815.85</v>
      </c>
      <c r="T190" s="1">
        <v>27207227.469999999</v>
      </c>
      <c r="U190" s="1">
        <v>77393271.959999993</v>
      </c>
      <c r="V190" s="1">
        <v>992807.27</v>
      </c>
      <c r="W190" t="s">
        <v>51</v>
      </c>
      <c r="X190">
        <v>209913.77</v>
      </c>
      <c r="Y190">
        <v>0</v>
      </c>
      <c r="Z190">
        <v>0</v>
      </c>
      <c r="AA190" s="14">
        <v>41654555.460000001</v>
      </c>
      <c r="AB190" s="14">
        <v>314994699.30000001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16898134.09</v>
      </c>
      <c r="AJ190">
        <v>133792106.26000001</v>
      </c>
      <c r="AK190">
        <v>18490616.09</v>
      </c>
      <c r="AL190">
        <v>369006219.42000002</v>
      </c>
      <c r="AM190">
        <v>18490616.09</v>
      </c>
      <c r="AN190">
        <v>369006219.39999998</v>
      </c>
      <c r="AO190">
        <v>4498.74</v>
      </c>
      <c r="AP190">
        <v>0</v>
      </c>
      <c r="AQ190" s="29">
        <f t="shared" si="2"/>
        <v>13.223890926598839</v>
      </c>
    </row>
    <row r="191" spans="2:43" x14ac:dyDescent="0.3">
      <c r="B191" t="s">
        <v>887</v>
      </c>
      <c r="C191" t="s">
        <v>914</v>
      </c>
      <c r="D191" t="s">
        <v>915</v>
      </c>
      <c r="E191" t="s">
        <v>916</v>
      </c>
      <c r="F191" t="s">
        <v>46</v>
      </c>
      <c r="G191" t="s">
        <v>65</v>
      </c>
      <c r="H191" t="s">
        <v>60</v>
      </c>
      <c r="I191" t="s">
        <v>49</v>
      </c>
      <c r="J191" t="s">
        <v>50</v>
      </c>
      <c r="K191" t="s">
        <v>51</v>
      </c>
      <c r="L191" t="s">
        <v>51</v>
      </c>
      <c r="M191" t="s">
        <v>134</v>
      </c>
      <c r="N191" t="s">
        <v>309</v>
      </c>
      <c r="O191" t="s">
        <v>54</v>
      </c>
      <c r="P191" t="s">
        <v>54</v>
      </c>
      <c r="Q191" t="s">
        <v>54</v>
      </c>
      <c r="R191" t="s">
        <v>55</v>
      </c>
      <c r="S191" s="1">
        <v>22385.68</v>
      </c>
      <c r="T191" s="1">
        <v>15570081.18</v>
      </c>
      <c r="U191" s="1">
        <v>230766703.24000001</v>
      </c>
      <c r="V191" s="1">
        <v>163540145.41999999</v>
      </c>
      <c r="W191" t="s">
        <v>51</v>
      </c>
      <c r="X191">
        <v>209913.77</v>
      </c>
      <c r="Y191">
        <v>0</v>
      </c>
      <c r="Z191">
        <v>0</v>
      </c>
      <c r="AA191" s="14">
        <v>51574956.740000002</v>
      </c>
      <c r="AB191" s="14">
        <v>239335587.68000001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110973736.5</v>
      </c>
      <c r="AJ191">
        <v>209965450.30000001</v>
      </c>
      <c r="AK191">
        <v>4705000</v>
      </c>
      <c r="AL191">
        <v>4700500</v>
      </c>
      <c r="AM191">
        <v>4700500</v>
      </c>
      <c r="AN191">
        <v>4700500</v>
      </c>
      <c r="AO191">
        <v>4500</v>
      </c>
      <c r="AP191">
        <v>4500</v>
      </c>
      <c r="AQ191" s="29">
        <f t="shared" si="2"/>
        <v>21.549221843663929</v>
      </c>
    </row>
    <row r="192" spans="2:43" x14ac:dyDescent="0.3">
      <c r="B192" t="s">
        <v>887</v>
      </c>
      <c r="C192" t="s">
        <v>917</v>
      </c>
      <c r="D192" t="s">
        <v>918</v>
      </c>
      <c r="E192" t="s">
        <v>919</v>
      </c>
      <c r="F192" t="s">
        <v>46</v>
      </c>
      <c r="G192" t="s">
        <v>47</v>
      </c>
      <c r="H192" t="s">
        <v>60</v>
      </c>
      <c r="I192" t="s">
        <v>49</v>
      </c>
      <c r="J192" t="s">
        <v>50</v>
      </c>
      <c r="K192" t="s">
        <v>51</v>
      </c>
      <c r="L192" t="s">
        <v>54</v>
      </c>
      <c r="M192" t="s">
        <v>134</v>
      </c>
      <c r="N192" t="s">
        <v>920</v>
      </c>
      <c r="O192" t="s">
        <v>54</v>
      </c>
      <c r="P192" t="s">
        <v>54</v>
      </c>
      <c r="Q192" t="s">
        <v>54</v>
      </c>
      <c r="R192" t="s">
        <v>55</v>
      </c>
      <c r="S192" s="1">
        <v>0</v>
      </c>
      <c r="T192" s="1">
        <v>875211.22</v>
      </c>
      <c r="U192" s="1">
        <v>946895.88</v>
      </c>
      <c r="V192" s="1">
        <v>0</v>
      </c>
      <c r="W192" t="s">
        <v>51</v>
      </c>
      <c r="X192">
        <v>225268.58</v>
      </c>
      <c r="Y192">
        <v>0</v>
      </c>
      <c r="Z192">
        <v>0</v>
      </c>
      <c r="AA192" s="14">
        <v>-946895.88</v>
      </c>
      <c r="AB192" s="14">
        <v>500000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484078.45</v>
      </c>
      <c r="AK192">
        <v>0</v>
      </c>
      <c r="AL192">
        <v>500000</v>
      </c>
      <c r="AM192">
        <v>0</v>
      </c>
      <c r="AN192">
        <v>500000</v>
      </c>
      <c r="AO192">
        <v>0</v>
      </c>
      <c r="AP192">
        <v>0</v>
      </c>
      <c r="AQ192" s="29">
        <f t="shared" si="2"/>
        <v>-189.379176</v>
      </c>
    </row>
    <row r="193" spans="2:43" x14ac:dyDescent="0.3">
      <c r="B193" t="s">
        <v>887</v>
      </c>
      <c r="C193" t="s">
        <v>921</v>
      </c>
      <c r="D193" t="s">
        <v>922</v>
      </c>
      <c r="E193" s="11" t="s">
        <v>923</v>
      </c>
      <c r="F193" t="s">
        <v>46</v>
      </c>
      <c r="G193" t="s">
        <v>47</v>
      </c>
      <c r="H193" t="s">
        <v>60</v>
      </c>
      <c r="I193" t="s">
        <v>49</v>
      </c>
      <c r="J193" t="s">
        <v>50</v>
      </c>
      <c r="K193" t="s">
        <v>51</v>
      </c>
      <c r="L193" t="s">
        <v>54</v>
      </c>
      <c r="M193" t="s">
        <v>134</v>
      </c>
      <c r="N193" t="s">
        <v>208</v>
      </c>
      <c r="O193" t="s">
        <v>54</v>
      </c>
      <c r="P193" t="s">
        <v>54</v>
      </c>
      <c r="Q193" t="s">
        <v>54</v>
      </c>
      <c r="R193" t="s">
        <v>55</v>
      </c>
      <c r="S193" s="1">
        <v>0</v>
      </c>
      <c r="T193" s="1">
        <v>167603.73000000001</v>
      </c>
      <c r="U193" s="1">
        <v>169246.94</v>
      </c>
      <c r="V193" s="1">
        <v>0</v>
      </c>
      <c r="W193" t="s">
        <v>51</v>
      </c>
      <c r="X193">
        <v>119373.1</v>
      </c>
      <c r="Y193">
        <v>0</v>
      </c>
      <c r="Z193">
        <v>0</v>
      </c>
      <c r="AA193" s="14">
        <v>-227233.61</v>
      </c>
      <c r="AB193" s="14">
        <v>3000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30000</v>
      </c>
      <c r="AM193">
        <v>0</v>
      </c>
      <c r="AN193">
        <v>3000</v>
      </c>
      <c r="AO193">
        <v>0</v>
      </c>
      <c r="AP193">
        <v>27000</v>
      </c>
      <c r="AQ193" s="29">
        <f t="shared" si="2"/>
        <v>-7574.4536666666663</v>
      </c>
    </row>
    <row r="194" spans="2:43" x14ac:dyDescent="0.3">
      <c r="B194" t="s">
        <v>887</v>
      </c>
      <c r="C194" t="s">
        <v>924</v>
      </c>
      <c r="D194" t="s">
        <v>925</v>
      </c>
      <c r="E194" t="s">
        <v>926</v>
      </c>
      <c r="F194" t="s">
        <v>46</v>
      </c>
      <c r="G194" t="s">
        <v>314</v>
      </c>
      <c r="H194" t="s">
        <v>60</v>
      </c>
      <c r="I194" t="s">
        <v>49</v>
      </c>
      <c r="J194" t="s">
        <v>50</v>
      </c>
      <c r="K194" t="s">
        <v>51</v>
      </c>
      <c r="L194" t="s">
        <v>54</v>
      </c>
      <c r="M194" t="s">
        <v>134</v>
      </c>
      <c r="N194" t="s">
        <v>927</v>
      </c>
      <c r="O194" t="s">
        <v>54</v>
      </c>
      <c r="P194" t="s">
        <v>54</v>
      </c>
      <c r="Q194" t="s">
        <v>54</v>
      </c>
      <c r="R194" t="s">
        <v>55</v>
      </c>
      <c r="S194" s="1">
        <v>0</v>
      </c>
      <c r="T194" s="1">
        <v>1968350.08</v>
      </c>
      <c r="U194" s="1">
        <v>4393849.0199999996</v>
      </c>
      <c r="V194" s="1">
        <v>1957965.72</v>
      </c>
      <c r="W194" t="s">
        <v>51</v>
      </c>
      <c r="X194">
        <v>274778.15999999997</v>
      </c>
      <c r="Y194">
        <v>0</v>
      </c>
      <c r="Z194">
        <v>0</v>
      </c>
      <c r="AA194" s="14">
        <v>0</v>
      </c>
      <c r="AB194" s="14">
        <v>0</v>
      </c>
      <c r="AC194">
        <v>0</v>
      </c>
      <c r="AD194">
        <v>0</v>
      </c>
      <c r="AE194">
        <v>4411871.4000000004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30000000</v>
      </c>
      <c r="AL194">
        <v>30000000</v>
      </c>
      <c r="AM194">
        <v>0</v>
      </c>
      <c r="AN194">
        <v>0</v>
      </c>
      <c r="AO194">
        <v>30000000</v>
      </c>
      <c r="AP194">
        <v>30000000</v>
      </c>
      <c r="AQ194" s="29" t="e">
        <f t="shared" ref="AQ194:AQ257" si="3">AA194*100/AB194</f>
        <v>#DIV/0!</v>
      </c>
    </row>
    <row r="195" spans="2:43" x14ac:dyDescent="0.3">
      <c r="B195" t="s">
        <v>887</v>
      </c>
      <c r="C195" t="s">
        <v>928</v>
      </c>
      <c r="D195" t="s">
        <v>929</v>
      </c>
      <c r="E195" t="s">
        <v>930</v>
      </c>
      <c r="F195" t="s">
        <v>46</v>
      </c>
      <c r="G195" t="s">
        <v>65</v>
      </c>
      <c r="H195" t="s">
        <v>60</v>
      </c>
      <c r="I195" t="s">
        <v>49</v>
      </c>
      <c r="J195" t="s">
        <v>50</v>
      </c>
      <c r="K195" t="s">
        <v>51</v>
      </c>
      <c r="L195" t="s">
        <v>54</v>
      </c>
      <c r="M195" t="s">
        <v>134</v>
      </c>
      <c r="N195" t="s">
        <v>471</v>
      </c>
      <c r="O195" t="s">
        <v>54</v>
      </c>
      <c r="P195" t="s">
        <v>54</v>
      </c>
      <c r="Q195" t="s">
        <v>54</v>
      </c>
      <c r="R195" t="s">
        <v>931</v>
      </c>
      <c r="S195" s="1">
        <v>0</v>
      </c>
      <c r="T195" s="1">
        <v>3078407.84</v>
      </c>
      <c r="U195" s="1">
        <v>6726462.9400000004</v>
      </c>
      <c r="V195" s="1">
        <v>41704.9</v>
      </c>
      <c r="W195" t="s">
        <v>51</v>
      </c>
      <c r="X195">
        <v>299120.37</v>
      </c>
      <c r="Y195">
        <v>0</v>
      </c>
      <c r="Z195">
        <v>0</v>
      </c>
      <c r="AA195" s="14">
        <v>-11040815.939999999</v>
      </c>
      <c r="AB195" s="14">
        <v>76891901.260000005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8924315.8399999999</v>
      </c>
      <c r="AJ195">
        <v>6717233.7699999996</v>
      </c>
      <c r="AK195">
        <v>55091217.200000003</v>
      </c>
      <c r="AL195">
        <v>66825320</v>
      </c>
      <c r="AM195">
        <v>20144029.199999999</v>
      </c>
      <c r="AN195">
        <v>66825320</v>
      </c>
      <c r="AO195">
        <v>0</v>
      </c>
      <c r="AP195">
        <v>0</v>
      </c>
      <c r="AQ195" s="29">
        <f t="shared" si="3"/>
        <v>-14.358880140922658</v>
      </c>
    </row>
    <row r="196" spans="2:43" x14ac:dyDescent="0.3">
      <c r="B196" t="s">
        <v>932</v>
      </c>
      <c r="C196" t="s">
        <v>933</v>
      </c>
      <c r="D196" t="s">
        <v>934</v>
      </c>
      <c r="E196" t="s">
        <v>935</v>
      </c>
      <c r="F196" t="s">
        <v>46</v>
      </c>
      <c r="G196" t="s">
        <v>93</v>
      </c>
      <c r="H196" t="s">
        <v>60</v>
      </c>
      <c r="I196" t="s">
        <v>49</v>
      </c>
      <c r="J196" t="s">
        <v>50</v>
      </c>
      <c r="K196" t="s">
        <v>51</v>
      </c>
      <c r="L196" t="s">
        <v>51</v>
      </c>
      <c r="M196" t="s">
        <v>52</v>
      </c>
      <c r="N196" t="s">
        <v>513</v>
      </c>
      <c r="O196" t="s">
        <v>54</v>
      </c>
      <c r="P196" t="s">
        <v>54</v>
      </c>
      <c r="Q196" t="s">
        <v>51</v>
      </c>
      <c r="R196" t="s">
        <v>55</v>
      </c>
      <c r="S196" s="1">
        <v>9738890.9399999995</v>
      </c>
      <c r="T196" s="1">
        <v>100210156.51000001</v>
      </c>
      <c r="U196" s="1">
        <v>182203596.06999999</v>
      </c>
      <c r="V196" s="1">
        <v>81993439.560000002</v>
      </c>
      <c r="W196" t="s">
        <v>51</v>
      </c>
      <c r="X196">
        <v>667236.96</v>
      </c>
      <c r="Y196">
        <v>0</v>
      </c>
      <c r="Z196">
        <v>30635.24</v>
      </c>
      <c r="AA196" s="14">
        <v>-47337285.969999999</v>
      </c>
      <c r="AB196" s="14">
        <v>1139847792.77</v>
      </c>
      <c r="AC196">
        <v>0</v>
      </c>
      <c r="AD196">
        <v>0</v>
      </c>
      <c r="AE196">
        <v>95093162.599999994</v>
      </c>
      <c r="AF196">
        <v>96094734.290000007</v>
      </c>
      <c r="AG196">
        <v>95093162.599999994</v>
      </c>
      <c r="AH196" s="14">
        <v>96094734.290000007</v>
      </c>
      <c r="AI196">
        <v>0</v>
      </c>
      <c r="AJ196">
        <v>0</v>
      </c>
      <c r="AK196">
        <v>1355068227</v>
      </c>
      <c r="AL196">
        <v>1355068227</v>
      </c>
      <c r="AM196">
        <v>1355068585</v>
      </c>
      <c r="AN196">
        <v>1355068585</v>
      </c>
      <c r="AO196">
        <v>330798550.31999999</v>
      </c>
      <c r="AP196">
        <v>412791989.88</v>
      </c>
      <c r="AQ196" s="29">
        <f t="shared" si="3"/>
        <v>-4.1529479874644792</v>
      </c>
    </row>
    <row r="197" spans="2:43" x14ac:dyDescent="0.3">
      <c r="B197" t="s">
        <v>932</v>
      </c>
      <c r="C197" t="s">
        <v>936</v>
      </c>
      <c r="D197" t="s">
        <v>937</v>
      </c>
      <c r="E197" t="s">
        <v>938</v>
      </c>
      <c r="F197" t="s">
        <v>46</v>
      </c>
      <c r="G197" t="s">
        <v>121</v>
      </c>
      <c r="H197" t="s">
        <v>48</v>
      </c>
      <c r="I197" t="s">
        <v>76</v>
      </c>
      <c r="J197" t="s">
        <v>50</v>
      </c>
      <c r="K197" t="s">
        <v>51</v>
      </c>
      <c r="L197" t="s">
        <v>54</v>
      </c>
      <c r="M197" t="s">
        <v>52</v>
      </c>
      <c r="N197" t="s">
        <v>939</v>
      </c>
      <c r="O197" t="s">
        <v>54</v>
      </c>
      <c r="P197" t="s">
        <v>54</v>
      </c>
      <c r="Q197" t="s">
        <v>51</v>
      </c>
      <c r="R197" t="s">
        <v>55</v>
      </c>
      <c r="S197" s="1">
        <v>145938743.97</v>
      </c>
      <c r="T197" s="1">
        <v>78508775.560000002</v>
      </c>
      <c r="U197" s="1">
        <v>78543537.700000003</v>
      </c>
      <c r="V197" s="1">
        <v>34762.14</v>
      </c>
      <c r="W197" t="s">
        <v>51</v>
      </c>
      <c r="X197">
        <v>482756.69</v>
      </c>
      <c r="Y197">
        <v>0</v>
      </c>
      <c r="Z197">
        <v>0</v>
      </c>
      <c r="AA197" s="14">
        <v>6593085.8200000003</v>
      </c>
      <c r="AB197" s="14">
        <v>5632500.6799999997</v>
      </c>
      <c r="AC197">
        <v>0</v>
      </c>
      <c r="AD197">
        <v>0</v>
      </c>
      <c r="AE197">
        <v>1749649.88</v>
      </c>
      <c r="AF197">
        <v>11417926.439999999</v>
      </c>
      <c r="AG197">
        <v>100804102.68000001</v>
      </c>
      <c r="AH197" s="14">
        <v>88050548.640000001</v>
      </c>
      <c r="AI197">
        <v>65973827</v>
      </c>
      <c r="AJ197">
        <v>0</v>
      </c>
      <c r="AK197">
        <v>100</v>
      </c>
      <c r="AL197">
        <v>100</v>
      </c>
      <c r="AM197">
        <v>252554799.18000001</v>
      </c>
      <c r="AN197">
        <v>252554799.18000001</v>
      </c>
      <c r="AO197">
        <v>0</v>
      </c>
      <c r="AP197">
        <v>0</v>
      </c>
      <c r="AQ197" s="29">
        <f t="shared" si="3"/>
        <v>117.05432798989028</v>
      </c>
    </row>
    <row r="198" spans="2:43" x14ac:dyDescent="0.3">
      <c r="B198" t="s">
        <v>932</v>
      </c>
      <c r="C198" t="s">
        <v>940</v>
      </c>
      <c r="D198" t="s">
        <v>941</v>
      </c>
      <c r="E198" t="s">
        <v>942</v>
      </c>
      <c r="F198" t="s">
        <v>46</v>
      </c>
      <c r="G198" t="s">
        <v>71</v>
      </c>
      <c r="H198" t="s">
        <v>60</v>
      </c>
      <c r="I198" t="s">
        <v>49</v>
      </c>
      <c r="J198" t="s">
        <v>50</v>
      </c>
      <c r="K198" t="s">
        <v>51</v>
      </c>
      <c r="L198" t="s">
        <v>51</v>
      </c>
      <c r="M198" t="s">
        <v>134</v>
      </c>
      <c r="N198" t="s">
        <v>442</v>
      </c>
      <c r="O198" t="s">
        <v>54</v>
      </c>
      <c r="P198" t="s">
        <v>54</v>
      </c>
      <c r="Q198" t="s">
        <v>54</v>
      </c>
      <c r="R198" t="s">
        <v>943</v>
      </c>
      <c r="S198" s="1">
        <v>337234712.20999998</v>
      </c>
      <c r="T198" s="1">
        <v>46350498.710000001</v>
      </c>
      <c r="U198" s="1">
        <v>261771071.47</v>
      </c>
      <c r="V198" s="1">
        <v>617246.23</v>
      </c>
      <c r="W198" t="s">
        <v>54</v>
      </c>
      <c r="X198">
        <v>514241.76</v>
      </c>
      <c r="Y198">
        <v>0</v>
      </c>
      <c r="Z198">
        <v>35747.24</v>
      </c>
      <c r="AA198" s="14">
        <v>198518432.02000001</v>
      </c>
      <c r="AB198" s="14">
        <v>2757579997.77</v>
      </c>
      <c r="AC198">
        <v>0</v>
      </c>
      <c r="AD198">
        <v>10603140.51</v>
      </c>
      <c r="AE198">
        <v>0</v>
      </c>
      <c r="AF198">
        <v>0</v>
      </c>
      <c r="AG198">
        <v>0</v>
      </c>
      <c r="AH198">
        <v>0</v>
      </c>
      <c r="AI198">
        <v>133027000</v>
      </c>
      <c r="AJ198">
        <v>608325000</v>
      </c>
      <c r="AK198">
        <v>1975815</v>
      </c>
      <c r="AL198">
        <v>2584140</v>
      </c>
      <c r="AM198">
        <v>1975815000</v>
      </c>
      <c r="AN198">
        <v>2584140000</v>
      </c>
      <c r="AO198">
        <v>0</v>
      </c>
      <c r="AP198">
        <v>0</v>
      </c>
      <c r="AQ198" s="29">
        <f t="shared" si="3"/>
        <v>7.1990089926869905</v>
      </c>
    </row>
    <row r="199" spans="2:43" x14ac:dyDescent="0.3">
      <c r="B199" t="s">
        <v>932</v>
      </c>
      <c r="C199" t="s">
        <v>944</v>
      </c>
      <c r="D199" t="s">
        <v>945</v>
      </c>
      <c r="E199" t="s">
        <v>946</v>
      </c>
      <c r="F199" t="s">
        <v>46</v>
      </c>
      <c r="G199" t="s">
        <v>314</v>
      </c>
      <c r="H199" t="s">
        <v>48</v>
      </c>
      <c r="I199" t="s">
        <v>363</v>
      </c>
      <c r="J199" t="s">
        <v>50</v>
      </c>
      <c r="K199" t="s">
        <v>51</v>
      </c>
      <c r="L199" t="s">
        <v>51</v>
      </c>
      <c r="M199" t="s">
        <v>134</v>
      </c>
      <c r="N199" t="s">
        <v>947</v>
      </c>
      <c r="O199" t="s">
        <v>54</v>
      </c>
      <c r="P199" t="s">
        <v>54</v>
      </c>
      <c r="Q199" t="s">
        <v>54</v>
      </c>
      <c r="R199" t="s">
        <v>948</v>
      </c>
      <c r="S199" s="1">
        <v>588214707.40999997</v>
      </c>
      <c r="T199" s="1">
        <v>144616993.09999999</v>
      </c>
      <c r="U199" s="1">
        <v>627453004.46000004</v>
      </c>
      <c r="V199" s="1">
        <v>117818300.08</v>
      </c>
      <c r="W199" t="s">
        <v>51</v>
      </c>
      <c r="X199">
        <v>687685.04</v>
      </c>
      <c r="Y199">
        <v>0</v>
      </c>
      <c r="Z199">
        <v>120201.16</v>
      </c>
      <c r="AA199" s="14">
        <v>121546815.67</v>
      </c>
      <c r="AB199" s="14">
        <v>1126993688.1800001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100</v>
      </c>
      <c r="AL199">
        <v>100</v>
      </c>
      <c r="AM199">
        <v>1086443861.3800001</v>
      </c>
      <c r="AN199">
        <v>1086443861.3800001</v>
      </c>
      <c r="AO199">
        <v>0</v>
      </c>
      <c r="AP199">
        <v>0</v>
      </c>
      <c r="AQ199" s="29">
        <f t="shared" si="3"/>
        <v>10.785048482950058</v>
      </c>
    </row>
    <row r="200" spans="2:43" x14ac:dyDescent="0.3">
      <c r="B200" t="s">
        <v>932</v>
      </c>
      <c r="C200" t="s">
        <v>949</v>
      </c>
      <c r="D200" t="s">
        <v>303</v>
      </c>
      <c r="E200" t="s">
        <v>950</v>
      </c>
      <c r="F200" t="s">
        <v>46</v>
      </c>
      <c r="G200" t="s">
        <v>75</v>
      </c>
      <c r="H200" t="s">
        <v>60</v>
      </c>
      <c r="I200" t="s">
        <v>49</v>
      </c>
      <c r="J200" t="s">
        <v>50</v>
      </c>
      <c r="K200" t="s">
        <v>51</v>
      </c>
      <c r="L200" t="s">
        <v>51</v>
      </c>
      <c r="M200" t="s">
        <v>134</v>
      </c>
      <c r="N200" t="s">
        <v>951</v>
      </c>
      <c r="O200" t="s">
        <v>54</v>
      </c>
      <c r="P200" t="s">
        <v>54</v>
      </c>
      <c r="Q200" t="s">
        <v>51</v>
      </c>
      <c r="R200" t="s">
        <v>952</v>
      </c>
      <c r="S200" s="1">
        <v>34154000</v>
      </c>
      <c r="T200" s="1">
        <v>24508879.039999999</v>
      </c>
      <c r="U200" s="1">
        <v>43321423.18</v>
      </c>
      <c r="V200" s="1">
        <v>18812544.140000001</v>
      </c>
      <c r="W200" t="s">
        <v>51</v>
      </c>
      <c r="X200">
        <v>402787.01</v>
      </c>
      <c r="Y200">
        <v>0</v>
      </c>
      <c r="Z200">
        <v>7722</v>
      </c>
      <c r="AA200" s="14">
        <v>1805000</v>
      </c>
      <c r="AB200" s="14">
        <v>192345753.59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23200000</v>
      </c>
      <c r="AK200">
        <v>33114102</v>
      </c>
      <c r="AL200">
        <v>56314102</v>
      </c>
      <c r="AM200">
        <v>33114102</v>
      </c>
      <c r="AN200">
        <v>56314102</v>
      </c>
      <c r="AO200">
        <v>0</v>
      </c>
      <c r="AP200">
        <v>0</v>
      </c>
      <c r="AQ200" s="29">
        <f t="shared" si="3"/>
        <v>0.9384142702975905</v>
      </c>
    </row>
    <row r="201" spans="2:43" x14ac:dyDescent="0.3">
      <c r="B201" t="s">
        <v>932</v>
      </c>
      <c r="C201" t="s">
        <v>953</v>
      </c>
      <c r="D201" t="s">
        <v>954</v>
      </c>
      <c r="E201" t="s">
        <v>955</v>
      </c>
      <c r="F201" t="s">
        <v>46</v>
      </c>
      <c r="G201" t="s">
        <v>47</v>
      </c>
      <c r="H201" t="s">
        <v>60</v>
      </c>
      <c r="I201" t="s">
        <v>49</v>
      </c>
      <c r="J201" t="s">
        <v>50</v>
      </c>
      <c r="K201" t="s">
        <v>51</v>
      </c>
      <c r="L201" t="s">
        <v>51</v>
      </c>
      <c r="M201" t="s">
        <v>134</v>
      </c>
      <c r="N201" t="s">
        <v>956</v>
      </c>
      <c r="O201" t="s">
        <v>54</v>
      </c>
      <c r="P201" t="s">
        <v>54</v>
      </c>
      <c r="Q201" t="s">
        <v>54</v>
      </c>
      <c r="R201" t="s">
        <v>957</v>
      </c>
      <c r="S201" s="1">
        <v>494676837</v>
      </c>
      <c r="T201" s="1">
        <v>229230174</v>
      </c>
      <c r="U201" s="1">
        <v>355531072</v>
      </c>
      <c r="V201" s="1">
        <v>61518758</v>
      </c>
      <c r="W201" t="s">
        <v>51</v>
      </c>
      <c r="X201">
        <v>425858.56</v>
      </c>
      <c r="Y201">
        <v>0</v>
      </c>
      <c r="Z201">
        <v>0</v>
      </c>
      <c r="AA201" s="14">
        <v>338988220</v>
      </c>
      <c r="AB201" s="14">
        <v>538445587</v>
      </c>
      <c r="AC201">
        <v>0</v>
      </c>
      <c r="AD201">
        <v>19307859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142046247</v>
      </c>
      <c r="AL201">
        <v>250000000</v>
      </c>
      <c r="AM201">
        <v>149670210</v>
      </c>
      <c r="AN201">
        <v>250000000</v>
      </c>
      <c r="AO201">
        <v>0</v>
      </c>
      <c r="AP201">
        <v>0</v>
      </c>
      <c r="AQ201" s="29">
        <f t="shared" si="3"/>
        <v>62.956820184692127</v>
      </c>
    </row>
    <row r="202" spans="2:43" x14ac:dyDescent="0.3">
      <c r="B202" t="s">
        <v>932</v>
      </c>
      <c r="C202" t="s">
        <v>958</v>
      </c>
      <c r="D202" t="s">
        <v>959</v>
      </c>
      <c r="E202" t="s">
        <v>960</v>
      </c>
      <c r="F202" t="s">
        <v>46</v>
      </c>
      <c r="G202" t="s">
        <v>240</v>
      </c>
      <c r="H202" t="s">
        <v>60</v>
      </c>
      <c r="I202" t="s">
        <v>49</v>
      </c>
      <c r="J202" t="s">
        <v>50</v>
      </c>
      <c r="K202" t="s">
        <v>51</v>
      </c>
      <c r="L202" t="s">
        <v>51</v>
      </c>
      <c r="M202" t="s">
        <v>134</v>
      </c>
      <c r="N202" t="s">
        <v>951</v>
      </c>
      <c r="O202" t="s">
        <v>54</v>
      </c>
      <c r="P202" t="s">
        <v>54</v>
      </c>
      <c r="Q202" t="s">
        <v>51</v>
      </c>
      <c r="R202" t="s">
        <v>55</v>
      </c>
      <c r="S202" s="1">
        <v>17016124.98</v>
      </c>
      <c r="T202" s="1">
        <v>11845137.720000001</v>
      </c>
      <c r="U202" s="1">
        <v>33264400.969999999</v>
      </c>
      <c r="V202" s="1">
        <v>10023222.539999999</v>
      </c>
      <c r="W202" t="s">
        <v>51</v>
      </c>
      <c r="X202">
        <v>392962.93</v>
      </c>
      <c r="Y202">
        <v>0</v>
      </c>
      <c r="Z202">
        <v>0</v>
      </c>
      <c r="AA202" s="14">
        <v>16403891.92</v>
      </c>
      <c r="AB202" s="14">
        <v>261722096.43000001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7075617.79</v>
      </c>
      <c r="AK202">
        <v>70145216.280000001</v>
      </c>
      <c r="AL202">
        <v>77220834.069999993</v>
      </c>
      <c r="AM202">
        <v>406813156.67000002</v>
      </c>
      <c r="AN202">
        <v>406813156.67000002</v>
      </c>
      <c r="AO202">
        <v>44186843.329999998</v>
      </c>
      <c r="AP202">
        <v>44186843.329999998</v>
      </c>
      <c r="AQ202" s="29">
        <f t="shared" si="3"/>
        <v>6.2676755779340061</v>
      </c>
    </row>
    <row r="203" spans="2:43" x14ac:dyDescent="0.3">
      <c r="B203" t="s">
        <v>932</v>
      </c>
      <c r="C203" t="s">
        <v>961</v>
      </c>
      <c r="D203" t="s">
        <v>962</v>
      </c>
      <c r="E203" t="s">
        <v>963</v>
      </c>
      <c r="F203" t="s">
        <v>46</v>
      </c>
      <c r="G203" t="s">
        <v>107</v>
      </c>
      <c r="H203" t="s">
        <v>60</v>
      </c>
      <c r="I203" t="s">
        <v>49</v>
      </c>
      <c r="J203" t="s">
        <v>373</v>
      </c>
      <c r="K203" t="s">
        <v>54</v>
      </c>
      <c r="L203" t="s">
        <v>51</v>
      </c>
      <c r="M203" t="s">
        <v>134</v>
      </c>
      <c r="N203" t="s">
        <v>964</v>
      </c>
      <c r="O203" t="s">
        <v>54</v>
      </c>
      <c r="P203" t="s">
        <v>54</v>
      </c>
      <c r="Q203" t="s">
        <v>54</v>
      </c>
      <c r="R203" t="s">
        <v>965</v>
      </c>
      <c r="S203" s="1">
        <v>6848218722.2799997</v>
      </c>
      <c r="T203" s="1">
        <v>1626352971.5899999</v>
      </c>
      <c r="U203" s="1">
        <v>5175059168.5500002</v>
      </c>
      <c r="V203" s="1">
        <v>1908907990.3299999</v>
      </c>
      <c r="W203" t="s">
        <v>54</v>
      </c>
      <c r="X203">
        <v>985232.71</v>
      </c>
      <c r="Y203">
        <v>0</v>
      </c>
      <c r="Z203">
        <v>18754.900000000001</v>
      </c>
      <c r="AA203" s="14">
        <v>1545347170.4000001</v>
      </c>
      <c r="AB203" s="14">
        <v>10828706949.93</v>
      </c>
      <c r="AC203">
        <v>8418432532.4399996</v>
      </c>
      <c r="AD203">
        <v>84935680.390000001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302653778</v>
      </c>
      <c r="AL203">
        <v>302653778</v>
      </c>
      <c r="AM203">
        <v>6000000000</v>
      </c>
      <c r="AN203">
        <v>6000000000</v>
      </c>
      <c r="AO203">
        <v>0</v>
      </c>
      <c r="AP203">
        <v>0</v>
      </c>
      <c r="AQ203" s="29">
        <f t="shared" si="3"/>
        <v>14.270837483601767</v>
      </c>
    </row>
    <row r="204" spans="2:43" x14ac:dyDescent="0.3">
      <c r="B204" t="s">
        <v>966</v>
      </c>
      <c r="C204" t="s">
        <v>967</v>
      </c>
      <c r="D204" t="s">
        <v>968</v>
      </c>
      <c r="E204" t="s">
        <v>969</v>
      </c>
      <c r="F204" t="s">
        <v>46</v>
      </c>
      <c r="G204" t="s">
        <v>75</v>
      </c>
      <c r="H204" t="s">
        <v>60</v>
      </c>
      <c r="I204" t="s">
        <v>49</v>
      </c>
      <c r="J204" t="s">
        <v>50</v>
      </c>
      <c r="K204" t="s">
        <v>51</v>
      </c>
      <c r="L204" t="s">
        <v>51</v>
      </c>
      <c r="M204" t="s">
        <v>52</v>
      </c>
      <c r="N204" t="s">
        <v>787</v>
      </c>
      <c r="O204" t="s">
        <v>54</v>
      </c>
      <c r="P204" t="s">
        <v>54</v>
      </c>
      <c r="Q204" t="s">
        <v>51</v>
      </c>
      <c r="R204" t="s">
        <v>66</v>
      </c>
      <c r="S204" s="1">
        <v>92897.09</v>
      </c>
      <c r="T204" s="1">
        <v>2850605.29</v>
      </c>
      <c r="U204" s="1">
        <v>11639694.16</v>
      </c>
      <c r="V204" s="1">
        <v>0</v>
      </c>
      <c r="W204" t="s">
        <v>51</v>
      </c>
      <c r="X204">
        <v>230373.94</v>
      </c>
      <c r="Y204">
        <v>0</v>
      </c>
      <c r="Z204">
        <v>1818548.47</v>
      </c>
      <c r="AA204" s="14">
        <v>-116498.37</v>
      </c>
      <c r="AB204" s="14">
        <v>1514590.16</v>
      </c>
      <c r="AC204">
        <v>0</v>
      </c>
      <c r="AD204">
        <v>0</v>
      </c>
      <c r="AE204">
        <v>6399240.3700000001</v>
      </c>
      <c r="AF204">
        <v>5639924.8700000001</v>
      </c>
      <c r="AG204">
        <v>0</v>
      </c>
      <c r="AH204" s="14">
        <v>0</v>
      </c>
      <c r="AI204">
        <v>0</v>
      </c>
      <c r="AJ204">
        <v>0</v>
      </c>
      <c r="AK204">
        <v>0</v>
      </c>
      <c r="AL204">
        <v>0</v>
      </c>
      <c r="AM204">
        <v>1520887.26</v>
      </c>
      <c r="AN204">
        <v>1520887.26</v>
      </c>
      <c r="AO204">
        <v>0</v>
      </c>
      <c r="AP204">
        <v>0</v>
      </c>
      <c r="AQ204" s="29">
        <f t="shared" si="3"/>
        <v>-7.6917421673992656</v>
      </c>
    </row>
    <row r="205" spans="2:43" x14ac:dyDescent="0.3">
      <c r="B205" t="s">
        <v>966</v>
      </c>
      <c r="C205" t="s">
        <v>970</v>
      </c>
      <c r="D205" t="s">
        <v>303</v>
      </c>
      <c r="E205" t="s">
        <v>971</v>
      </c>
      <c r="F205" t="s">
        <v>46</v>
      </c>
      <c r="G205" t="s">
        <v>75</v>
      </c>
      <c r="H205" t="s">
        <v>60</v>
      </c>
      <c r="I205" t="s">
        <v>49</v>
      </c>
      <c r="J205" t="s">
        <v>50</v>
      </c>
      <c r="K205" t="s">
        <v>51</v>
      </c>
      <c r="L205" t="s">
        <v>51</v>
      </c>
      <c r="M205" t="s">
        <v>52</v>
      </c>
      <c r="N205" t="s">
        <v>800</v>
      </c>
      <c r="O205" t="s">
        <v>54</v>
      </c>
      <c r="P205" t="s">
        <v>54</v>
      </c>
      <c r="Q205" t="s">
        <v>51</v>
      </c>
      <c r="R205" t="s">
        <v>972</v>
      </c>
      <c r="S205" s="1">
        <v>155704826.68000001</v>
      </c>
      <c r="T205" s="1">
        <v>31111312.609999999</v>
      </c>
      <c r="U205" s="1">
        <v>175749729.15000001</v>
      </c>
      <c r="V205" s="1">
        <v>2592351</v>
      </c>
      <c r="W205" t="s">
        <v>51</v>
      </c>
      <c r="X205">
        <v>287247.69</v>
      </c>
      <c r="Y205">
        <v>0</v>
      </c>
      <c r="Z205">
        <v>532956.80000000005</v>
      </c>
      <c r="AA205" s="14">
        <v>-1844059.14</v>
      </c>
      <c r="AB205" s="14">
        <v>57919389.649999999</v>
      </c>
      <c r="AC205">
        <v>0</v>
      </c>
      <c r="AD205">
        <v>0</v>
      </c>
      <c r="AE205">
        <v>6856966.1500000004</v>
      </c>
      <c r="AF205">
        <v>10523443.15</v>
      </c>
      <c r="AG205">
        <v>1886518020</v>
      </c>
      <c r="AH205" s="14">
        <v>306360.12</v>
      </c>
      <c r="AI205">
        <v>0</v>
      </c>
      <c r="AJ205">
        <v>0</v>
      </c>
      <c r="AK205">
        <v>0</v>
      </c>
      <c r="AL205">
        <v>0</v>
      </c>
      <c r="AM205">
        <v>33788930.850000001</v>
      </c>
      <c r="AN205">
        <v>33788930.850000001</v>
      </c>
      <c r="AO205">
        <v>0</v>
      </c>
      <c r="AP205">
        <v>0</v>
      </c>
      <c r="AQ205" s="29">
        <f t="shared" si="3"/>
        <v>-3.1838373144873082</v>
      </c>
    </row>
    <row r="206" spans="2:43" x14ac:dyDescent="0.3">
      <c r="B206" t="s">
        <v>966</v>
      </c>
      <c r="C206" t="s">
        <v>973</v>
      </c>
      <c r="D206" t="s">
        <v>816</v>
      </c>
      <c r="E206" t="s">
        <v>974</v>
      </c>
      <c r="F206" t="s">
        <v>46</v>
      </c>
      <c r="G206" t="s">
        <v>93</v>
      </c>
      <c r="H206" t="s">
        <v>60</v>
      </c>
      <c r="I206" t="s">
        <v>49</v>
      </c>
      <c r="J206" t="s">
        <v>50</v>
      </c>
      <c r="K206" t="s">
        <v>51</v>
      </c>
      <c r="L206" t="s">
        <v>54</v>
      </c>
      <c r="M206" t="s">
        <v>52</v>
      </c>
      <c r="N206" t="s">
        <v>975</v>
      </c>
      <c r="O206" t="s">
        <v>54</v>
      </c>
      <c r="P206" t="s">
        <v>54</v>
      </c>
      <c r="Q206" t="s">
        <v>51</v>
      </c>
      <c r="R206" t="s">
        <v>976</v>
      </c>
      <c r="S206" s="1">
        <v>339807340.25</v>
      </c>
      <c r="T206" s="1">
        <v>59674686.280000001</v>
      </c>
      <c r="U206" s="1">
        <v>326102830.56</v>
      </c>
      <c r="V206" s="1">
        <v>203656729.34999999</v>
      </c>
      <c r="W206" t="s">
        <v>51</v>
      </c>
      <c r="X206">
        <v>302412.03999999998</v>
      </c>
      <c r="Y206">
        <v>0</v>
      </c>
      <c r="Z206">
        <v>0</v>
      </c>
      <c r="AA206" s="14">
        <v>-9055528.0099999998</v>
      </c>
      <c r="AB206" s="14">
        <v>112422565.31999999</v>
      </c>
      <c r="AC206">
        <v>0</v>
      </c>
      <c r="AD206">
        <v>0</v>
      </c>
      <c r="AE206">
        <v>567889086.49000001</v>
      </c>
      <c r="AF206">
        <v>326474688.86000001</v>
      </c>
      <c r="AG206">
        <v>3184578.24</v>
      </c>
      <c r="AH206" s="14">
        <v>3377029.67</v>
      </c>
      <c r="AI206">
        <v>0</v>
      </c>
      <c r="AJ206">
        <v>0</v>
      </c>
      <c r="AK206">
        <v>3338267.4</v>
      </c>
      <c r="AL206">
        <v>3338267.4</v>
      </c>
      <c r="AM206">
        <v>242168282.16999999</v>
      </c>
      <c r="AN206">
        <v>242168282.16999999</v>
      </c>
      <c r="AO206">
        <v>0</v>
      </c>
      <c r="AP206">
        <v>0</v>
      </c>
      <c r="AQ206" s="29">
        <f t="shared" si="3"/>
        <v>-8.0549024870801631</v>
      </c>
    </row>
    <row r="207" spans="2:43" x14ac:dyDescent="0.3">
      <c r="B207" t="s">
        <v>966</v>
      </c>
      <c r="C207" t="s">
        <v>977</v>
      </c>
      <c r="D207" t="s">
        <v>978</v>
      </c>
      <c r="E207" t="s">
        <v>979</v>
      </c>
      <c r="F207" t="s">
        <v>46</v>
      </c>
      <c r="G207" t="s">
        <v>240</v>
      </c>
      <c r="H207" t="s">
        <v>48</v>
      </c>
      <c r="I207" t="s">
        <v>49</v>
      </c>
      <c r="J207" t="s">
        <v>50</v>
      </c>
      <c r="K207" t="s">
        <v>51</v>
      </c>
      <c r="L207" t="s">
        <v>51</v>
      </c>
      <c r="M207" t="s">
        <v>52</v>
      </c>
      <c r="N207" t="s">
        <v>800</v>
      </c>
      <c r="O207" t="s">
        <v>54</v>
      </c>
      <c r="P207" t="s">
        <v>54</v>
      </c>
      <c r="Q207" t="s">
        <v>54</v>
      </c>
      <c r="R207" t="s">
        <v>972</v>
      </c>
      <c r="S207" s="1">
        <v>5874169.1600000001</v>
      </c>
      <c r="T207" s="1">
        <v>60733903.109999999</v>
      </c>
      <c r="U207" s="1">
        <v>140526048.91999999</v>
      </c>
      <c r="V207" s="1">
        <v>0</v>
      </c>
      <c r="W207" t="s">
        <v>51</v>
      </c>
      <c r="X207">
        <v>385616.37</v>
      </c>
      <c r="Y207">
        <v>0</v>
      </c>
      <c r="Z207">
        <v>23800.44</v>
      </c>
      <c r="AA207" s="14">
        <v>-4118713.34</v>
      </c>
      <c r="AB207" s="14">
        <v>889267626.19000006</v>
      </c>
      <c r="AC207">
        <v>0</v>
      </c>
      <c r="AD207">
        <v>0</v>
      </c>
      <c r="AE207">
        <v>62515627.299999997</v>
      </c>
      <c r="AF207">
        <v>105836881.29000001</v>
      </c>
      <c r="AG207">
        <v>4569593.9400000004</v>
      </c>
      <c r="AH207" s="14">
        <v>145020.6</v>
      </c>
      <c r="AI207">
        <v>0</v>
      </c>
      <c r="AJ207">
        <v>0</v>
      </c>
      <c r="AK207">
        <v>72884768867</v>
      </c>
      <c r="AL207">
        <v>72884768867</v>
      </c>
      <c r="AM207">
        <v>996251938.23000002</v>
      </c>
      <c r="AN207">
        <v>996251938.23000002</v>
      </c>
      <c r="AO207">
        <v>0</v>
      </c>
      <c r="AP207">
        <v>0</v>
      </c>
      <c r="AQ207" s="29">
        <f t="shared" si="3"/>
        <v>-0.46315790867663947</v>
      </c>
    </row>
    <row r="208" spans="2:43" x14ac:dyDescent="0.3">
      <c r="B208" t="s">
        <v>966</v>
      </c>
      <c r="C208" t="s">
        <v>980</v>
      </c>
      <c r="D208" t="s">
        <v>981</v>
      </c>
      <c r="E208" t="s">
        <v>982</v>
      </c>
      <c r="F208" t="s">
        <v>46</v>
      </c>
      <c r="G208" t="s">
        <v>240</v>
      </c>
      <c r="H208" t="s">
        <v>60</v>
      </c>
      <c r="I208" t="s">
        <v>76</v>
      </c>
      <c r="J208" t="s">
        <v>50</v>
      </c>
      <c r="K208" t="s">
        <v>51</v>
      </c>
      <c r="L208" t="s">
        <v>51</v>
      </c>
      <c r="M208" t="s">
        <v>52</v>
      </c>
      <c r="N208" t="s">
        <v>983</v>
      </c>
      <c r="O208" t="s">
        <v>54</v>
      </c>
      <c r="P208" t="s">
        <v>54</v>
      </c>
      <c r="Q208" t="s">
        <v>51</v>
      </c>
      <c r="R208" t="s">
        <v>66</v>
      </c>
      <c r="S208" s="1">
        <v>25192618.399999999</v>
      </c>
      <c r="T208" s="1">
        <v>11288912.58</v>
      </c>
      <c r="U208" s="1">
        <v>71331647.739999995</v>
      </c>
      <c r="V208" s="1">
        <v>20877.18</v>
      </c>
      <c r="W208" t="s">
        <v>51</v>
      </c>
      <c r="X208">
        <v>346137.05</v>
      </c>
      <c r="Y208">
        <v>0</v>
      </c>
      <c r="Z208">
        <v>14615.8</v>
      </c>
      <c r="AA208" s="14">
        <v>-46139029.340000004</v>
      </c>
      <c r="AB208" s="14">
        <v>-82709470.349999994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526313</v>
      </c>
      <c r="AL208">
        <v>526313</v>
      </c>
      <c r="AM208">
        <v>16872235.780000001</v>
      </c>
      <c r="AN208">
        <v>16872235.780000001</v>
      </c>
      <c r="AO208">
        <v>0</v>
      </c>
      <c r="AP208">
        <v>0</v>
      </c>
      <c r="AQ208" s="29">
        <f t="shared" si="3"/>
        <v>55.784457504992361</v>
      </c>
    </row>
    <row r="209" spans="2:43" x14ac:dyDescent="0.3">
      <c r="B209" t="s">
        <v>966</v>
      </c>
      <c r="C209" t="s">
        <v>984</v>
      </c>
      <c r="D209" t="s">
        <v>985</v>
      </c>
      <c r="E209" t="s">
        <v>986</v>
      </c>
      <c r="F209" t="s">
        <v>46</v>
      </c>
      <c r="G209" t="s">
        <v>65</v>
      </c>
      <c r="H209" t="s">
        <v>60</v>
      </c>
      <c r="I209" t="s">
        <v>49</v>
      </c>
      <c r="J209" t="s">
        <v>50</v>
      </c>
      <c r="K209" t="s">
        <v>51</v>
      </c>
      <c r="L209" t="s">
        <v>51</v>
      </c>
      <c r="M209" t="s">
        <v>52</v>
      </c>
      <c r="N209" t="s">
        <v>635</v>
      </c>
      <c r="O209" t="s">
        <v>54</v>
      </c>
      <c r="P209" t="s">
        <v>54</v>
      </c>
      <c r="Q209" t="s">
        <v>54</v>
      </c>
      <c r="R209" t="s">
        <v>66</v>
      </c>
      <c r="S209" s="1">
        <v>3565427.67</v>
      </c>
      <c r="T209" s="1">
        <v>11321077.119999999</v>
      </c>
      <c r="U209" s="1">
        <v>22242817.120000001</v>
      </c>
      <c r="V209" s="1">
        <v>10921740</v>
      </c>
      <c r="W209" t="s">
        <v>51</v>
      </c>
      <c r="X209">
        <v>296898</v>
      </c>
      <c r="Y209">
        <v>0</v>
      </c>
      <c r="Z209">
        <v>185428.47</v>
      </c>
      <c r="AA209" s="14">
        <v>492800.5</v>
      </c>
      <c r="AB209" s="14">
        <v>47238243.109999999</v>
      </c>
      <c r="AC209">
        <v>0</v>
      </c>
      <c r="AD209">
        <v>0</v>
      </c>
      <c r="AE209">
        <v>14213633</v>
      </c>
      <c r="AF209">
        <v>12344636.779999999</v>
      </c>
      <c r="AG209">
        <v>254689.99</v>
      </c>
      <c r="AH209" s="14">
        <v>63672.46</v>
      </c>
      <c r="AI209">
        <v>0</v>
      </c>
      <c r="AJ209">
        <v>0</v>
      </c>
      <c r="AK209">
        <v>194429609</v>
      </c>
      <c r="AL209">
        <v>194429609</v>
      </c>
      <c r="AM209">
        <v>32114375.34</v>
      </c>
      <c r="AN209">
        <v>32114375.34</v>
      </c>
      <c r="AO209">
        <v>0</v>
      </c>
      <c r="AP209">
        <v>0</v>
      </c>
      <c r="AQ209" s="29">
        <f t="shared" si="3"/>
        <v>1.0432235992614163</v>
      </c>
    </row>
    <row r="210" spans="2:43" x14ac:dyDescent="0.3">
      <c r="B210" t="s">
        <v>966</v>
      </c>
      <c r="C210" t="s">
        <v>987</v>
      </c>
      <c r="D210" t="s">
        <v>988</v>
      </c>
      <c r="E210" t="s">
        <v>989</v>
      </c>
      <c r="F210" t="s">
        <v>70</v>
      </c>
      <c r="G210" t="s">
        <v>240</v>
      </c>
      <c r="H210" t="s">
        <v>60</v>
      </c>
      <c r="I210" t="s">
        <v>49</v>
      </c>
      <c r="J210" t="s">
        <v>50</v>
      </c>
      <c r="K210" t="s">
        <v>51</v>
      </c>
      <c r="L210" t="s">
        <v>51</v>
      </c>
      <c r="M210" t="s">
        <v>52</v>
      </c>
      <c r="N210" t="s">
        <v>129</v>
      </c>
      <c r="O210" t="s">
        <v>51</v>
      </c>
      <c r="P210" t="s">
        <v>51</v>
      </c>
      <c r="Q210" t="s">
        <v>51</v>
      </c>
      <c r="R210" t="s">
        <v>976</v>
      </c>
      <c r="S210" s="1">
        <v>421417.97</v>
      </c>
      <c r="T210" s="1">
        <v>363057.58</v>
      </c>
      <c r="U210" s="1">
        <v>836136.33</v>
      </c>
      <c r="V210" s="1">
        <v>0</v>
      </c>
      <c r="W210" t="s">
        <v>51</v>
      </c>
      <c r="X210">
        <v>96000</v>
      </c>
      <c r="Y210">
        <v>0</v>
      </c>
      <c r="Z210">
        <v>0</v>
      </c>
      <c r="AA210" s="14">
        <v>10206.59</v>
      </c>
      <c r="AB210" s="14">
        <v>-5827145.6900000004</v>
      </c>
      <c r="AC210">
        <v>0</v>
      </c>
      <c r="AD210">
        <v>0</v>
      </c>
      <c r="AE210">
        <v>479938.78</v>
      </c>
      <c r="AF210">
        <v>409967.21</v>
      </c>
      <c r="AG210">
        <v>2992296.37</v>
      </c>
      <c r="AH210" s="14">
        <v>2992296.37</v>
      </c>
      <c r="AI210">
        <v>0</v>
      </c>
      <c r="AJ210">
        <v>0</v>
      </c>
      <c r="AK210">
        <v>71249</v>
      </c>
      <c r="AL210">
        <v>712.49</v>
      </c>
      <c r="AM210">
        <v>70025960.790000007</v>
      </c>
      <c r="AN210">
        <v>70025960.790000007</v>
      </c>
      <c r="AO210">
        <v>0</v>
      </c>
      <c r="AP210">
        <v>0</v>
      </c>
      <c r="AQ210" s="29">
        <f t="shared" si="3"/>
        <v>-0.17515590896441099</v>
      </c>
    </row>
    <row r="211" spans="2:43" x14ac:dyDescent="0.3">
      <c r="B211" t="s">
        <v>966</v>
      </c>
      <c r="C211" t="s">
        <v>990</v>
      </c>
      <c r="D211" t="s">
        <v>991</v>
      </c>
      <c r="E211" t="s">
        <v>992</v>
      </c>
      <c r="F211" t="s">
        <v>46</v>
      </c>
      <c r="G211" t="s">
        <v>102</v>
      </c>
      <c r="H211" t="s">
        <v>48</v>
      </c>
      <c r="I211" t="s">
        <v>49</v>
      </c>
      <c r="J211" t="s">
        <v>50</v>
      </c>
      <c r="K211" t="s">
        <v>51</v>
      </c>
      <c r="L211" t="s">
        <v>51</v>
      </c>
      <c r="M211" t="s">
        <v>52</v>
      </c>
      <c r="N211" t="s">
        <v>993</v>
      </c>
      <c r="O211" t="s">
        <v>54</v>
      </c>
      <c r="P211" t="s">
        <v>54</v>
      </c>
      <c r="Q211" t="s">
        <v>51</v>
      </c>
      <c r="R211" t="s">
        <v>994</v>
      </c>
      <c r="S211" s="1">
        <v>117436.26</v>
      </c>
      <c r="T211" s="1">
        <v>106497407.95999999</v>
      </c>
      <c r="U211" s="1">
        <v>325113616.27999997</v>
      </c>
      <c r="V211" s="1">
        <v>1352756.56</v>
      </c>
      <c r="W211" t="s">
        <v>51</v>
      </c>
      <c r="X211">
        <v>373000.79</v>
      </c>
      <c r="Y211">
        <v>0</v>
      </c>
      <c r="Z211">
        <v>3493.17</v>
      </c>
      <c r="AA211" s="14">
        <v>-256478.42</v>
      </c>
      <c r="AB211" s="14">
        <v>-317982.86</v>
      </c>
      <c r="AC211">
        <v>0</v>
      </c>
      <c r="AD211">
        <v>0</v>
      </c>
      <c r="AE211">
        <v>131768902.88</v>
      </c>
      <c r="AF211">
        <v>154974893.5</v>
      </c>
      <c r="AG211">
        <v>62645626.090000004</v>
      </c>
      <c r="AH211" s="14">
        <v>73963218.349999994</v>
      </c>
      <c r="AI211">
        <v>0</v>
      </c>
      <c r="AJ211">
        <v>0</v>
      </c>
      <c r="AK211">
        <v>1307307880</v>
      </c>
      <c r="AL211">
        <v>1307307880</v>
      </c>
      <c r="AM211">
        <v>8310646.5499999998</v>
      </c>
      <c r="AN211">
        <v>8310646.5499999998</v>
      </c>
      <c r="AO211">
        <v>0</v>
      </c>
      <c r="AP211">
        <v>0</v>
      </c>
      <c r="AQ211" s="29">
        <f t="shared" si="3"/>
        <v>80.657938607131214</v>
      </c>
    </row>
    <row r="212" spans="2:43" x14ac:dyDescent="0.3">
      <c r="B212" t="s">
        <v>966</v>
      </c>
      <c r="C212" t="s">
        <v>995</v>
      </c>
      <c r="D212" t="s">
        <v>996</v>
      </c>
      <c r="E212" t="s">
        <v>997</v>
      </c>
      <c r="F212" t="s">
        <v>46</v>
      </c>
      <c r="G212" t="s">
        <v>93</v>
      </c>
      <c r="H212" t="s">
        <v>48</v>
      </c>
      <c r="I212" t="s">
        <v>49</v>
      </c>
      <c r="J212" t="s">
        <v>50</v>
      </c>
      <c r="K212" t="s">
        <v>51</v>
      </c>
      <c r="L212" t="s">
        <v>51</v>
      </c>
      <c r="M212" t="s">
        <v>52</v>
      </c>
      <c r="N212" t="s">
        <v>998</v>
      </c>
      <c r="O212" t="s">
        <v>54</v>
      </c>
      <c r="P212" t="s">
        <v>54</v>
      </c>
      <c r="Q212" t="s">
        <v>51</v>
      </c>
      <c r="R212" t="s">
        <v>972</v>
      </c>
      <c r="S212" s="1">
        <v>190082.08</v>
      </c>
      <c r="T212" s="1">
        <v>50687611.520000003</v>
      </c>
      <c r="U212" s="1">
        <v>50687611.520000003</v>
      </c>
      <c r="V212" s="1">
        <v>0</v>
      </c>
      <c r="W212" t="s">
        <v>51</v>
      </c>
      <c r="X212">
        <v>423756.29</v>
      </c>
      <c r="Y212">
        <v>0</v>
      </c>
      <c r="Z212">
        <v>7835.43</v>
      </c>
      <c r="AA212" s="14">
        <v>-20605.22</v>
      </c>
      <c r="AB212" s="14">
        <v>-57911524.619999997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2478567.69</v>
      </c>
      <c r="AN212">
        <v>2478567.69</v>
      </c>
      <c r="AO212">
        <v>0</v>
      </c>
      <c r="AP212">
        <v>0</v>
      </c>
      <c r="AQ212" s="29">
        <f t="shared" si="3"/>
        <v>3.5580517237641329E-2</v>
      </c>
    </row>
    <row r="213" spans="2:43" x14ac:dyDescent="0.3">
      <c r="B213" t="s">
        <v>966</v>
      </c>
      <c r="C213" t="s">
        <v>999</v>
      </c>
      <c r="D213" t="s">
        <v>1000</v>
      </c>
      <c r="E213" t="s">
        <v>1001</v>
      </c>
      <c r="F213" t="s">
        <v>70</v>
      </c>
      <c r="G213" t="s">
        <v>240</v>
      </c>
      <c r="H213" t="s">
        <v>48</v>
      </c>
      <c r="I213" t="s">
        <v>49</v>
      </c>
      <c r="J213" t="s">
        <v>50</v>
      </c>
      <c r="K213" t="s">
        <v>51</v>
      </c>
      <c r="L213" t="s">
        <v>51</v>
      </c>
      <c r="M213" t="s">
        <v>52</v>
      </c>
      <c r="N213" t="s">
        <v>129</v>
      </c>
      <c r="O213" t="s">
        <v>51</v>
      </c>
      <c r="P213" t="s">
        <v>51</v>
      </c>
      <c r="Q213" t="s">
        <v>51</v>
      </c>
      <c r="R213" t="s">
        <v>55</v>
      </c>
      <c r="S213" s="1">
        <v>3405335.61</v>
      </c>
      <c r="T213" s="1">
        <v>420931.44</v>
      </c>
      <c r="U213" s="1">
        <v>6857475.4400000004</v>
      </c>
      <c r="V213" s="1">
        <v>6436544</v>
      </c>
      <c r="W213" t="s">
        <v>51</v>
      </c>
      <c r="X213">
        <v>0</v>
      </c>
      <c r="Y213">
        <v>0</v>
      </c>
      <c r="Z213">
        <v>0</v>
      </c>
      <c r="AA213" s="14">
        <v>-158849929.86000001</v>
      </c>
      <c r="AB213" s="14">
        <v>-1377672894.5899999</v>
      </c>
      <c r="AC213">
        <v>0</v>
      </c>
      <c r="AD213">
        <v>0</v>
      </c>
      <c r="AE213">
        <v>3144093.62</v>
      </c>
      <c r="AF213">
        <v>3405335.61</v>
      </c>
      <c r="AG213">
        <v>0</v>
      </c>
      <c r="AH213" s="14">
        <v>0</v>
      </c>
      <c r="AI213">
        <v>0</v>
      </c>
      <c r="AJ213">
        <v>0</v>
      </c>
      <c r="AK213">
        <v>72884768814</v>
      </c>
      <c r="AL213">
        <v>72884769814</v>
      </c>
      <c r="AM213">
        <v>9430415.9800000004</v>
      </c>
      <c r="AN213">
        <v>9430415.9800000004</v>
      </c>
      <c r="AO213">
        <v>0</v>
      </c>
      <c r="AP213">
        <v>0</v>
      </c>
      <c r="AQ213" s="29">
        <f t="shared" si="3"/>
        <v>11.530308136553293</v>
      </c>
    </row>
    <row r="214" spans="2:43" x14ac:dyDescent="0.3">
      <c r="B214" t="s">
        <v>966</v>
      </c>
      <c r="C214" t="s">
        <v>1002</v>
      </c>
      <c r="D214" t="s">
        <v>1003</v>
      </c>
      <c r="E214" t="s">
        <v>1004</v>
      </c>
      <c r="F214" t="s">
        <v>46</v>
      </c>
      <c r="G214" t="s">
        <v>121</v>
      </c>
      <c r="H214" t="s">
        <v>60</v>
      </c>
      <c r="I214" t="s">
        <v>49</v>
      </c>
      <c r="J214" t="s">
        <v>373</v>
      </c>
      <c r="K214" t="s">
        <v>51</v>
      </c>
      <c r="L214" t="s">
        <v>51</v>
      </c>
      <c r="M214" t="s">
        <v>52</v>
      </c>
      <c r="N214" t="s">
        <v>1005</v>
      </c>
      <c r="O214" t="s">
        <v>54</v>
      </c>
      <c r="P214" t="s">
        <v>54</v>
      </c>
      <c r="Q214" t="s">
        <v>51</v>
      </c>
      <c r="R214" t="s">
        <v>66</v>
      </c>
      <c r="S214" s="1">
        <v>0</v>
      </c>
      <c r="T214" s="1">
        <v>52861102.710000001</v>
      </c>
      <c r="U214" s="1">
        <v>95956783.140000001</v>
      </c>
      <c r="V214" s="1">
        <v>3270932.2</v>
      </c>
      <c r="W214" t="s">
        <v>51</v>
      </c>
      <c r="X214">
        <v>218051.86</v>
      </c>
      <c r="Y214">
        <v>0</v>
      </c>
      <c r="Z214">
        <v>0</v>
      </c>
      <c r="AA214" s="14">
        <v>-6699565.6500000004</v>
      </c>
      <c r="AB214" s="14">
        <v>10426134.890000001</v>
      </c>
      <c r="AC214">
        <v>0</v>
      </c>
      <c r="AD214">
        <v>0</v>
      </c>
      <c r="AE214">
        <v>92913731.140000001</v>
      </c>
      <c r="AF214">
        <v>93252262.590000004</v>
      </c>
      <c r="AG214">
        <v>744686.26</v>
      </c>
      <c r="AH214" s="14">
        <v>744686.26</v>
      </c>
      <c r="AI214">
        <v>0</v>
      </c>
      <c r="AJ214">
        <v>0</v>
      </c>
      <c r="AK214">
        <v>199200</v>
      </c>
      <c r="AL214">
        <v>199200</v>
      </c>
      <c r="AM214">
        <v>15960044.109999999</v>
      </c>
      <c r="AN214">
        <v>15960044.109999999</v>
      </c>
      <c r="AO214">
        <v>0</v>
      </c>
      <c r="AP214">
        <v>0</v>
      </c>
      <c r="AQ214" s="29">
        <f t="shared" si="3"/>
        <v>-64.257423490902099</v>
      </c>
    </row>
    <row r="215" spans="2:43" x14ac:dyDescent="0.3">
      <c r="B215" t="s">
        <v>966</v>
      </c>
      <c r="C215" t="s">
        <v>1006</v>
      </c>
      <c r="D215" t="s">
        <v>1007</v>
      </c>
      <c r="E215" t="s">
        <v>1008</v>
      </c>
      <c r="F215" t="s">
        <v>70</v>
      </c>
      <c r="G215" t="s">
        <v>240</v>
      </c>
      <c r="H215" t="s">
        <v>60</v>
      </c>
      <c r="I215" t="s">
        <v>49</v>
      </c>
      <c r="J215" t="s">
        <v>50</v>
      </c>
      <c r="K215" t="s">
        <v>51</v>
      </c>
      <c r="L215" t="s">
        <v>51</v>
      </c>
      <c r="M215" t="s">
        <v>52</v>
      </c>
      <c r="N215" t="s">
        <v>66</v>
      </c>
      <c r="O215" t="s">
        <v>51</v>
      </c>
      <c r="P215" t="s">
        <v>51</v>
      </c>
      <c r="Q215" t="s">
        <v>51</v>
      </c>
      <c r="R215" t="s">
        <v>55</v>
      </c>
      <c r="S215" s="1">
        <v>20322.36</v>
      </c>
      <c r="T215" s="1">
        <v>0</v>
      </c>
      <c r="U215" s="1">
        <v>30000</v>
      </c>
      <c r="V215" s="1">
        <v>30000</v>
      </c>
      <c r="W215" t="s">
        <v>51</v>
      </c>
      <c r="X215">
        <v>0</v>
      </c>
      <c r="Y215">
        <v>0</v>
      </c>
      <c r="Z215">
        <v>0</v>
      </c>
      <c r="AA215" s="14">
        <v>-144237772.69999999</v>
      </c>
      <c r="AB215" s="14">
        <v>-811391180.75</v>
      </c>
      <c r="AC215">
        <v>0</v>
      </c>
      <c r="AD215">
        <v>0</v>
      </c>
      <c r="AE215">
        <v>14851.29</v>
      </c>
      <c r="AF215">
        <v>20322.36</v>
      </c>
      <c r="AG215">
        <v>0</v>
      </c>
      <c r="AH215" s="14">
        <v>0</v>
      </c>
      <c r="AI215">
        <v>0</v>
      </c>
      <c r="AJ215">
        <v>0</v>
      </c>
      <c r="AK215">
        <v>9818650394</v>
      </c>
      <c r="AL215">
        <v>9818650394</v>
      </c>
      <c r="AM215">
        <v>4128123850.7399998</v>
      </c>
      <c r="AN215">
        <v>4128123850.7399998</v>
      </c>
      <c r="AO215">
        <v>0</v>
      </c>
      <c r="AP215">
        <v>0</v>
      </c>
      <c r="AQ215" s="29">
        <f t="shared" si="3"/>
        <v>17.776600993700164</v>
      </c>
    </row>
    <row r="216" spans="2:43" x14ac:dyDescent="0.3">
      <c r="B216" t="s">
        <v>966</v>
      </c>
      <c r="C216" t="s">
        <v>1009</v>
      </c>
      <c r="D216" t="s">
        <v>1010</v>
      </c>
      <c r="E216" t="s">
        <v>1011</v>
      </c>
      <c r="F216" t="s">
        <v>46</v>
      </c>
      <c r="G216" t="s">
        <v>102</v>
      </c>
      <c r="H216" t="s">
        <v>48</v>
      </c>
      <c r="I216" t="s">
        <v>49</v>
      </c>
      <c r="J216" t="s">
        <v>50</v>
      </c>
      <c r="K216" t="s">
        <v>51</v>
      </c>
      <c r="L216" t="s">
        <v>51</v>
      </c>
      <c r="M216" t="s">
        <v>52</v>
      </c>
      <c r="N216" t="s">
        <v>1012</v>
      </c>
      <c r="O216" t="s">
        <v>54</v>
      </c>
      <c r="P216" t="s">
        <v>54</v>
      </c>
      <c r="Q216" t="s">
        <v>51</v>
      </c>
      <c r="R216" t="s">
        <v>66</v>
      </c>
      <c r="S216" s="1">
        <v>0</v>
      </c>
      <c r="T216" s="1">
        <v>39507361.100000001</v>
      </c>
      <c r="U216" s="1">
        <v>73119761.590000004</v>
      </c>
      <c r="V216" s="1">
        <v>3340033.33</v>
      </c>
      <c r="W216" t="s">
        <v>51</v>
      </c>
      <c r="X216">
        <v>341285.51</v>
      </c>
      <c r="Y216">
        <v>0</v>
      </c>
      <c r="Z216">
        <v>0</v>
      </c>
      <c r="AA216" s="14">
        <v>0</v>
      </c>
      <c r="AB216" s="14">
        <v>8769758.0399999991</v>
      </c>
      <c r="AC216">
        <v>0</v>
      </c>
      <c r="AD216">
        <v>0</v>
      </c>
      <c r="AE216">
        <v>69922726000</v>
      </c>
      <c r="AF216">
        <v>59778621</v>
      </c>
      <c r="AG216">
        <v>0</v>
      </c>
      <c r="AH216" s="14">
        <v>0</v>
      </c>
      <c r="AI216">
        <v>0</v>
      </c>
      <c r="AJ216">
        <v>0</v>
      </c>
      <c r="AK216">
        <v>0</v>
      </c>
      <c r="AL216">
        <v>0</v>
      </c>
      <c r="AM216">
        <v>811974.32</v>
      </c>
      <c r="AN216">
        <v>811974.32</v>
      </c>
      <c r="AO216">
        <v>0</v>
      </c>
      <c r="AP216">
        <v>0</v>
      </c>
      <c r="AQ216" s="29">
        <f t="shared" si="3"/>
        <v>0</v>
      </c>
    </row>
    <row r="217" spans="2:43" x14ac:dyDescent="0.3">
      <c r="B217" t="s">
        <v>966</v>
      </c>
      <c r="C217" t="s">
        <v>1013</v>
      </c>
      <c r="D217" t="s">
        <v>1014</v>
      </c>
      <c r="E217" t="s">
        <v>1015</v>
      </c>
      <c r="F217" t="s">
        <v>46</v>
      </c>
      <c r="G217" t="s">
        <v>240</v>
      </c>
      <c r="H217" t="s">
        <v>60</v>
      </c>
      <c r="I217" t="s">
        <v>49</v>
      </c>
      <c r="J217" t="s">
        <v>50</v>
      </c>
      <c r="K217" t="s">
        <v>51</v>
      </c>
      <c r="L217" t="s">
        <v>54</v>
      </c>
      <c r="M217" t="s">
        <v>52</v>
      </c>
      <c r="N217" t="s">
        <v>1016</v>
      </c>
      <c r="O217" t="s">
        <v>54</v>
      </c>
      <c r="P217" t="s">
        <v>54</v>
      </c>
      <c r="Q217" t="s">
        <v>54</v>
      </c>
      <c r="R217" t="s">
        <v>1017</v>
      </c>
      <c r="S217" s="1">
        <v>121351000</v>
      </c>
      <c r="T217" s="1">
        <v>1272508.76</v>
      </c>
      <c r="U217" s="1">
        <v>110346377.89</v>
      </c>
      <c r="V217" s="1">
        <v>0</v>
      </c>
      <c r="W217" t="s">
        <v>51</v>
      </c>
      <c r="X217">
        <v>283790.28999999998</v>
      </c>
      <c r="Y217">
        <v>0</v>
      </c>
      <c r="Z217">
        <v>882707.9</v>
      </c>
      <c r="AA217" s="14">
        <v>-7474347</v>
      </c>
      <c r="AB217" s="14">
        <v>79205000</v>
      </c>
      <c r="AC217">
        <v>0</v>
      </c>
      <c r="AD217">
        <v>0</v>
      </c>
      <c r="AE217">
        <v>69793000</v>
      </c>
      <c r="AF217">
        <v>117452000</v>
      </c>
      <c r="AG217">
        <v>0</v>
      </c>
      <c r="AH217" s="14">
        <v>0</v>
      </c>
      <c r="AI217">
        <v>0</v>
      </c>
      <c r="AJ217">
        <v>0</v>
      </c>
      <c r="AK217">
        <v>9818650394</v>
      </c>
      <c r="AL217">
        <v>9818650394</v>
      </c>
      <c r="AM217">
        <v>5653397155.3599997</v>
      </c>
      <c r="AN217">
        <v>5653397155.3599997</v>
      </c>
      <c r="AO217">
        <v>0</v>
      </c>
      <c r="AP217">
        <v>0</v>
      </c>
      <c r="AQ217" s="29">
        <f t="shared" si="3"/>
        <v>-9.4367110662205675</v>
      </c>
    </row>
    <row r="218" spans="2:43" x14ac:dyDescent="0.3">
      <c r="B218" t="s">
        <v>966</v>
      </c>
      <c r="C218" t="s">
        <v>1018</v>
      </c>
      <c r="D218" t="s">
        <v>1019</v>
      </c>
      <c r="E218" t="s">
        <v>1020</v>
      </c>
      <c r="F218" t="s">
        <v>46</v>
      </c>
      <c r="G218" t="s">
        <v>162</v>
      </c>
      <c r="H218" t="s">
        <v>48</v>
      </c>
      <c r="I218" t="s">
        <v>76</v>
      </c>
      <c r="J218" t="s">
        <v>50</v>
      </c>
      <c r="K218" t="s">
        <v>51</v>
      </c>
      <c r="L218" t="s">
        <v>51</v>
      </c>
      <c r="M218" t="s">
        <v>52</v>
      </c>
      <c r="N218" t="s">
        <v>94</v>
      </c>
      <c r="O218" t="s">
        <v>54</v>
      </c>
      <c r="P218" t="s">
        <v>54</v>
      </c>
      <c r="Q218" t="s">
        <v>51</v>
      </c>
      <c r="R218" t="s">
        <v>976</v>
      </c>
      <c r="S218" s="1">
        <v>7576.54</v>
      </c>
      <c r="T218" s="1">
        <v>7282708.46</v>
      </c>
      <c r="U218" s="1">
        <v>11024438.029999999</v>
      </c>
      <c r="V218" s="1">
        <v>0</v>
      </c>
      <c r="W218" t="s">
        <v>51</v>
      </c>
      <c r="X218">
        <v>247837.62</v>
      </c>
      <c r="Y218">
        <v>0</v>
      </c>
      <c r="Z218">
        <v>5692.5</v>
      </c>
      <c r="AA218" s="14">
        <v>1993742.53</v>
      </c>
      <c r="AB218" s="14">
        <v>2820166.8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16465899250</v>
      </c>
      <c r="AL218">
        <v>164658992.5</v>
      </c>
      <c r="AM218">
        <v>8561991.9700000007</v>
      </c>
      <c r="AN218">
        <v>8561991.9700000007</v>
      </c>
      <c r="AO218">
        <v>0</v>
      </c>
      <c r="AP218">
        <v>0</v>
      </c>
      <c r="AQ218" s="29">
        <f t="shared" si="3"/>
        <v>70.695908128554677</v>
      </c>
    </row>
    <row r="219" spans="2:43" x14ac:dyDescent="0.3">
      <c r="B219" t="s">
        <v>966</v>
      </c>
      <c r="C219" t="s">
        <v>1021</v>
      </c>
      <c r="D219" t="s">
        <v>1022</v>
      </c>
      <c r="E219" t="s">
        <v>1023</v>
      </c>
      <c r="F219" t="s">
        <v>46</v>
      </c>
      <c r="G219" t="s">
        <v>71</v>
      </c>
      <c r="H219" t="s">
        <v>60</v>
      </c>
      <c r="I219" t="s">
        <v>49</v>
      </c>
      <c r="J219" t="s">
        <v>50</v>
      </c>
      <c r="K219" t="s">
        <v>51</v>
      </c>
      <c r="L219" t="s">
        <v>51</v>
      </c>
      <c r="M219" t="s">
        <v>134</v>
      </c>
      <c r="N219" t="s">
        <v>1024</v>
      </c>
      <c r="O219" t="s">
        <v>54</v>
      </c>
      <c r="P219" t="s">
        <v>54</v>
      </c>
      <c r="Q219" t="s">
        <v>54</v>
      </c>
      <c r="R219" t="s">
        <v>55</v>
      </c>
      <c r="S219" s="1">
        <v>65938099.520000003</v>
      </c>
      <c r="T219" s="1">
        <v>39962417.390000001</v>
      </c>
      <c r="U219" s="1">
        <v>119666243.77</v>
      </c>
      <c r="V219" s="1">
        <v>587036.36</v>
      </c>
      <c r="W219" t="s">
        <v>54</v>
      </c>
      <c r="X219">
        <v>326969.03000000003</v>
      </c>
      <c r="Y219">
        <v>3031.64</v>
      </c>
      <c r="Z219">
        <v>45854.15</v>
      </c>
      <c r="AA219" s="14">
        <v>6757408.4400000004</v>
      </c>
      <c r="AB219" s="14">
        <v>543394273.66999996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170866736</v>
      </c>
      <c r="AL219">
        <v>170866736</v>
      </c>
      <c r="AM219">
        <v>532381308.81</v>
      </c>
      <c r="AN219">
        <v>536345216.19999999</v>
      </c>
      <c r="AO219">
        <v>0</v>
      </c>
      <c r="AP219">
        <v>0</v>
      </c>
      <c r="AQ219" s="29">
        <f t="shared" si="3"/>
        <v>1.2435553275822213</v>
      </c>
    </row>
    <row r="220" spans="2:43" x14ac:dyDescent="0.3">
      <c r="B220" t="s">
        <v>966</v>
      </c>
      <c r="C220" t="s">
        <v>1025</v>
      </c>
      <c r="D220" t="s">
        <v>1026</v>
      </c>
      <c r="E220" t="s">
        <v>1027</v>
      </c>
      <c r="F220" t="s">
        <v>70</v>
      </c>
      <c r="G220" t="s">
        <v>71</v>
      </c>
      <c r="H220" t="s">
        <v>60</v>
      </c>
      <c r="I220" t="s">
        <v>49</v>
      </c>
      <c r="J220" t="s">
        <v>50</v>
      </c>
      <c r="K220" t="s">
        <v>51</v>
      </c>
      <c r="L220" t="s">
        <v>51</v>
      </c>
      <c r="M220" t="s">
        <v>134</v>
      </c>
      <c r="N220" t="s">
        <v>125</v>
      </c>
      <c r="O220" t="s">
        <v>51</v>
      </c>
      <c r="P220" t="s">
        <v>51</v>
      </c>
      <c r="Q220" t="s">
        <v>51</v>
      </c>
      <c r="R220" t="s">
        <v>976</v>
      </c>
      <c r="S220" s="1">
        <v>15667.76</v>
      </c>
      <c r="T220" s="1">
        <v>153069.57999999999</v>
      </c>
      <c r="U220" s="1">
        <v>246394.78</v>
      </c>
      <c r="V220" s="1">
        <v>0</v>
      </c>
      <c r="W220" t="s">
        <v>51</v>
      </c>
      <c r="X220">
        <v>64000</v>
      </c>
      <c r="Y220">
        <v>0</v>
      </c>
      <c r="Z220">
        <v>0</v>
      </c>
      <c r="AA220" s="14">
        <v>-230727.02</v>
      </c>
      <c r="AB220" s="14">
        <v>1318192.05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59451621559</v>
      </c>
      <c r="AL220">
        <v>59451621559</v>
      </c>
      <c r="AM220">
        <v>158987017.12</v>
      </c>
      <c r="AN220">
        <v>158987017.12</v>
      </c>
      <c r="AO220">
        <v>0</v>
      </c>
      <c r="AP220">
        <v>0</v>
      </c>
      <c r="AQ220" s="29">
        <f t="shared" si="3"/>
        <v>-17.50329324167901</v>
      </c>
    </row>
    <row r="221" spans="2:43" x14ac:dyDescent="0.3">
      <c r="B221" t="s">
        <v>966</v>
      </c>
      <c r="C221" t="s">
        <v>1028</v>
      </c>
      <c r="D221" t="s">
        <v>1029</v>
      </c>
      <c r="E221" t="s">
        <v>1030</v>
      </c>
      <c r="F221" t="s">
        <v>46</v>
      </c>
      <c r="G221" t="s">
        <v>107</v>
      </c>
      <c r="H221" t="s">
        <v>60</v>
      </c>
      <c r="I221" t="s">
        <v>49</v>
      </c>
      <c r="J221" t="s">
        <v>373</v>
      </c>
      <c r="K221" t="s">
        <v>51</v>
      </c>
      <c r="L221" t="s">
        <v>51</v>
      </c>
      <c r="M221" t="s">
        <v>134</v>
      </c>
      <c r="N221" t="s">
        <v>1031</v>
      </c>
      <c r="O221" t="s">
        <v>54</v>
      </c>
      <c r="P221" t="s">
        <v>54</v>
      </c>
      <c r="Q221" t="s">
        <v>54</v>
      </c>
      <c r="R221" t="s">
        <v>1032</v>
      </c>
      <c r="S221" s="1">
        <v>2450190000</v>
      </c>
      <c r="T221" s="1">
        <v>636118000</v>
      </c>
      <c r="U221" s="1">
        <v>2005934000</v>
      </c>
      <c r="V221" s="1">
        <v>18613000</v>
      </c>
      <c r="W221" t="s">
        <v>54</v>
      </c>
      <c r="X221">
        <v>1465242.19</v>
      </c>
      <c r="Y221">
        <v>9000</v>
      </c>
      <c r="Z221">
        <v>0</v>
      </c>
      <c r="AA221" s="14">
        <v>708756000</v>
      </c>
      <c r="AB221" s="14">
        <v>6138024000</v>
      </c>
      <c r="AC221">
        <v>0</v>
      </c>
      <c r="AD221">
        <v>256903.11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629069118</v>
      </c>
      <c r="AL221">
        <v>629069118</v>
      </c>
      <c r="AM221">
        <v>4027559713.0300002</v>
      </c>
      <c r="AN221">
        <v>4027559713.0300002</v>
      </c>
      <c r="AO221">
        <v>0</v>
      </c>
      <c r="AP221">
        <v>0</v>
      </c>
      <c r="AQ221" s="29">
        <f t="shared" si="3"/>
        <v>11.546973423368824</v>
      </c>
    </row>
    <row r="222" spans="2:43" x14ac:dyDescent="0.3">
      <c r="B222" t="s">
        <v>966</v>
      </c>
      <c r="C222" t="s">
        <v>1033</v>
      </c>
      <c r="D222" t="s">
        <v>1034</v>
      </c>
      <c r="E222" t="s">
        <v>1035</v>
      </c>
      <c r="F222" t="s">
        <v>70</v>
      </c>
      <c r="G222" t="s">
        <v>409</v>
      </c>
      <c r="H222" t="s">
        <v>60</v>
      </c>
      <c r="I222" t="s">
        <v>49</v>
      </c>
      <c r="J222" t="s">
        <v>50</v>
      </c>
      <c r="K222" t="s">
        <v>51</v>
      </c>
      <c r="L222" t="s">
        <v>51</v>
      </c>
      <c r="M222" s="11" t="s">
        <v>134</v>
      </c>
      <c r="N222" t="s">
        <v>66</v>
      </c>
      <c r="O222" t="s">
        <v>51</v>
      </c>
      <c r="P222" t="s">
        <v>51</v>
      </c>
      <c r="Q222" t="s">
        <v>51</v>
      </c>
      <c r="R222" t="s">
        <v>972</v>
      </c>
      <c r="S222" s="1">
        <v>754</v>
      </c>
      <c r="T222" s="1">
        <v>0</v>
      </c>
      <c r="U222" s="1">
        <v>754</v>
      </c>
      <c r="V222" s="1">
        <v>0</v>
      </c>
      <c r="W222" t="s">
        <v>51</v>
      </c>
      <c r="X222">
        <v>0</v>
      </c>
      <c r="Y222">
        <v>0</v>
      </c>
      <c r="Z222">
        <v>0</v>
      </c>
      <c r="AA222" s="14">
        <v>0</v>
      </c>
      <c r="AB222" s="14">
        <v>82.93</v>
      </c>
      <c r="AC222">
        <v>0</v>
      </c>
      <c r="AD222">
        <v>0</v>
      </c>
      <c r="AE222">
        <v>720</v>
      </c>
      <c r="AF222" s="14">
        <v>754</v>
      </c>
      <c r="AG222">
        <v>0</v>
      </c>
      <c r="AH222" s="14">
        <v>0</v>
      </c>
      <c r="AI222">
        <v>0</v>
      </c>
      <c r="AJ222">
        <v>0</v>
      </c>
      <c r="AK222">
        <v>376092373</v>
      </c>
      <c r="AL222">
        <v>3760923.73</v>
      </c>
      <c r="AM222">
        <v>9225032.8100000005</v>
      </c>
      <c r="AN222">
        <v>9225032.8100000005</v>
      </c>
      <c r="AO222">
        <v>0</v>
      </c>
      <c r="AP222">
        <v>0</v>
      </c>
      <c r="AQ222" s="29">
        <f t="shared" si="3"/>
        <v>0</v>
      </c>
    </row>
    <row r="223" spans="2:43" x14ac:dyDescent="0.3">
      <c r="B223" t="s">
        <v>966</v>
      </c>
      <c r="C223" t="s">
        <v>1036</v>
      </c>
      <c r="D223" t="s">
        <v>1037</v>
      </c>
      <c r="E223" t="s">
        <v>1038</v>
      </c>
      <c r="F223" t="s">
        <v>70</v>
      </c>
      <c r="G223" t="s">
        <v>71</v>
      </c>
      <c r="H223" t="s">
        <v>60</v>
      </c>
      <c r="I223" t="s">
        <v>49</v>
      </c>
      <c r="J223" t="s">
        <v>50</v>
      </c>
      <c r="K223" t="s">
        <v>51</v>
      </c>
      <c r="L223" t="s">
        <v>51</v>
      </c>
      <c r="M223" t="s">
        <v>134</v>
      </c>
      <c r="N223" t="s">
        <v>66</v>
      </c>
      <c r="O223" t="s">
        <v>51</v>
      </c>
      <c r="P223" t="s">
        <v>51</v>
      </c>
      <c r="Q223" t="s">
        <v>51</v>
      </c>
      <c r="R223" t="s">
        <v>66</v>
      </c>
      <c r="S223" s="1">
        <v>0</v>
      </c>
      <c r="T223" s="1">
        <v>0</v>
      </c>
      <c r="U223" s="1">
        <v>2196.08</v>
      </c>
      <c r="V223" s="1">
        <v>0</v>
      </c>
      <c r="W223" t="s">
        <v>51</v>
      </c>
      <c r="X223">
        <v>0</v>
      </c>
      <c r="Y223">
        <v>0</v>
      </c>
      <c r="Z223">
        <v>0</v>
      </c>
      <c r="AA223" s="14">
        <v>-2196.08</v>
      </c>
      <c r="AB223" s="14">
        <v>-174637.05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4729443</v>
      </c>
      <c r="AL223">
        <v>47294.43</v>
      </c>
      <c r="AM223">
        <v>4729443</v>
      </c>
      <c r="AN223">
        <v>4729443</v>
      </c>
      <c r="AO223">
        <v>0</v>
      </c>
      <c r="AP223">
        <v>0</v>
      </c>
      <c r="AQ223" s="29">
        <f t="shared" si="3"/>
        <v>1.2575109348216773</v>
      </c>
    </row>
    <row r="224" spans="2:43" x14ac:dyDescent="0.3">
      <c r="B224" t="s">
        <v>966</v>
      </c>
      <c r="C224" t="s">
        <v>1039</v>
      </c>
      <c r="D224" t="s">
        <v>1040</v>
      </c>
      <c r="E224" t="s">
        <v>1041</v>
      </c>
      <c r="F224" t="s">
        <v>70</v>
      </c>
      <c r="G224" t="s">
        <v>71</v>
      </c>
      <c r="H224" t="s">
        <v>60</v>
      </c>
      <c r="I224" t="s">
        <v>49</v>
      </c>
      <c r="J224" t="s">
        <v>50</v>
      </c>
      <c r="K224" t="s">
        <v>51</v>
      </c>
      <c r="L224" t="s">
        <v>51</v>
      </c>
      <c r="M224" t="s">
        <v>134</v>
      </c>
      <c r="N224" t="s">
        <v>66</v>
      </c>
      <c r="O224" t="s">
        <v>51</v>
      </c>
      <c r="P224" t="s">
        <v>51</v>
      </c>
      <c r="Q224" t="s">
        <v>51</v>
      </c>
      <c r="R224" t="s">
        <v>972</v>
      </c>
      <c r="S224" s="1">
        <v>48288.35</v>
      </c>
      <c r="T224" s="1">
        <v>0</v>
      </c>
      <c r="U224" s="1">
        <v>69154.600000000006</v>
      </c>
      <c r="V224" s="1">
        <v>0</v>
      </c>
      <c r="W224" t="s">
        <v>51</v>
      </c>
      <c r="X224">
        <v>0</v>
      </c>
      <c r="Y224">
        <v>0</v>
      </c>
      <c r="Z224">
        <v>0</v>
      </c>
      <c r="AA224" s="14">
        <v>-20866.25</v>
      </c>
      <c r="AB224" s="14">
        <v>719067.5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67419895</v>
      </c>
      <c r="AL224">
        <v>674198.95</v>
      </c>
      <c r="AM224">
        <v>11467019.41</v>
      </c>
      <c r="AN224">
        <v>11467019.41</v>
      </c>
      <c r="AO224">
        <v>0</v>
      </c>
      <c r="AP224">
        <v>0</v>
      </c>
      <c r="AQ224" s="29">
        <f t="shared" si="3"/>
        <v>-2.9018485747165599</v>
      </c>
    </row>
    <row r="225" spans="2:43" x14ac:dyDescent="0.3">
      <c r="B225" t="s">
        <v>966</v>
      </c>
      <c r="C225" t="s">
        <v>1042</v>
      </c>
      <c r="D225" t="s">
        <v>1043</v>
      </c>
      <c r="E225" t="s">
        <v>1044</v>
      </c>
      <c r="F225" t="s">
        <v>46</v>
      </c>
      <c r="G225" t="s">
        <v>150</v>
      </c>
      <c r="H225" t="s">
        <v>48</v>
      </c>
      <c r="I225" t="s">
        <v>76</v>
      </c>
      <c r="J225" t="s">
        <v>50</v>
      </c>
      <c r="K225" t="s">
        <v>51</v>
      </c>
      <c r="L225" t="s">
        <v>51</v>
      </c>
      <c r="M225" t="s">
        <v>134</v>
      </c>
      <c r="N225" t="s">
        <v>1045</v>
      </c>
      <c r="O225" t="s">
        <v>54</v>
      </c>
      <c r="P225" t="s">
        <v>54</v>
      </c>
      <c r="Q225" t="s">
        <v>54</v>
      </c>
      <c r="R225" t="s">
        <v>55</v>
      </c>
      <c r="S225" s="1">
        <v>19849043.579999998</v>
      </c>
      <c r="T225" s="1">
        <v>19615380.280000001</v>
      </c>
      <c r="U225" s="1">
        <v>29428238.149999999</v>
      </c>
      <c r="V225" s="1">
        <v>0</v>
      </c>
      <c r="W225" t="s">
        <v>51</v>
      </c>
      <c r="X225">
        <v>0</v>
      </c>
      <c r="Y225">
        <v>0</v>
      </c>
      <c r="Z225">
        <v>0</v>
      </c>
      <c r="AA225" s="14">
        <v>-18820792.239999998</v>
      </c>
      <c r="AB225" s="14">
        <v>64381169.649999999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99385118.920000002</v>
      </c>
      <c r="AN225">
        <v>99385118.920000002</v>
      </c>
      <c r="AO225">
        <v>0</v>
      </c>
      <c r="AP225">
        <v>0</v>
      </c>
      <c r="AQ225" s="29">
        <f t="shared" si="3"/>
        <v>-29.233380415914823</v>
      </c>
    </row>
    <row r="226" spans="2:43" x14ac:dyDescent="0.3">
      <c r="B226" t="s">
        <v>1046</v>
      </c>
      <c r="C226" t="s">
        <v>1047</v>
      </c>
      <c r="D226" t="s">
        <v>303</v>
      </c>
      <c r="E226" t="s">
        <v>1048</v>
      </c>
      <c r="F226" t="s">
        <v>46</v>
      </c>
      <c r="G226" t="s">
        <v>75</v>
      </c>
      <c r="H226" t="s">
        <v>60</v>
      </c>
      <c r="I226" t="s">
        <v>49</v>
      </c>
      <c r="J226" t="s">
        <v>50</v>
      </c>
      <c r="K226" t="s">
        <v>51</v>
      </c>
      <c r="L226" t="s">
        <v>51</v>
      </c>
      <c r="M226" t="s">
        <v>52</v>
      </c>
      <c r="N226" t="s">
        <v>163</v>
      </c>
      <c r="O226" t="s">
        <v>54</v>
      </c>
      <c r="P226" t="s">
        <v>54</v>
      </c>
      <c r="Q226" t="s">
        <v>51</v>
      </c>
      <c r="R226" t="s">
        <v>1049</v>
      </c>
      <c r="S226" s="1">
        <v>3481874</v>
      </c>
      <c r="T226" s="1">
        <v>13052918.939999999</v>
      </c>
      <c r="U226" s="1">
        <v>14623817.35</v>
      </c>
      <c r="V226" s="1">
        <v>1009798.97</v>
      </c>
      <c r="W226" t="s">
        <v>51</v>
      </c>
      <c r="X226">
        <v>346530.71</v>
      </c>
      <c r="Y226">
        <v>0</v>
      </c>
      <c r="Z226">
        <v>4574.04</v>
      </c>
      <c r="AA226" s="14">
        <v>28487</v>
      </c>
      <c r="AB226" s="14">
        <v>2519513</v>
      </c>
      <c r="AC226">
        <v>0</v>
      </c>
      <c r="AD226">
        <v>0</v>
      </c>
      <c r="AE226">
        <v>8849565</v>
      </c>
      <c r="AF226">
        <v>128110.1</v>
      </c>
      <c r="AG226">
        <v>0</v>
      </c>
      <c r="AH226" s="14">
        <v>1523104.31</v>
      </c>
      <c r="AI226">
        <v>0</v>
      </c>
      <c r="AJ226">
        <v>0</v>
      </c>
      <c r="AK226">
        <v>99954</v>
      </c>
      <c r="AL226">
        <v>99954</v>
      </c>
      <c r="AM226">
        <v>2165209</v>
      </c>
      <c r="AN226">
        <v>2165209</v>
      </c>
      <c r="AO226">
        <v>0</v>
      </c>
      <c r="AP226">
        <v>0</v>
      </c>
      <c r="AQ226" s="29">
        <f t="shared" si="3"/>
        <v>1.1306550115042073</v>
      </c>
    </row>
    <row r="227" spans="2:43" x14ac:dyDescent="0.3">
      <c r="B227" t="s">
        <v>1046</v>
      </c>
      <c r="C227" t="s">
        <v>1050</v>
      </c>
      <c r="D227" t="s">
        <v>816</v>
      </c>
      <c r="E227" t="s">
        <v>1051</v>
      </c>
      <c r="F227" t="s">
        <v>46</v>
      </c>
      <c r="G227" t="s">
        <v>93</v>
      </c>
      <c r="H227" t="s">
        <v>60</v>
      </c>
      <c r="I227" t="s">
        <v>76</v>
      </c>
      <c r="J227" t="s">
        <v>50</v>
      </c>
      <c r="K227" t="s">
        <v>51</v>
      </c>
      <c r="L227" t="s">
        <v>51</v>
      </c>
      <c r="M227" t="s">
        <v>52</v>
      </c>
      <c r="N227" t="s">
        <v>1052</v>
      </c>
      <c r="O227" t="s">
        <v>54</v>
      </c>
      <c r="P227" t="s">
        <v>54</v>
      </c>
      <c r="Q227" t="s">
        <v>51</v>
      </c>
      <c r="R227" t="s">
        <v>1053</v>
      </c>
      <c r="S227" s="1">
        <v>7595584.6299999999</v>
      </c>
      <c r="T227" s="1">
        <v>1736730.4</v>
      </c>
      <c r="U227" s="1">
        <v>6018770.0700000003</v>
      </c>
      <c r="V227" s="1">
        <v>0</v>
      </c>
      <c r="W227" t="s">
        <v>51</v>
      </c>
      <c r="X227">
        <v>79311.570000000007</v>
      </c>
      <c r="Y227">
        <v>0</v>
      </c>
      <c r="Z227">
        <v>22880</v>
      </c>
      <c r="AA227" s="14">
        <v>0</v>
      </c>
      <c r="AB227" s="14">
        <v>5362965.79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3147492.01</v>
      </c>
      <c r="AP227">
        <v>3147492.01</v>
      </c>
      <c r="AQ227" s="29">
        <f t="shared" si="3"/>
        <v>0</v>
      </c>
    </row>
    <row r="228" spans="2:43" x14ac:dyDescent="0.3">
      <c r="B228" t="s">
        <v>1046</v>
      </c>
      <c r="C228" t="s">
        <v>1054</v>
      </c>
      <c r="D228" t="s">
        <v>1055</v>
      </c>
      <c r="E228" t="s">
        <v>1056</v>
      </c>
      <c r="F228" t="s">
        <v>46</v>
      </c>
      <c r="G228" t="s">
        <v>47</v>
      </c>
      <c r="H228" t="s">
        <v>60</v>
      </c>
      <c r="I228" t="s">
        <v>49</v>
      </c>
      <c r="J228" t="s">
        <v>50</v>
      </c>
      <c r="K228" t="s">
        <v>51</v>
      </c>
      <c r="L228" t="s">
        <v>51</v>
      </c>
      <c r="M228" t="s">
        <v>52</v>
      </c>
      <c r="N228" t="s">
        <v>1057</v>
      </c>
      <c r="O228" t="s">
        <v>54</v>
      </c>
      <c r="P228" t="s">
        <v>54</v>
      </c>
      <c r="Q228" t="s">
        <v>51</v>
      </c>
      <c r="R228" t="s">
        <v>1058</v>
      </c>
      <c r="S228" s="1">
        <v>168526</v>
      </c>
      <c r="T228" s="1">
        <v>2874592.67</v>
      </c>
      <c r="U228" s="1">
        <v>4073300.85</v>
      </c>
      <c r="V228" s="1">
        <v>0</v>
      </c>
      <c r="W228" t="s">
        <v>51</v>
      </c>
      <c r="X228">
        <v>152676.14000000001</v>
      </c>
      <c r="Y228">
        <v>0</v>
      </c>
      <c r="Z228">
        <v>0</v>
      </c>
      <c r="AA228" s="14">
        <v>-923250</v>
      </c>
      <c r="AB228" s="14">
        <v>209165606</v>
      </c>
      <c r="AC228">
        <v>0</v>
      </c>
      <c r="AD228">
        <v>0</v>
      </c>
      <c r="AE228">
        <v>3262928</v>
      </c>
      <c r="AF228">
        <v>2942959</v>
      </c>
      <c r="AG228">
        <v>3262928</v>
      </c>
      <c r="AH228" s="14">
        <v>2942959</v>
      </c>
      <c r="AI228">
        <v>310725618</v>
      </c>
      <c r="AJ228">
        <v>310725618</v>
      </c>
      <c r="AK228">
        <v>1954853</v>
      </c>
      <c r="AL228">
        <v>1954853</v>
      </c>
      <c r="AM228">
        <v>1954853</v>
      </c>
      <c r="AN228">
        <v>1954853</v>
      </c>
      <c r="AO228">
        <v>0</v>
      </c>
      <c r="AP228">
        <v>0</v>
      </c>
      <c r="AQ228" s="29">
        <f t="shared" si="3"/>
        <v>-0.44139666059629323</v>
      </c>
    </row>
    <row r="229" spans="2:43" x14ac:dyDescent="0.3">
      <c r="B229" t="s">
        <v>1046</v>
      </c>
      <c r="C229" t="s">
        <v>1059</v>
      </c>
      <c r="D229" t="s">
        <v>1060</v>
      </c>
      <c r="E229" t="s">
        <v>1061</v>
      </c>
      <c r="F229" t="s">
        <v>46</v>
      </c>
      <c r="G229" t="s">
        <v>102</v>
      </c>
      <c r="H229" t="s">
        <v>48</v>
      </c>
      <c r="I229" t="s">
        <v>49</v>
      </c>
      <c r="J229" t="s">
        <v>50</v>
      </c>
      <c r="K229" t="s">
        <v>51</v>
      </c>
      <c r="L229" t="s">
        <v>51</v>
      </c>
      <c r="M229" t="s">
        <v>52</v>
      </c>
      <c r="N229" t="s">
        <v>1062</v>
      </c>
      <c r="O229" t="s">
        <v>54</v>
      </c>
      <c r="P229" t="s">
        <v>54</v>
      </c>
      <c r="Q229" t="s">
        <v>51</v>
      </c>
      <c r="R229" t="s">
        <v>55</v>
      </c>
      <c r="S229" s="1">
        <v>1031029</v>
      </c>
      <c r="T229" s="1">
        <v>16437274.029999999</v>
      </c>
      <c r="U229" s="1">
        <v>19443754.57</v>
      </c>
      <c r="V229" s="1">
        <v>0</v>
      </c>
      <c r="W229" t="s">
        <v>51</v>
      </c>
      <c r="X229">
        <v>264916.24</v>
      </c>
      <c r="Y229">
        <v>0</v>
      </c>
      <c r="Z229">
        <v>56557.18</v>
      </c>
      <c r="AA229" s="14">
        <v>-12057808</v>
      </c>
      <c r="AB229" s="14">
        <v>1895913</v>
      </c>
      <c r="AC229">
        <v>0</v>
      </c>
      <c r="AD229">
        <v>0</v>
      </c>
      <c r="AE229">
        <v>18855734</v>
      </c>
      <c r="AF229">
        <v>16274846</v>
      </c>
      <c r="AG229">
        <v>18855734</v>
      </c>
      <c r="AH229" s="14">
        <v>16274846</v>
      </c>
      <c r="AI229">
        <v>0</v>
      </c>
      <c r="AJ229">
        <v>0</v>
      </c>
      <c r="AK229">
        <v>1693900</v>
      </c>
      <c r="AL229">
        <v>1693900</v>
      </c>
      <c r="AM229">
        <v>1693900</v>
      </c>
      <c r="AN229">
        <v>1693900</v>
      </c>
      <c r="AO229">
        <v>202013</v>
      </c>
      <c r="AP229">
        <v>202013</v>
      </c>
      <c r="AQ229" s="29">
        <f t="shared" si="3"/>
        <v>-635.98952061618866</v>
      </c>
    </row>
    <row r="230" spans="2:43" x14ac:dyDescent="0.3">
      <c r="B230" t="s">
        <v>1046</v>
      </c>
      <c r="C230" t="s">
        <v>1063</v>
      </c>
      <c r="D230" t="s">
        <v>1064</v>
      </c>
      <c r="E230" t="s">
        <v>1065</v>
      </c>
      <c r="F230" t="s">
        <v>46</v>
      </c>
      <c r="G230" t="s">
        <v>162</v>
      </c>
      <c r="H230" t="s">
        <v>60</v>
      </c>
      <c r="I230" t="s">
        <v>49</v>
      </c>
      <c r="J230" t="s">
        <v>50</v>
      </c>
      <c r="K230" t="s">
        <v>51</v>
      </c>
      <c r="L230" t="s">
        <v>51</v>
      </c>
      <c r="M230" t="s">
        <v>52</v>
      </c>
      <c r="N230" t="s">
        <v>1066</v>
      </c>
      <c r="O230" t="s">
        <v>54</v>
      </c>
      <c r="P230" t="s">
        <v>54</v>
      </c>
      <c r="Q230" t="s">
        <v>51</v>
      </c>
      <c r="R230" t="s">
        <v>1067</v>
      </c>
      <c r="S230" s="1">
        <v>5069130</v>
      </c>
      <c r="T230" s="1">
        <v>3989824.83</v>
      </c>
      <c r="U230" s="1">
        <v>16091709.960000001</v>
      </c>
      <c r="V230" s="1">
        <v>6014689.0499999998</v>
      </c>
      <c r="W230" t="s">
        <v>51</v>
      </c>
      <c r="X230">
        <v>136342.19</v>
      </c>
      <c r="Y230">
        <v>0</v>
      </c>
      <c r="Z230">
        <v>0</v>
      </c>
      <c r="AA230" s="14">
        <v>-6358403</v>
      </c>
      <c r="AB230" s="14">
        <v>-2558403</v>
      </c>
      <c r="AC230">
        <v>0</v>
      </c>
      <c r="AD230">
        <v>0</v>
      </c>
      <c r="AE230">
        <v>13008609</v>
      </c>
      <c r="AF230">
        <v>15406625</v>
      </c>
      <c r="AG230">
        <v>0</v>
      </c>
      <c r="AH230" s="14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200000</v>
      </c>
      <c r="AP230">
        <v>200000</v>
      </c>
      <c r="AQ230" s="29">
        <f t="shared" si="3"/>
        <v>248.53015728952789</v>
      </c>
    </row>
    <row r="231" spans="2:43" x14ac:dyDescent="0.3">
      <c r="B231" t="s">
        <v>1046</v>
      </c>
      <c r="C231" t="s">
        <v>1068</v>
      </c>
      <c r="D231" t="s">
        <v>1069</v>
      </c>
      <c r="E231" t="s">
        <v>1070</v>
      </c>
      <c r="F231" t="s">
        <v>46</v>
      </c>
      <c r="G231" t="s">
        <v>71</v>
      </c>
      <c r="H231" t="s">
        <v>60</v>
      </c>
      <c r="I231" t="s">
        <v>49</v>
      </c>
      <c r="J231" t="s">
        <v>50</v>
      </c>
      <c r="K231" t="s">
        <v>51</v>
      </c>
      <c r="L231" t="s">
        <v>51</v>
      </c>
      <c r="M231" t="s">
        <v>134</v>
      </c>
      <c r="N231" t="s">
        <v>718</v>
      </c>
      <c r="O231" t="s">
        <v>54</v>
      </c>
      <c r="P231" t="s">
        <v>54</v>
      </c>
      <c r="Q231" t="s">
        <v>51</v>
      </c>
      <c r="R231" t="s">
        <v>1071</v>
      </c>
      <c r="S231" s="1">
        <v>26147761.98</v>
      </c>
      <c r="T231" s="1">
        <v>10985714.560000001</v>
      </c>
      <c r="U231" s="1">
        <v>22103935</v>
      </c>
      <c r="V231" s="1">
        <v>465334.65</v>
      </c>
      <c r="W231" t="s">
        <v>51</v>
      </c>
      <c r="X231">
        <v>318087.55</v>
      </c>
      <c r="Y231">
        <v>0</v>
      </c>
      <c r="Z231">
        <v>0</v>
      </c>
      <c r="AA231" s="14">
        <v>4060780.7</v>
      </c>
      <c r="AB231" s="14">
        <v>66565436.770000003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98.58</v>
      </c>
      <c r="AL231">
        <v>98.58</v>
      </c>
      <c r="AM231">
        <v>49142782.07</v>
      </c>
      <c r="AN231">
        <v>60232168.07</v>
      </c>
      <c r="AO231">
        <v>0</v>
      </c>
      <c r="AP231">
        <v>0</v>
      </c>
      <c r="AQ231" s="29">
        <f t="shared" si="3"/>
        <v>6.1004342449235311</v>
      </c>
    </row>
    <row r="232" spans="2:43" x14ac:dyDescent="0.3">
      <c r="B232" t="s">
        <v>1046</v>
      </c>
      <c r="C232" t="s">
        <v>1072</v>
      </c>
      <c r="D232" t="s">
        <v>1073</v>
      </c>
      <c r="E232" t="s">
        <v>1074</v>
      </c>
      <c r="F232" t="s">
        <v>46</v>
      </c>
      <c r="G232" t="s">
        <v>107</v>
      </c>
      <c r="H232" t="s">
        <v>60</v>
      </c>
      <c r="I232" t="s">
        <v>49</v>
      </c>
      <c r="J232" t="s">
        <v>50</v>
      </c>
      <c r="K232" t="s">
        <v>51</v>
      </c>
      <c r="L232" t="s">
        <v>51</v>
      </c>
      <c r="M232" t="s">
        <v>134</v>
      </c>
      <c r="N232" t="s">
        <v>1075</v>
      </c>
      <c r="O232" t="s">
        <v>54</v>
      </c>
      <c r="P232" t="s">
        <v>54</v>
      </c>
      <c r="Q232" t="s">
        <v>54</v>
      </c>
      <c r="R232" t="s">
        <v>1076</v>
      </c>
      <c r="S232" s="1">
        <v>1169220045.1400001</v>
      </c>
      <c r="T232" s="1">
        <v>332012755.64999998</v>
      </c>
      <c r="U232" s="1">
        <v>798041909.10000002</v>
      </c>
      <c r="V232" s="1">
        <v>319959822.47000003</v>
      </c>
      <c r="W232" t="s">
        <v>54</v>
      </c>
      <c r="X232">
        <v>810004.09</v>
      </c>
      <c r="Y232">
        <v>21818.400000000001</v>
      </c>
      <c r="Z232">
        <v>0</v>
      </c>
      <c r="AA232" s="14">
        <v>50542946.799999997</v>
      </c>
      <c r="AB232" s="14">
        <v>2725392351.9299998</v>
      </c>
      <c r="AC232">
        <v>2725392351.9299998</v>
      </c>
      <c r="AD232">
        <v>16457730.310000001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1369569232.4000001</v>
      </c>
      <c r="AL232">
        <v>1418528130.21</v>
      </c>
      <c r="AM232">
        <v>1408750066.4000001</v>
      </c>
      <c r="AN232">
        <v>1418750066.4000001</v>
      </c>
      <c r="AO232">
        <v>0</v>
      </c>
      <c r="AP232">
        <v>0</v>
      </c>
      <c r="AQ232" s="29">
        <f t="shared" si="3"/>
        <v>1.8545200203635916</v>
      </c>
    </row>
    <row r="233" spans="2:43" x14ac:dyDescent="0.3">
      <c r="B233" t="s">
        <v>1046</v>
      </c>
      <c r="C233" t="s">
        <v>1077</v>
      </c>
      <c r="D233" t="s">
        <v>1078</v>
      </c>
      <c r="E233" t="s">
        <v>1079</v>
      </c>
      <c r="F233" t="s">
        <v>46</v>
      </c>
      <c r="G233" t="s">
        <v>133</v>
      </c>
      <c r="H233" t="s">
        <v>48</v>
      </c>
      <c r="I233" t="s">
        <v>76</v>
      </c>
      <c r="J233" t="s">
        <v>50</v>
      </c>
      <c r="K233" t="s">
        <v>51</v>
      </c>
      <c r="L233" t="s">
        <v>51</v>
      </c>
      <c r="M233" t="s">
        <v>134</v>
      </c>
      <c r="N233" t="s">
        <v>471</v>
      </c>
      <c r="O233" t="s">
        <v>54</v>
      </c>
      <c r="P233" t="s">
        <v>54</v>
      </c>
      <c r="Q233" t="s">
        <v>51</v>
      </c>
      <c r="R233" t="s">
        <v>1080</v>
      </c>
      <c r="S233" s="1">
        <v>2945814.07</v>
      </c>
      <c r="T233" s="1">
        <v>1310072.3700000001</v>
      </c>
      <c r="U233" s="1">
        <v>2929337.84</v>
      </c>
      <c r="V233" s="1">
        <v>0</v>
      </c>
      <c r="W233" t="s">
        <v>51</v>
      </c>
      <c r="X233">
        <v>140679.57</v>
      </c>
      <c r="Y233">
        <v>0</v>
      </c>
      <c r="Z233">
        <v>0</v>
      </c>
      <c r="AA233" s="14">
        <v>0</v>
      </c>
      <c r="AB233" s="14">
        <v>79060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49900000</v>
      </c>
      <c r="AP233">
        <v>49900000</v>
      </c>
      <c r="AQ233" s="29">
        <f t="shared" si="3"/>
        <v>0</v>
      </c>
    </row>
    <row r="234" spans="2:43" x14ac:dyDescent="0.3">
      <c r="B234" t="s">
        <v>1046</v>
      </c>
      <c r="C234" t="s">
        <v>1081</v>
      </c>
      <c r="D234" t="s">
        <v>1082</v>
      </c>
      <c r="E234" t="s">
        <v>1083</v>
      </c>
      <c r="F234" t="s">
        <v>46</v>
      </c>
      <c r="G234" t="s">
        <v>139</v>
      </c>
      <c r="H234" t="s">
        <v>60</v>
      </c>
      <c r="I234" t="s">
        <v>49</v>
      </c>
      <c r="J234" t="s">
        <v>50</v>
      </c>
      <c r="K234" t="s">
        <v>51</v>
      </c>
      <c r="L234" t="s">
        <v>51</v>
      </c>
      <c r="M234" t="s">
        <v>134</v>
      </c>
      <c r="N234" t="s">
        <v>1084</v>
      </c>
      <c r="O234" t="s">
        <v>54</v>
      </c>
      <c r="P234" t="s">
        <v>54</v>
      </c>
      <c r="Q234" t="s">
        <v>54</v>
      </c>
      <c r="R234" t="s">
        <v>1085</v>
      </c>
      <c r="S234" s="1">
        <v>258288839.16999999</v>
      </c>
      <c r="T234" s="1">
        <v>21057362.98</v>
      </c>
      <c r="U234" s="1">
        <v>59445850.399999999</v>
      </c>
      <c r="V234" s="1">
        <v>16281871.98</v>
      </c>
      <c r="W234" t="s">
        <v>54</v>
      </c>
      <c r="X234">
        <v>479928.84</v>
      </c>
      <c r="Y234">
        <v>24917.13</v>
      </c>
      <c r="Z234">
        <v>0</v>
      </c>
      <c r="AA234" s="14">
        <v>58608385.719999999</v>
      </c>
      <c r="AB234" s="14">
        <v>124225031.56</v>
      </c>
      <c r="AC234">
        <v>0</v>
      </c>
      <c r="AD234">
        <v>3819434.21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721650</v>
      </c>
      <c r="AL234">
        <v>721650</v>
      </c>
      <c r="AM234">
        <v>63893105.810000002</v>
      </c>
      <c r="AN234">
        <v>68171010.700000003</v>
      </c>
      <c r="AO234">
        <v>4277904.8899999997</v>
      </c>
      <c r="AP234">
        <v>3550964.98</v>
      </c>
      <c r="AQ234" s="29">
        <f t="shared" si="3"/>
        <v>47.179207752257625</v>
      </c>
    </row>
    <row r="235" spans="2:43" x14ac:dyDescent="0.3">
      <c r="B235" t="s">
        <v>1086</v>
      </c>
      <c r="C235" t="s">
        <v>1087</v>
      </c>
      <c r="D235" t="s">
        <v>1088</v>
      </c>
      <c r="E235" t="s">
        <v>1089</v>
      </c>
      <c r="F235" t="s">
        <v>70</v>
      </c>
      <c r="G235" t="s">
        <v>71</v>
      </c>
      <c r="H235" t="s">
        <v>60</v>
      </c>
      <c r="I235" t="s">
        <v>49</v>
      </c>
      <c r="J235" t="s">
        <v>50</v>
      </c>
      <c r="K235" t="s">
        <v>51</v>
      </c>
      <c r="L235" t="s">
        <v>51</v>
      </c>
      <c r="M235" t="s">
        <v>134</v>
      </c>
      <c r="N235" t="s">
        <v>66</v>
      </c>
      <c r="O235" t="s">
        <v>51</v>
      </c>
      <c r="P235" t="s">
        <v>51</v>
      </c>
      <c r="Q235" t="s">
        <v>51</v>
      </c>
      <c r="R235" t="s">
        <v>55</v>
      </c>
      <c r="S235" s="1">
        <v>0</v>
      </c>
      <c r="T235" s="1">
        <v>0</v>
      </c>
      <c r="U235" s="1">
        <v>0</v>
      </c>
      <c r="V235" s="1">
        <v>0</v>
      </c>
      <c r="W235" t="s">
        <v>51</v>
      </c>
      <c r="X235">
        <v>0</v>
      </c>
      <c r="Y235">
        <v>0</v>
      </c>
      <c r="Z235">
        <v>0</v>
      </c>
      <c r="AA235" s="14">
        <v>0</v>
      </c>
      <c r="AB235" s="14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s="29" t="e">
        <f t="shared" si="3"/>
        <v>#DIV/0!</v>
      </c>
    </row>
    <row r="236" spans="2:43" x14ac:dyDescent="0.3">
      <c r="B236" t="s">
        <v>1086</v>
      </c>
      <c r="C236" t="s">
        <v>1090</v>
      </c>
      <c r="D236" t="s">
        <v>1091</v>
      </c>
      <c r="E236" t="s">
        <v>1092</v>
      </c>
      <c r="F236" t="s">
        <v>46</v>
      </c>
      <c r="G236" t="s">
        <v>107</v>
      </c>
      <c r="H236" t="s">
        <v>60</v>
      </c>
      <c r="I236" t="s">
        <v>49</v>
      </c>
      <c r="J236" t="s">
        <v>50</v>
      </c>
      <c r="K236" t="s">
        <v>51</v>
      </c>
      <c r="L236" t="s">
        <v>51</v>
      </c>
      <c r="M236" s="11" t="s">
        <v>134</v>
      </c>
      <c r="N236" t="s">
        <v>1093</v>
      </c>
      <c r="O236" t="s">
        <v>54</v>
      </c>
      <c r="P236" t="s">
        <v>54</v>
      </c>
      <c r="Q236" t="s">
        <v>54</v>
      </c>
      <c r="R236" t="s">
        <v>1094</v>
      </c>
      <c r="S236" s="1">
        <v>215335743.49000001</v>
      </c>
      <c r="T236" s="1">
        <v>116869706.89</v>
      </c>
      <c r="U236" s="1">
        <v>260072210.03999999</v>
      </c>
      <c r="V236" s="1">
        <v>30383091.75</v>
      </c>
      <c r="W236" t="s">
        <v>51</v>
      </c>
      <c r="X236">
        <v>471043.74</v>
      </c>
      <c r="Y236">
        <v>0</v>
      </c>
      <c r="Z236">
        <v>41716.78</v>
      </c>
      <c r="AA236" s="14">
        <v>2082510.26</v>
      </c>
      <c r="AB236" s="14">
        <v>-1198977306.98</v>
      </c>
      <c r="AC236">
        <v>0</v>
      </c>
      <c r="AD236">
        <v>0</v>
      </c>
      <c r="AE236">
        <v>0</v>
      </c>
      <c r="AF236" s="14">
        <v>14962421.49</v>
      </c>
      <c r="AG236">
        <v>0</v>
      </c>
      <c r="AH236" s="14">
        <v>0</v>
      </c>
      <c r="AI236">
        <v>0</v>
      </c>
      <c r="AJ236">
        <v>0</v>
      </c>
      <c r="AK236">
        <v>182615569.50999999</v>
      </c>
      <c r="AL236">
        <v>182615569.50999999</v>
      </c>
      <c r="AM236">
        <v>182631833</v>
      </c>
      <c r="AN236">
        <v>182631832.69</v>
      </c>
      <c r="AO236">
        <v>0</v>
      </c>
      <c r="AP236">
        <v>0</v>
      </c>
      <c r="AQ236" s="29">
        <f t="shared" si="3"/>
        <v>-0.17369054842626291</v>
      </c>
    </row>
    <row r="237" spans="2:43" x14ac:dyDescent="0.3">
      <c r="B237" t="s">
        <v>1086</v>
      </c>
      <c r="C237" t="s">
        <v>1095</v>
      </c>
      <c r="D237" t="s">
        <v>1096</v>
      </c>
      <c r="E237" t="s">
        <v>1097</v>
      </c>
      <c r="F237" t="s">
        <v>70</v>
      </c>
      <c r="G237" t="s">
        <v>93</v>
      </c>
      <c r="H237" t="s">
        <v>60</v>
      </c>
      <c r="I237" t="s">
        <v>49</v>
      </c>
      <c r="J237" t="s">
        <v>50</v>
      </c>
      <c r="K237" t="s">
        <v>51</v>
      </c>
      <c r="L237" t="s">
        <v>51</v>
      </c>
      <c r="M237" t="s">
        <v>134</v>
      </c>
      <c r="N237" t="s">
        <v>66</v>
      </c>
      <c r="O237" t="s">
        <v>51</v>
      </c>
      <c r="P237" t="s">
        <v>51</v>
      </c>
      <c r="Q237" t="s">
        <v>51</v>
      </c>
      <c r="R237" t="s">
        <v>55</v>
      </c>
      <c r="S237" s="1">
        <v>0</v>
      </c>
      <c r="T237" s="1">
        <v>0</v>
      </c>
      <c r="U237" s="1">
        <v>0</v>
      </c>
      <c r="V237" s="1">
        <v>0</v>
      </c>
      <c r="W237" t="s">
        <v>51</v>
      </c>
      <c r="X237">
        <v>0</v>
      </c>
      <c r="Y237">
        <v>0</v>
      </c>
      <c r="Z237">
        <v>0</v>
      </c>
      <c r="AA237" s="14">
        <v>0</v>
      </c>
      <c r="AB237" s="14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s="29" t="e">
        <f t="shared" si="3"/>
        <v>#DIV/0!</v>
      </c>
    </row>
    <row r="238" spans="2:43" x14ac:dyDescent="0.3">
      <c r="B238" t="s">
        <v>1086</v>
      </c>
      <c r="C238" t="s">
        <v>1098</v>
      </c>
      <c r="D238" t="s">
        <v>1099</v>
      </c>
      <c r="E238" t="s">
        <v>1100</v>
      </c>
      <c r="F238" t="s">
        <v>70</v>
      </c>
      <c r="G238" t="s">
        <v>47</v>
      </c>
      <c r="H238" t="s">
        <v>60</v>
      </c>
      <c r="I238" t="s">
        <v>49</v>
      </c>
      <c r="J238" t="s">
        <v>50</v>
      </c>
      <c r="K238" t="s">
        <v>51</v>
      </c>
      <c r="L238" t="s">
        <v>51</v>
      </c>
      <c r="M238" t="s">
        <v>134</v>
      </c>
      <c r="N238" t="s">
        <v>66</v>
      </c>
      <c r="O238" t="s">
        <v>51</v>
      </c>
      <c r="P238" t="s">
        <v>51</v>
      </c>
      <c r="Q238" t="s">
        <v>51</v>
      </c>
      <c r="R238" t="s">
        <v>55</v>
      </c>
      <c r="S238" s="1">
        <v>0</v>
      </c>
      <c r="T238" s="1">
        <v>0</v>
      </c>
      <c r="U238" s="1">
        <v>0</v>
      </c>
      <c r="V238" s="1">
        <v>0</v>
      </c>
      <c r="W238" t="s">
        <v>51</v>
      </c>
      <c r="X238">
        <v>0</v>
      </c>
      <c r="Y238">
        <v>0</v>
      </c>
      <c r="Z238">
        <v>0</v>
      </c>
      <c r="AA238" s="14">
        <v>0</v>
      </c>
      <c r="AB238" s="14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s="29" t="e">
        <f t="shared" si="3"/>
        <v>#DIV/0!</v>
      </c>
    </row>
    <row r="239" spans="2:43" x14ac:dyDescent="0.3">
      <c r="B239" t="s">
        <v>1086</v>
      </c>
      <c r="C239" t="s">
        <v>1101</v>
      </c>
      <c r="D239" t="s">
        <v>1102</v>
      </c>
      <c r="E239" t="s">
        <v>1103</v>
      </c>
      <c r="F239" t="s">
        <v>46</v>
      </c>
      <c r="G239" t="s">
        <v>224</v>
      </c>
      <c r="H239" t="s">
        <v>48</v>
      </c>
      <c r="I239" t="s">
        <v>49</v>
      </c>
      <c r="J239" t="s">
        <v>50</v>
      </c>
      <c r="K239" t="s">
        <v>51</v>
      </c>
      <c r="L239" t="s">
        <v>51</v>
      </c>
      <c r="M239" t="s">
        <v>134</v>
      </c>
      <c r="N239" t="s">
        <v>135</v>
      </c>
      <c r="O239" t="s">
        <v>54</v>
      </c>
      <c r="P239" t="s">
        <v>54</v>
      </c>
      <c r="Q239" t="s">
        <v>51</v>
      </c>
      <c r="R239" t="s">
        <v>1104</v>
      </c>
      <c r="S239" s="1">
        <v>11722060.18</v>
      </c>
      <c r="T239" s="1">
        <v>2386124.08</v>
      </c>
      <c r="U239" s="1">
        <v>14281383.52</v>
      </c>
      <c r="V239" s="1">
        <v>454519.84</v>
      </c>
      <c r="W239" t="s">
        <v>51</v>
      </c>
      <c r="X239">
        <v>464209.85</v>
      </c>
      <c r="Y239">
        <v>0</v>
      </c>
      <c r="Z239">
        <v>11874.09</v>
      </c>
      <c r="AA239" s="14">
        <v>-2511833.12</v>
      </c>
      <c r="AB239" s="14">
        <v>3510335392.2800002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25889369.239999998</v>
      </c>
      <c r="AL239">
        <v>25889369.239999998</v>
      </c>
      <c r="AM239">
        <v>25928261.629999999</v>
      </c>
      <c r="AN239">
        <v>25928261.629999999</v>
      </c>
      <c r="AO239">
        <v>0</v>
      </c>
      <c r="AP239">
        <v>0</v>
      </c>
      <c r="AQ239" s="29">
        <f t="shared" si="3"/>
        <v>-7.1555359796219867E-2</v>
      </c>
    </row>
    <row r="240" spans="2:43" x14ac:dyDescent="0.3">
      <c r="B240" t="s">
        <v>1086</v>
      </c>
      <c r="C240" t="s">
        <v>1105</v>
      </c>
      <c r="D240" t="s">
        <v>1106</v>
      </c>
      <c r="E240" t="s">
        <v>1107</v>
      </c>
      <c r="F240" t="s">
        <v>46</v>
      </c>
      <c r="G240" t="s">
        <v>139</v>
      </c>
      <c r="H240" t="s">
        <v>60</v>
      </c>
      <c r="I240" t="s">
        <v>49</v>
      </c>
      <c r="J240" t="s">
        <v>50</v>
      </c>
      <c r="K240" t="s">
        <v>51</v>
      </c>
      <c r="L240" t="s">
        <v>51</v>
      </c>
      <c r="M240" t="s">
        <v>134</v>
      </c>
      <c r="N240" t="s">
        <v>117</v>
      </c>
      <c r="O240" t="s">
        <v>54</v>
      </c>
      <c r="P240" t="s">
        <v>54</v>
      </c>
      <c r="Q240" t="s">
        <v>51</v>
      </c>
      <c r="R240" t="s">
        <v>675</v>
      </c>
      <c r="S240" s="1">
        <v>0</v>
      </c>
      <c r="T240" s="1">
        <v>321109.34999999998</v>
      </c>
      <c r="U240" s="1">
        <v>464400.8</v>
      </c>
      <c r="V240" s="1">
        <v>0</v>
      </c>
      <c r="W240" t="s">
        <v>51</v>
      </c>
      <c r="X240">
        <v>144000</v>
      </c>
      <c r="Y240">
        <v>0</v>
      </c>
      <c r="Z240">
        <v>0</v>
      </c>
      <c r="AA240" s="14">
        <v>385507.13</v>
      </c>
      <c r="AB240" s="14">
        <v>-1666608.18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1502480</v>
      </c>
      <c r="AL240">
        <v>1502480</v>
      </c>
      <c r="AM240">
        <v>8668110</v>
      </c>
      <c r="AN240">
        <v>9083110</v>
      </c>
      <c r="AO240">
        <v>170000</v>
      </c>
      <c r="AP240">
        <v>255000</v>
      </c>
      <c r="AQ240" s="29">
        <f t="shared" si="3"/>
        <v>-23.131239521457289</v>
      </c>
    </row>
    <row r="241" spans="2:43" x14ac:dyDescent="0.3">
      <c r="B241" t="s">
        <v>1086</v>
      </c>
      <c r="C241" t="s">
        <v>1108</v>
      </c>
      <c r="D241" t="s">
        <v>1109</v>
      </c>
      <c r="E241" t="s">
        <v>1110</v>
      </c>
      <c r="F241" t="s">
        <v>46</v>
      </c>
      <c r="G241" t="s">
        <v>314</v>
      </c>
      <c r="H241" t="s">
        <v>48</v>
      </c>
      <c r="I241" t="s">
        <v>49</v>
      </c>
      <c r="J241" t="s">
        <v>50</v>
      </c>
      <c r="K241" t="s">
        <v>51</v>
      </c>
      <c r="L241" t="s">
        <v>51</v>
      </c>
      <c r="M241" t="s">
        <v>134</v>
      </c>
      <c r="N241" t="s">
        <v>1111</v>
      </c>
      <c r="O241" t="s">
        <v>54</v>
      </c>
      <c r="P241" t="s">
        <v>54</v>
      </c>
      <c r="Q241" t="s">
        <v>51</v>
      </c>
      <c r="R241" t="s">
        <v>675</v>
      </c>
      <c r="S241" s="1">
        <v>24912914.309999999</v>
      </c>
      <c r="T241" s="1">
        <v>12456521.710000001</v>
      </c>
      <c r="U241" s="1">
        <v>24912914.309999999</v>
      </c>
      <c r="V241" s="1">
        <v>1432930.61</v>
      </c>
      <c r="W241" t="s">
        <v>51</v>
      </c>
      <c r="X241">
        <v>525495.17000000004</v>
      </c>
      <c r="Y241">
        <v>0</v>
      </c>
      <c r="Z241">
        <v>0</v>
      </c>
      <c r="AA241" s="14">
        <v>-371393.26</v>
      </c>
      <c r="AB241" s="14">
        <v>15800959.52</v>
      </c>
      <c r="AC241">
        <v>0</v>
      </c>
      <c r="AD241">
        <v>0</v>
      </c>
      <c r="AE241">
        <v>7000000</v>
      </c>
      <c r="AF241">
        <v>0</v>
      </c>
      <c r="AG241">
        <v>0</v>
      </c>
      <c r="AH241">
        <v>0</v>
      </c>
      <c r="AI241">
        <v>1000000</v>
      </c>
      <c r="AJ241">
        <v>0</v>
      </c>
      <c r="AK241">
        <v>100000</v>
      </c>
      <c r="AL241">
        <v>100000</v>
      </c>
      <c r="AM241">
        <v>11628781.640000001</v>
      </c>
      <c r="AN241">
        <v>12628781.640000001</v>
      </c>
      <c r="AO241">
        <v>1000000</v>
      </c>
      <c r="AP241">
        <v>0</v>
      </c>
      <c r="AQ241" s="29">
        <f t="shared" si="3"/>
        <v>-2.3504475125697937</v>
      </c>
    </row>
    <row r="242" spans="2:43" x14ac:dyDescent="0.3">
      <c r="B242" t="s">
        <v>1112</v>
      </c>
      <c r="C242" t="s">
        <v>1113</v>
      </c>
      <c r="D242" t="s">
        <v>1114</v>
      </c>
      <c r="E242" t="s">
        <v>1115</v>
      </c>
      <c r="F242" t="s">
        <v>70</v>
      </c>
      <c r="G242" t="s">
        <v>409</v>
      </c>
      <c r="H242" t="s">
        <v>60</v>
      </c>
      <c r="I242" t="s">
        <v>49</v>
      </c>
      <c r="J242" t="s">
        <v>50</v>
      </c>
      <c r="K242" t="s">
        <v>51</v>
      </c>
      <c r="L242" t="s">
        <v>51</v>
      </c>
      <c r="M242" t="s">
        <v>52</v>
      </c>
      <c r="N242" t="s">
        <v>1012</v>
      </c>
      <c r="O242" t="s">
        <v>54</v>
      </c>
      <c r="P242" t="s">
        <v>54</v>
      </c>
      <c r="Q242" t="s">
        <v>51</v>
      </c>
      <c r="R242" t="s">
        <v>1116</v>
      </c>
      <c r="S242" s="1">
        <v>34913242.700000003</v>
      </c>
      <c r="T242" s="1">
        <v>29816641.100000001</v>
      </c>
      <c r="U242" s="1">
        <v>34690505.399999999</v>
      </c>
      <c r="V242" s="1">
        <v>0</v>
      </c>
      <c r="W242" t="s">
        <v>51</v>
      </c>
      <c r="X242">
        <v>277640.27</v>
      </c>
      <c r="Y242">
        <v>0</v>
      </c>
      <c r="Z242">
        <v>0</v>
      </c>
      <c r="AA242" s="14">
        <v>794215.69</v>
      </c>
      <c r="AB242" s="14">
        <v>-237720762.50999999</v>
      </c>
      <c r="AC242">
        <v>0</v>
      </c>
      <c r="AD242">
        <v>0</v>
      </c>
      <c r="AE242">
        <v>7079730.0700000003</v>
      </c>
      <c r="AF242">
        <v>32625398.379999999</v>
      </c>
      <c r="AG242">
        <v>0</v>
      </c>
      <c r="AH242" s="14">
        <v>0</v>
      </c>
      <c r="AI242">
        <v>0</v>
      </c>
      <c r="AJ242">
        <v>0</v>
      </c>
      <c r="AK242">
        <v>192846707637</v>
      </c>
      <c r="AL242">
        <v>192846707637</v>
      </c>
      <c r="AM242">
        <v>1313101397.05</v>
      </c>
      <c r="AN242">
        <v>1313101397.05</v>
      </c>
      <c r="AO242">
        <v>82331953.109999999</v>
      </c>
      <c r="AP242">
        <v>82331953.109999999</v>
      </c>
      <c r="AQ242" s="29">
        <f t="shared" si="3"/>
        <v>-0.33409605522638791</v>
      </c>
    </row>
    <row r="243" spans="2:43" x14ac:dyDescent="0.3">
      <c r="B243" t="s">
        <v>1112</v>
      </c>
      <c r="C243" t="s">
        <v>1117</v>
      </c>
      <c r="D243" t="s">
        <v>1118</v>
      </c>
      <c r="E243" t="s">
        <v>1119</v>
      </c>
      <c r="F243" t="s">
        <v>46</v>
      </c>
      <c r="G243" t="s">
        <v>65</v>
      </c>
      <c r="H243" t="s">
        <v>60</v>
      </c>
      <c r="I243" t="s">
        <v>49</v>
      </c>
      <c r="J243" t="s">
        <v>50</v>
      </c>
      <c r="K243" t="s">
        <v>51</v>
      </c>
      <c r="L243" t="s">
        <v>51</v>
      </c>
      <c r="M243" t="s">
        <v>52</v>
      </c>
      <c r="N243" t="s">
        <v>1120</v>
      </c>
      <c r="O243" t="s">
        <v>54</v>
      </c>
      <c r="P243" t="s">
        <v>54</v>
      </c>
      <c r="Q243" t="s">
        <v>51</v>
      </c>
      <c r="R243" t="s">
        <v>1121</v>
      </c>
      <c r="S243" s="1">
        <v>34266488.509999998</v>
      </c>
      <c r="T243" s="1">
        <v>26418605.109999999</v>
      </c>
      <c r="U243" s="1">
        <v>71653763.670000002</v>
      </c>
      <c r="V243" s="1">
        <v>260830.72</v>
      </c>
      <c r="W243" t="s">
        <v>51</v>
      </c>
      <c r="X243">
        <v>350532</v>
      </c>
      <c r="Y243">
        <v>0</v>
      </c>
      <c r="Z243">
        <v>0</v>
      </c>
      <c r="AA243" s="14">
        <v>-132300.81</v>
      </c>
      <c r="AB243" s="14">
        <v>119525114.04000001</v>
      </c>
      <c r="AC243">
        <v>533496172.04000002</v>
      </c>
      <c r="AD243">
        <v>0</v>
      </c>
      <c r="AE243">
        <v>29832593.460000001</v>
      </c>
      <c r="AF243">
        <v>33831463.009999998</v>
      </c>
      <c r="AG243">
        <v>30091143.52</v>
      </c>
      <c r="AH243" s="14">
        <v>33539993.109999999</v>
      </c>
      <c r="AI243">
        <v>0</v>
      </c>
      <c r="AJ243">
        <v>0</v>
      </c>
      <c r="AK243">
        <v>9984136</v>
      </c>
      <c r="AL243">
        <v>9984136</v>
      </c>
      <c r="AM243">
        <v>533496172.04000002</v>
      </c>
      <c r="AN243">
        <v>533496172.04000002</v>
      </c>
      <c r="AO243">
        <v>0</v>
      </c>
      <c r="AP243">
        <v>0</v>
      </c>
      <c r="AQ243" s="29">
        <f t="shared" si="3"/>
        <v>-0.11068871262965246</v>
      </c>
    </row>
    <row r="244" spans="2:43" x14ac:dyDescent="0.3">
      <c r="B244" t="s">
        <v>1112</v>
      </c>
      <c r="C244" t="s">
        <v>1122</v>
      </c>
      <c r="D244" t="s">
        <v>1123</v>
      </c>
      <c r="E244" t="s">
        <v>1124</v>
      </c>
      <c r="F244" t="s">
        <v>46</v>
      </c>
      <c r="G244" t="s">
        <v>71</v>
      </c>
      <c r="H244" t="s">
        <v>60</v>
      </c>
      <c r="I244" t="s">
        <v>49</v>
      </c>
      <c r="J244" t="s">
        <v>50</v>
      </c>
      <c r="K244" t="s">
        <v>51</v>
      </c>
      <c r="L244" t="s">
        <v>51</v>
      </c>
      <c r="M244" t="s">
        <v>52</v>
      </c>
      <c r="N244" t="s">
        <v>1125</v>
      </c>
      <c r="O244" t="s">
        <v>54</v>
      </c>
      <c r="P244" t="s">
        <v>54</v>
      </c>
      <c r="Q244" t="s">
        <v>54</v>
      </c>
      <c r="R244" t="s">
        <v>1126</v>
      </c>
      <c r="S244" s="1">
        <v>1946368.74</v>
      </c>
      <c r="T244" s="1">
        <v>6809601.8799999999</v>
      </c>
      <c r="U244" s="1">
        <v>8919037.7400000002</v>
      </c>
      <c r="V244" s="1">
        <v>0</v>
      </c>
      <c r="W244" t="s">
        <v>51</v>
      </c>
      <c r="X244">
        <v>379743</v>
      </c>
      <c r="Y244">
        <v>0</v>
      </c>
      <c r="Z244">
        <v>0</v>
      </c>
      <c r="AA244" s="14">
        <v>-248374.57</v>
      </c>
      <c r="AB244" s="14">
        <v>18994658.32</v>
      </c>
      <c r="AC244">
        <v>0</v>
      </c>
      <c r="AD244">
        <v>0</v>
      </c>
      <c r="AE244">
        <v>8462899.3000000007</v>
      </c>
      <c r="AF244">
        <v>8827951.9900000002</v>
      </c>
      <c r="AG244">
        <v>8462899.3000000007</v>
      </c>
      <c r="AH244" s="14">
        <v>8827951.9100000001</v>
      </c>
      <c r="AI244">
        <v>0</v>
      </c>
      <c r="AJ244">
        <v>10002996</v>
      </c>
      <c r="AK244">
        <v>16159750</v>
      </c>
      <c r="AL244">
        <v>26167389</v>
      </c>
      <c r="AM244">
        <v>16164393.109999999</v>
      </c>
      <c r="AN244">
        <v>26167389.109999999</v>
      </c>
      <c r="AO244">
        <v>0</v>
      </c>
      <c r="AP244">
        <v>0</v>
      </c>
      <c r="AQ244" s="29">
        <f t="shared" si="3"/>
        <v>-1.3076021996061891</v>
      </c>
    </row>
    <row r="245" spans="2:43" x14ac:dyDescent="0.3">
      <c r="B245" t="s">
        <v>1112</v>
      </c>
      <c r="C245" t="s">
        <v>1127</v>
      </c>
      <c r="D245" t="s">
        <v>1127</v>
      </c>
      <c r="E245" t="s">
        <v>1128</v>
      </c>
      <c r="F245" t="s">
        <v>46</v>
      </c>
      <c r="G245" t="s">
        <v>150</v>
      </c>
      <c r="H245" t="s">
        <v>48</v>
      </c>
      <c r="I245" t="s">
        <v>76</v>
      </c>
      <c r="J245" t="s">
        <v>50</v>
      </c>
      <c r="K245" t="s">
        <v>51</v>
      </c>
      <c r="L245" t="s">
        <v>51</v>
      </c>
      <c r="M245" t="s">
        <v>52</v>
      </c>
      <c r="N245" t="s">
        <v>856</v>
      </c>
      <c r="O245" t="s">
        <v>54</v>
      </c>
      <c r="P245" t="s">
        <v>51</v>
      </c>
      <c r="Q245" t="s">
        <v>54</v>
      </c>
      <c r="R245" t="s">
        <v>1121</v>
      </c>
      <c r="S245" s="1">
        <v>81582.11</v>
      </c>
      <c r="T245" s="1">
        <v>4899081.38</v>
      </c>
      <c r="U245" s="1">
        <v>5285258.38</v>
      </c>
      <c r="V245" s="1">
        <v>48083.8</v>
      </c>
      <c r="W245" t="s">
        <v>51</v>
      </c>
      <c r="X245">
        <v>130000</v>
      </c>
      <c r="Y245">
        <v>0</v>
      </c>
      <c r="Z245">
        <v>0</v>
      </c>
      <c r="AA245" s="14">
        <v>2270915.54</v>
      </c>
      <c r="AB245" s="14">
        <v>166750.26</v>
      </c>
      <c r="AC245">
        <v>0</v>
      </c>
      <c r="AD245">
        <v>0</v>
      </c>
      <c r="AE245">
        <v>5693691.79</v>
      </c>
      <c r="AF245">
        <v>6403152.9699999997</v>
      </c>
      <c r="AG245">
        <v>0</v>
      </c>
      <c r="AH245" s="14">
        <v>0</v>
      </c>
      <c r="AI245">
        <v>0</v>
      </c>
      <c r="AJ245">
        <v>0</v>
      </c>
      <c r="AK245">
        <v>0</v>
      </c>
      <c r="AL245">
        <v>0</v>
      </c>
      <c r="AM245">
        <v>800000</v>
      </c>
      <c r="AN245">
        <v>800000</v>
      </c>
      <c r="AO245">
        <v>0</v>
      </c>
      <c r="AP245">
        <v>0</v>
      </c>
      <c r="AQ245" s="29">
        <f t="shared" si="3"/>
        <v>1361.8662663554467</v>
      </c>
    </row>
    <row r="246" spans="2:43" x14ac:dyDescent="0.3">
      <c r="B246" t="s">
        <v>1112</v>
      </c>
      <c r="C246" t="s">
        <v>1129</v>
      </c>
      <c r="D246" t="s">
        <v>1130</v>
      </c>
      <c r="E246" t="s">
        <v>1131</v>
      </c>
      <c r="F246" t="s">
        <v>46</v>
      </c>
      <c r="G246" t="s">
        <v>107</v>
      </c>
      <c r="H246" t="s">
        <v>60</v>
      </c>
      <c r="I246" t="s">
        <v>49</v>
      </c>
      <c r="J246" t="s">
        <v>50</v>
      </c>
      <c r="K246" t="s">
        <v>51</v>
      </c>
      <c r="L246" t="s">
        <v>51</v>
      </c>
      <c r="M246" t="s">
        <v>134</v>
      </c>
      <c r="N246" t="s">
        <v>1132</v>
      </c>
      <c r="O246" t="s">
        <v>54</v>
      </c>
      <c r="P246" t="s">
        <v>54</v>
      </c>
      <c r="Q246" t="s">
        <v>51</v>
      </c>
      <c r="R246" t="s">
        <v>1133</v>
      </c>
      <c r="S246" s="1">
        <v>177590323.22999999</v>
      </c>
      <c r="T246" s="1">
        <v>100478568.90000001</v>
      </c>
      <c r="U246" s="1">
        <v>265487457.38999999</v>
      </c>
      <c r="V246" s="1">
        <v>16169239</v>
      </c>
      <c r="W246" t="s">
        <v>51</v>
      </c>
      <c r="X246">
        <v>484507.76</v>
      </c>
      <c r="Y246">
        <v>0</v>
      </c>
      <c r="Z246">
        <v>2707744.18</v>
      </c>
      <c r="AA246" s="14">
        <v>225200633.16</v>
      </c>
      <c r="AB246" s="14">
        <v>-450667611.54000002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11735793.060000001</v>
      </c>
      <c r="AJ246">
        <v>16853881.600000001</v>
      </c>
      <c r="AK246">
        <v>59966976</v>
      </c>
      <c r="AL246">
        <v>59966976</v>
      </c>
      <c r="AM246">
        <v>78710883.620000005</v>
      </c>
      <c r="AN246">
        <v>78710883.620000005</v>
      </c>
      <c r="AO246">
        <v>11735793.060000001</v>
      </c>
      <c r="AP246">
        <v>16853881.600000001</v>
      </c>
      <c r="AQ246" s="29">
        <f t="shared" si="3"/>
        <v>-49.970449926600018</v>
      </c>
    </row>
    <row r="247" spans="2:43" x14ac:dyDescent="0.3">
      <c r="B247" t="s">
        <v>1134</v>
      </c>
      <c r="C247" t="s">
        <v>1135</v>
      </c>
      <c r="D247" t="s">
        <v>1136</v>
      </c>
      <c r="E247" t="s">
        <v>1137</v>
      </c>
      <c r="F247" t="s">
        <v>46</v>
      </c>
      <c r="G247" t="s">
        <v>71</v>
      </c>
      <c r="H247" t="s">
        <v>60</v>
      </c>
      <c r="I247" t="s">
        <v>49</v>
      </c>
      <c r="J247" t="s">
        <v>50</v>
      </c>
      <c r="K247" t="s">
        <v>51</v>
      </c>
      <c r="L247" t="s">
        <v>51</v>
      </c>
      <c r="M247" t="s">
        <v>134</v>
      </c>
      <c r="N247" t="s">
        <v>1138</v>
      </c>
      <c r="O247" t="s">
        <v>54</v>
      </c>
      <c r="P247" t="s">
        <v>54</v>
      </c>
      <c r="Q247" t="s">
        <v>54</v>
      </c>
      <c r="R247" t="s">
        <v>1139</v>
      </c>
      <c r="S247" s="1">
        <v>640784428.80999994</v>
      </c>
      <c r="T247" s="1">
        <v>68153563</v>
      </c>
      <c r="U247" s="1">
        <v>577484078.52999997</v>
      </c>
      <c r="V247" s="1">
        <v>0</v>
      </c>
      <c r="W247" t="s">
        <v>54</v>
      </c>
      <c r="X247">
        <v>571938.12</v>
      </c>
      <c r="Y247">
        <v>53415.01</v>
      </c>
      <c r="Z247">
        <v>81395.13</v>
      </c>
      <c r="AA247" s="14">
        <v>53126424.549999997</v>
      </c>
      <c r="AB247" s="14">
        <v>1008416081.0700001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101336739</v>
      </c>
      <c r="AK247">
        <v>99.99</v>
      </c>
      <c r="AL247">
        <v>99.99</v>
      </c>
      <c r="AM247">
        <v>798273075</v>
      </c>
      <c r="AN247">
        <v>914150698</v>
      </c>
      <c r="AO247">
        <v>0</v>
      </c>
      <c r="AP247">
        <v>0</v>
      </c>
      <c r="AQ247" s="29">
        <f t="shared" si="3"/>
        <v>5.2683039815895381</v>
      </c>
    </row>
    <row r="248" spans="2:43" x14ac:dyDescent="0.3">
      <c r="B248" t="s">
        <v>1134</v>
      </c>
      <c r="C248" t="s">
        <v>1140</v>
      </c>
      <c r="D248" t="s">
        <v>1141</v>
      </c>
      <c r="E248" t="s">
        <v>1142</v>
      </c>
      <c r="F248" t="s">
        <v>46</v>
      </c>
      <c r="G248" t="s">
        <v>71</v>
      </c>
      <c r="H248" t="s">
        <v>60</v>
      </c>
      <c r="I248" t="s">
        <v>49</v>
      </c>
      <c r="J248" t="s">
        <v>373</v>
      </c>
      <c r="K248" t="s">
        <v>54</v>
      </c>
      <c r="L248" t="s">
        <v>51</v>
      </c>
      <c r="M248" t="s">
        <v>134</v>
      </c>
      <c r="N248" t="s">
        <v>1143</v>
      </c>
      <c r="O248" t="s">
        <v>54</v>
      </c>
      <c r="P248" t="s">
        <v>54</v>
      </c>
      <c r="Q248" t="s">
        <v>54</v>
      </c>
      <c r="R248" t="s">
        <v>1144</v>
      </c>
      <c r="S248" s="1">
        <v>9130368000</v>
      </c>
      <c r="T248" s="1">
        <v>2539113000</v>
      </c>
      <c r="U248" s="1">
        <v>5957274000</v>
      </c>
      <c r="V248" s="1">
        <v>384066290.88999999</v>
      </c>
      <c r="W248" t="s">
        <v>54</v>
      </c>
      <c r="X248">
        <v>1849122.58</v>
      </c>
      <c r="Y248">
        <v>15275.52</v>
      </c>
      <c r="Z248">
        <v>30142.49</v>
      </c>
      <c r="AA248" s="14">
        <v>916121000</v>
      </c>
      <c r="AB248" s="14">
        <v>10413708000</v>
      </c>
      <c r="AC248">
        <v>4475199903.4499998</v>
      </c>
      <c r="AD248">
        <v>200968077.28999999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49.39</v>
      </c>
      <c r="AL248">
        <v>49.39</v>
      </c>
      <c r="AM248">
        <v>5200000000</v>
      </c>
      <c r="AN248">
        <v>8000000000</v>
      </c>
      <c r="AO248">
        <v>0</v>
      </c>
      <c r="AP248">
        <v>0</v>
      </c>
      <c r="AQ248" s="29">
        <f t="shared" si="3"/>
        <v>8.797260303438506</v>
      </c>
    </row>
    <row r="249" spans="2:43" x14ac:dyDescent="0.3">
      <c r="B249" t="s">
        <v>1134</v>
      </c>
      <c r="C249" t="s">
        <v>1145</v>
      </c>
      <c r="D249" t="s">
        <v>1146</v>
      </c>
      <c r="E249" t="s">
        <v>1147</v>
      </c>
      <c r="F249" t="s">
        <v>46</v>
      </c>
      <c r="G249" t="s">
        <v>71</v>
      </c>
      <c r="H249" t="s">
        <v>48</v>
      </c>
      <c r="I249" t="s">
        <v>76</v>
      </c>
      <c r="J249" t="s">
        <v>50</v>
      </c>
      <c r="K249" t="s">
        <v>51</v>
      </c>
      <c r="L249" t="s">
        <v>51</v>
      </c>
      <c r="M249" t="s">
        <v>134</v>
      </c>
      <c r="N249" t="s">
        <v>173</v>
      </c>
      <c r="O249" t="s">
        <v>54</v>
      </c>
      <c r="P249" t="s">
        <v>54</v>
      </c>
      <c r="Q249" t="s">
        <v>54</v>
      </c>
      <c r="R249" t="s">
        <v>1148</v>
      </c>
      <c r="S249" s="1">
        <v>3023117296.27</v>
      </c>
      <c r="T249" s="1">
        <v>262579991.37</v>
      </c>
      <c r="U249" s="1">
        <v>2409384131.54</v>
      </c>
      <c r="V249" s="1">
        <v>3813473.77</v>
      </c>
      <c r="W249" t="s">
        <v>54</v>
      </c>
      <c r="X249">
        <v>828506.55</v>
      </c>
      <c r="Y249">
        <v>44970.29</v>
      </c>
      <c r="Z249">
        <v>23459.81</v>
      </c>
      <c r="AA249" s="14">
        <v>472452860.83999997</v>
      </c>
      <c r="AB249" s="14">
        <v>4495898455.4499998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33.33</v>
      </c>
      <c r="AL249">
        <v>33.33</v>
      </c>
      <c r="AM249">
        <v>2225541000</v>
      </c>
      <c r="AN249">
        <v>2487333000</v>
      </c>
      <c r="AO249">
        <v>0</v>
      </c>
      <c r="AP249">
        <v>0</v>
      </c>
      <c r="AQ249" s="29">
        <f t="shared" si="3"/>
        <v>10.508530508897174</v>
      </c>
    </row>
    <row r="250" spans="2:43" x14ac:dyDescent="0.3">
      <c r="B250" t="s">
        <v>1134</v>
      </c>
      <c r="C250" t="s">
        <v>1149</v>
      </c>
      <c r="D250" t="s">
        <v>1150</v>
      </c>
      <c r="E250" t="s">
        <v>1151</v>
      </c>
      <c r="F250" t="s">
        <v>46</v>
      </c>
      <c r="G250" t="s">
        <v>133</v>
      </c>
      <c r="H250" t="s">
        <v>60</v>
      </c>
      <c r="I250" t="s">
        <v>49</v>
      </c>
      <c r="J250" t="s">
        <v>373</v>
      </c>
      <c r="K250" t="s">
        <v>51</v>
      </c>
      <c r="L250" t="s">
        <v>51</v>
      </c>
      <c r="M250" t="s">
        <v>134</v>
      </c>
      <c r="N250" t="s">
        <v>125</v>
      </c>
      <c r="O250" t="s">
        <v>54</v>
      </c>
      <c r="P250" t="s">
        <v>54</v>
      </c>
      <c r="Q250" t="s">
        <v>51</v>
      </c>
      <c r="R250" t="s">
        <v>1152</v>
      </c>
      <c r="S250" s="1">
        <v>0</v>
      </c>
      <c r="T250" s="1">
        <v>0</v>
      </c>
      <c r="U250" s="1">
        <v>149000</v>
      </c>
      <c r="V250" s="1">
        <v>0</v>
      </c>
      <c r="W250" t="s">
        <v>51</v>
      </c>
      <c r="X250">
        <v>0</v>
      </c>
      <c r="Y250">
        <v>0</v>
      </c>
      <c r="Z250">
        <v>0</v>
      </c>
      <c r="AA250" s="14">
        <v>-149112.4</v>
      </c>
      <c r="AB250" s="14">
        <v>720594627.04999995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700000000</v>
      </c>
      <c r="AJ250">
        <v>500000000</v>
      </c>
      <c r="AK250">
        <v>100</v>
      </c>
      <c r="AL250">
        <v>100</v>
      </c>
      <c r="AM250">
        <v>10200000</v>
      </c>
      <c r="AN250">
        <v>710200000</v>
      </c>
      <c r="AO250">
        <v>700000000</v>
      </c>
      <c r="AP250">
        <v>500000000</v>
      </c>
      <c r="AQ250" s="29">
        <f t="shared" si="3"/>
        <v>-2.0692965837178456E-2</v>
      </c>
    </row>
    <row r="251" spans="2:43" x14ac:dyDescent="0.3">
      <c r="B251" t="s">
        <v>1134</v>
      </c>
      <c r="C251" t="s">
        <v>1153</v>
      </c>
      <c r="D251" t="s">
        <v>303</v>
      </c>
      <c r="E251" t="s">
        <v>1154</v>
      </c>
      <c r="F251" t="s">
        <v>46</v>
      </c>
      <c r="G251" t="s">
        <v>75</v>
      </c>
      <c r="H251" t="s">
        <v>60</v>
      </c>
      <c r="I251" t="s">
        <v>49</v>
      </c>
      <c r="J251" t="s">
        <v>50</v>
      </c>
      <c r="K251" t="s">
        <v>51</v>
      </c>
      <c r="L251" t="s">
        <v>51</v>
      </c>
      <c r="M251" t="s">
        <v>134</v>
      </c>
      <c r="N251" t="s">
        <v>1155</v>
      </c>
      <c r="O251" t="s">
        <v>54</v>
      </c>
      <c r="P251" t="s">
        <v>54</v>
      </c>
      <c r="Q251" t="s">
        <v>54</v>
      </c>
      <c r="R251" t="s">
        <v>1156</v>
      </c>
      <c r="S251" s="1">
        <v>11697071.09</v>
      </c>
      <c r="T251" s="1">
        <v>6354041.6900000004</v>
      </c>
      <c r="U251" s="1">
        <v>19451638.52</v>
      </c>
      <c r="V251" s="1">
        <v>465759.66</v>
      </c>
      <c r="W251" t="s">
        <v>51</v>
      </c>
      <c r="X251">
        <v>315191.63</v>
      </c>
      <c r="Y251">
        <v>0</v>
      </c>
      <c r="Z251">
        <v>47632.59</v>
      </c>
      <c r="AA251" s="14">
        <v>-5644337.2000000002</v>
      </c>
      <c r="AB251" s="14">
        <v>12702451.84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94.24</v>
      </c>
      <c r="AL251">
        <v>94.24</v>
      </c>
      <c r="AM251">
        <v>21702451.98</v>
      </c>
      <c r="AN251">
        <v>21702451.98</v>
      </c>
      <c r="AO251">
        <v>0</v>
      </c>
      <c r="AP251">
        <v>18122382.02</v>
      </c>
      <c r="AQ251" s="29">
        <f t="shared" si="3"/>
        <v>-44.435021451732581</v>
      </c>
    </row>
    <row r="252" spans="2:43" x14ac:dyDescent="0.3">
      <c r="B252" t="s">
        <v>1134</v>
      </c>
      <c r="C252" t="s">
        <v>1157</v>
      </c>
      <c r="D252" t="s">
        <v>1158</v>
      </c>
      <c r="E252" t="s">
        <v>1159</v>
      </c>
      <c r="F252" t="s">
        <v>70</v>
      </c>
      <c r="G252" t="s">
        <v>75</v>
      </c>
      <c r="H252" t="s">
        <v>60</v>
      </c>
      <c r="I252" t="s">
        <v>76</v>
      </c>
      <c r="J252" t="s">
        <v>50</v>
      </c>
      <c r="K252" t="s">
        <v>51</v>
      </c>
      <c r="L252" t="s">
        <v>51</v>
      </c>
      <c r="M252" s="11" t="s">
        <v>134</v>
      </c>
      <c r="N252" t="s">
        <v>81</v>
      </c>
      <c r="O252" t="s">
        <v>54</v>
      </c>
      <c r="P252" t="s">
        <v>54</v>
      </c>
      <c r="Q252" t="s">
        <v>51</v>
      </c>
      <c r="R252" t="s">
        <v>55</v>
      </c>
      <c r="S252" s="1">
        <v>0</v>
      </c>
      <c r="T252" s="1">
        <v>4276378.51</v>
      </c>
      <c r="U252" s="1">
        <v>25276047.199999999</v>
      </c>
      <c r="V252" s="1">
        <v>0</v>
      </c>
      <c r="W252" t="s">
        <v>51</v>
      </c>
      <c r="X252">
        <v>725692.78</v>
      </c>
      <c r="Y252">
        <v>0</v>
      </c>
      <c r="Z252">
        <v>0</v>
      </c>
      <c r="AA252" s="14">
        <v>-86771443.980000004</v>
      </c>
      <c r="AB252" s="14">
        <v>-544855831.86000001</v>
      </c>
      <c r="AC252">
        <v>0</v>
      </c>
      <c r="AD252">
        <v>0</v>
      </c>
      <c r="AE252">
        <v>19200000</v>
      </c>
      <c r="AF252" s="14">
        <v>17000000</v>
      </c>
      <c r="AG252">
        <v>0</v>
      </c>
      <c r="AH252" s="14">
        <v>0</v>
      </c>
      <c r="AI252">
        <v>0</v>
      </c>
      <c r="AJ252">
        <v>0</v>
      </c>
      <c r="AK252">
        <v>100</v>
      </c>
      <c r="AL252">
        <v>100</v>
      </c>
      <c r="AM252">
        <v>193337426.28999999</v>
      </c>
      <c r="AN252">
        <v>193337426.28999999</v>
      </c>
      <c r="AO252">
        <v>156662573.61000001</v>
      </c>
      <c r="AP252">
        <v>156662573.61000001</v>
      </c>
      <c r="AQ252" s="29">
        <f t="shared" si="3"/>
        <v>15.925578640460584</v>
      </c>
    </row>
    <row r="253" spans="2:43" x14ac:dyDescent="0.3">
      <c r="B253" t="s">
        <v>1134</v>
      </c>
      <c r="C253" t="s">
        <v>1160</v>
      </c>
      <c r="D253" t="s">
        <v>1161</v>
      </c>
      <c r="E253" t="s">
        <v>1162</v>
      </c>
      <c r="F253" t="s">
        <v>46</v>
      </c>
      <c r="G253" t="s">
        <v>224</v>
      </c>
      <c r="H253" t="s">
        <v>60</v>
      </c>
      <c r="I253" t="s">
        <v>49</v>
      </c>
      <c r="J253" t="s">
        <v>50</v>
      </c>
      <c r="K253" t="s">
        <v>51</v>
      </c>
      <c r="L253" t="s">
        <v>51</v>
      </c>
      <c r="M253" t="s">
        <v>134</v>
      </c>
      <c r="N253" t="s">
        <v>1163</v>
      </c>
      <c r="O253" t="s">
        <v>54</v>
      </c>
      <c r="P253" t="s">
        <v>54</v>
      </c>
      <c r="Q253" t="s">
        <v>54</v>
      </c>
      <c r="R253" t="s">
        <v>1164</v>
      </c>
      <c r="S253" s="1">
        <v>170927213.81</v>
      </c>
      <c r="T253" s="1">
        <v>60392061.159999996</v>
      </c>
      <c r="U253" s="1">
        <v>164695002.86000001</v>
      </c>
      <c r="V253" s="1">
        <v>237785.55</v>
      </c>
      <c r="W253" t="s">
        <v>51</v>
      </c>
      <c r="X253">
        <v>537533.23</v>
      </c>
      <c r="Y253">
        <v>0</v>
      </c>
      <c r="Z253">
        <v>22962.720000000001</v>
      </c>
      <c r="AA253" s="14">
        <v>11783663.57</v>
      </c>
      <c r="AB253" s="14">
        <v>290979798.89999998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100</v>
      </c>
      <c r="AL253">
        <v>100</v>
      </c>
      <c r="AM253">
        <v>289465153.32999998</v>
      </c>
      <c r="AN253">
        <v>289465153.30000001</v>
      </c>
      <c r="AO253">
        <v>74989104.359999999</v>
      </c>
      <c r="AP253">
        <v>74989104.359999999</v>
      </c>
      <c r="AQ253" s="29">
        <f t="shared" si="3"/>
        <v>4.0496500494350984</v>
      </c>
    </row>
    <row r="254" spans="2:43" x14ac:dyDescent="0.3">
      <c r="B254" t="s">
        <v>1134</v>
      </c>
      <c r="C254" t="s">
        <v>1165</v>
      </c>
      <c r="D254" t="s">
        <v>1166</v>
      </c>
      <c r="E254" t="s">
        <v>1167</v>
      </c>
      <c r="F254" t="s">
        <v>46</v>
      </c>
      <c r="G254" t="s">
        <v>240</v>
      </c>
      <c r="H254" t="s">
        <v>48</v>
      </c>
      <c r="I254" t="s">
        <v>49</v>
      </c>
      <c r="J254" t="s">
        <v>50</v>
      </c>
      <c r="K254" t="s">
        <v>51</v>
      </c>
      <c r="L254" t="s">
        <v>51</v>
      </c>
      <c r="M254" t="s">
        <v>134</v>
      </c>
      <c r="N254" t="s">
        <v>1168</v>
      </c>
      <c r="O254" t="s">
        <v>54</v>
      </c>
      <c r="P254" t="s">
        <v>54</v>
      </c>
      <c r="Q254" t="s">
        <v>54</v>
      </c>
      <c r="R254" t="s">
        <v>1169</v>
      </c>
      <c r="S254" s="1">
        <v>161165342.27000001</v>
      </c>
      <c r="T254" s="1">
        <v>7827217.8799999999</v>
      </c>
      <c r="U254" s="1">
        <v>23034756.370000001</v>
      </c>
      <c r="V254" s="1">
        <v>0</v>
      </c>
      <c r="W254" t="s">
        <v>51</v>
      </c>
      <c r="X254">
        <v>253554.3</v>
      </c>
      <c r="Y254">
        <v>0</v>
      </c>
      <c r="Z254">
        <v>0</v>
      </c>
      <c r="AA254" s="14">
        <v>7101553.5499999998</v>
      </c>
      <c r="AB254" s="14">
        <v>27105506.68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20000000</v>
      </c>
      <c r="AJ254">
        <v>0</v>
      </c>
      <c r="AK254">
        <v>100</v>
      </c>
      <c r="AL254">
        <v>100</v>
      </c>
      <c r="AM254">
        <v>64083815.590000004</v>
      </c>
      <c r="AN254">
        <v>64083815.590000004</v>
      </c>
      <c r="AO254">
        <v>500000</v>
      </c>
      <c r="AP254">
        <v>500000</v>
      </c>
      <c r="AQ254" s="29">
        <f t="shared" si="3"/>
        <v>26.199670914987671</v>
      </c>
    </row>
    <row r="255" spans="2:43" x14ac:dyDescent="0.3">
      <c r="B255" t="s">
        <v>1134</v>
      </c>
      <c r="C255" t="s">
        <v>1170</v>
      </c>
      <c r="D255" t="s">
        <v>1171</v>
      </c>
      <c r="E255" t="s">
        <v>1172</v>
      </c>
      <c r="F255" t="s">
        <v>46</v>
      </c>
      <c r="G255" t="s">
        <v>314</v>
      </c>
      <c r="H255" t="s">
        <v>48</v>
      </c>
      <c r="I255" t="s">
        <v>49</v>
      </c>
      <c r="J255" t="s">
        <v>50</v>
      </c>
      <c r="K255" t="s">
        <v>51</v>
      </c>
      <c r="L255" t="s">
        <v>51</v>
      </c>
      <c r="M255" t="s">
        <v>134</v>
      </c>
      <c r="N255" t="s">
        <v>1173</v>
      </c>
      <c r="O255" t="s">
        <v>54</v>
      </c>
      <c r="P255" t="s">
        <v>54</v>
      </c>
      <c r="Q255" t="s">
        <v>54</v>
      </c>
      <c r="R255" t="s">
        <v>1174</v>
      </c>
      <c r="S255" s="1">
        <v>225741088</v>
      </c>
      <c r="T255" s="1">
        <v>41286117</v>
      </c>
      <c r="U255" s="1">
        <v>353364500</v>
      </c>
      <c r="V255" s="1">
        <v>198479587</v>
      </c>
      <c r="W255" t="s">
        <v>51</v>
      </c>
      <c r="X255">
        <v>345286.59</v>
      </c>
      <c r="Y255">
        <v>0</v>
      </c>
      <c r="Z255">
        <v>0</v>
      </c>
      <c r="AA255" s="14">
        <v>-107798557</v>
      </c>
      <c r="AB255" s="14">
        <v>1594403966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731389764</v>
      </c>
      <c r="AK255">
        <v>100</v>
      </c>
      <c r="AL255">
        <v>100</v>
      </c>
      <c r="AM255">
        <v>972640089</v>
      </c>
      <c r="AN255">
        <v>972640089</v>
      </c>
      <c r="AO255">
        <v>3905700.13</v>
      </c>
      <c r="AP255">
        <v>3905700.13</v>
      </c>
      <c r="AQ255" s="29">
        <f t="shared" si="3"/>
        <v>-6.7610567521631468</v>
      </c>
    </row>
    <row r="256" spans="2:43" x14ac:dyDescent="0.3">
      <c r="B256" t="s">
        <v>1134</v>
      </c>
      <c r="C256" t="s">
        <v>1175</v>
      </c>
      <c r="D256" t="s">
        <v>1176</v>
      </c>
      <c r="E256" t="s">
        <v>1177</v>
      </c>
      <c r="F256" t="s">
        <v>46</v>
      </c>
      <c r="G256" t="s">
        <v>47</v>
      </c>
      <c r="H256" t="s">
        <v>60</v>
      </c>
      <c r="I256" t="s">
        <v>49</v>
      </c>
      <c r="J256" t="s">
        <v>50</v>
      </c>
      <c r="K256" t="s">
        <v>51</v>
      </c>
      <c r="L256" t="s">
        <v>51</v>
      </c>
      <c r="M256" t="s">
        <v>134</v>
      </c>
      <c r="N256" t="s">
        <v>1178</v>
      </c>
      <c r="O256" t="s">
        <v>54</v>
      </c>
      <c r="P256" t="s">
        <v>54</v>
      </c>
      <c r="Q256" t="s">
        <v>54</v>
      </c>
      <c r="R256" t="s">
        <v>1179</v>
      </c>
      <c r="S256" s="1">
        <v>439415934.27999997</v>
      </c>
      <c r="T256" s="1">
        <v>352939865.56</v>
      </c>
      <c r="U256" s="1">
        <v>473380000</v>
      </c>
      <c r="V256" s="1">
        <v>14330401.84</v>
      </c>
      <c r="W256" t="s">
        <v>51</v>
      </c>
      <c r="X256">
        <v>672830.52</v>
      </c>
      <c r="Y256">
        <v>31678.400000000001</v>
      </c>
      <c r="Z256">
        <v>19904.28</v>
      </c>
      <c r="AA256" s="14">
        <v>-16592949.24</v>
      </c>
      <c r="AB256" s="14">
        <v>145043343.08000001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100</v>
      </c>
      <c r="AL256">
        <v>100</v>
      </c>
      <c r="AM256">
        <v>203219287.84</v>
      </c>
      <c r="AN256">
        <v>203219287.84</v>
      </c>
      <c r="AO256">
        <v>0</v>
      </c>
      <c r="AP256">
        <v>0</v>
      </c>
      <c r="AQ256" s="29">
        <f t="shared" si="3"/>
        <v>-11.439993651310148</v>
      </c>
    </row>
    <row r="257" spans="2:43" x14ac:dyDescent="0.3">
      <c r="B257" t="s">
        <v>1180</v>
      </c>
      <c r="C257" t="s">
        <v>1181</v>
      </c>
      <c r="D257" t="s">
        <v>1182</v>
      </c>
      <c r="E257" t="s">
        <v>1183</v>
      </c>
      <c r="F257" t="s">
        <v>46</v>
      </c>
      <c r="G257" t="s">
        <v>102</v>
      </c>
      <c r="H257" t="s">
        <v>48</v>
      </c>
      <c r="I257" t="s">
        <v>76</v>
      </c>
      <c r="J257" t="s">
        <v>50</v>
      </c>
      <c r="K257" t="s">
        <v>51</v>
      </c>
      <c r="L257" t="s">
        <v>51</v>
      </c>
      <c r="M257" t="s">
        <v>52</v>
      </c>
      <c r="N257" t="s">
        <v>1184</v>
      </c>
      <c r="O257" t="s">
        <v>54</v>
      </c>
      <c r="P257" t="s">
        <v>54</v>
      </c>
      <c r="Q257" t="s">
        <v>51</v>
      </c>
      <c r="R257" t="s">
        <v>1185</v>
      </c>
      <c r="S257" s="1">
        <v>6634764.5300000003</v>
      </c>
      <c r="T257" s="1">
        <v>257000723.78</v>
      </c>
      <c r="U257" s="1">
        <v>290777172.29000002</v>
      </c>
      <c r="V257" s="1">
        <v>3496435.63</v>
      </c>
      <c r="W257" t="s">
        <v>51</v>
      </c>
      <c r="X257">
        <v>493394.96</v>
      </c>
      <c r="Y257">
        <v>0</v>
      </c>
      <c r="Z257">
        <v>15620.31</v>
      </c>
      <c r="AA257" s="14">
        <v>-4523290.33</v>
      </c>
      <c r="AB257" s="14">
        <v>-24341896.09</v>
      </c>
      <c r="AD257">
        <v>0</v>
      </c>
      <c r="AE257">
        <v>253733123.93000001</v>
      </c>
      <c r="AF257">
        <v>262956555.83000001</v>
      </c>
      <c r="AG257">
        <v>0</v>
      </c>
      <c r="AH257" s="14">
        <v>0</v>
      </c>
      <c r="AI257">
        <v>0</v>
      </c>
      <c r="AJ257">
        <v>0</v>
      </c>
      <c r="AK257">
        <v>42408424</v>
      </c>
      <c r="AL257">
        <v>49208424</v>
      </c>
      <c r="AM257">
        <v>42408423.68</v>
      </c>
      <c r="AN257">
        <v>49208423.68</v>
      </c>
      <c r="AO257">
        <v>6800000</v>
      </c>
      <c r="AP257">
        <v>0</v>
      </c>
      <c r="AQ257" s="29">
        <f t="shared" si="3"/>
        <v>18.582325359026704</v>
      </c>
    </row>
    <row r="258" spans="2:43" x14ac:dyDescent="0.3">
      <c r="B258" t="s">
        <v>1180</v>
      </c>
      <c r="C258" t="s">
        <v>1186</v>
      </c>
      <c r="D258" t="s">
        <v>1187</v>
      </c>
      <c r="E258" t="s">
        <v>1188</v>
      </c>
      <c r="F258" t="s">
        <v>70</v>
      </c>
      <c r="G258" t="s">
        <v>93</v>
      </c>
      <c r="H258" t="s">
        <v>60</v>
      </c>
      <c r="I258" t="s">
        <v>49</v>
      </c>
      <c r="J258" t="s">
        <v>50</v>
      </c>
      <c r="K258" t="s">
        <v>51</v>
      </c>
      <c r="L258" t="s">
        <v>51</v>
      </c>
      <c r="M258" t="s">
        <v>52</v>
      </c>
      <c r="N258" t="s">
        <v>683</v>
      </c>
      <c r="O258" t="s">
        <v>51</v>
      </c>
      <c r="P258" t="s">
        <v>54</v>
      </c>
      <c r="Q258" t="s">
        <v>51</v>
      </c>
      <c r="R258" t="s">
        <v>55</v>
      </c>
      <c r="S258" s="1">
        <v>4396820</v>
      </c>
      <c r="T258" s="1">
        <v>4894706.21</v>
      </c>
      <c r="U258" s="1">
        <v>6620680.1100000003</v>
      </c>
      <c r="V258" s="1">
        <v>0</v>
      </c>
      <c r="W258" t="s">
        <v>51</v>
      </c>
      <c r="X258">
        <v>298507.48</v>
      </c>
      <c r="Y258">
        <v>0</v>
      </c>
      <c r="Z258">
        <v>0</v>
      </c>
      <c r="AA258" s="14">
        <v>537560</v>
      </c>
      <c r="AB258" s="14">
        <v>-38539154</v>
      </c>
      <c r="AD258">
        <v>0</v>
      </c>
      <c r="AE258">
        <v>5510738</v>
      </c>
      <c r="AF258">
        <v>3436174.71</v>
      </c>
      <c r="AG258">
        <v>46342958.68</v>
      </c>
      <c r="AH258" s="14">
        <v>46342958.68</v>
      </c>
      <c r="AI258">
        <v>0</v>
      </c>
      <c r="AJ258">
        <v>0</v>
      </c>
      <c r="AK258">
        <v>32300207</v>
      </c>
      <c r="AL258">
        <v>32300207</v>
      </c>
      <c r="AM258">
        <v>32300207</v>
      </c>
      <c r="AN258">
        <v>32300207</v>
      </c>
      <c r="AO258">
        <v>0</v>
      </c>
      <c r="AP258">
        <v>0</v>
      </c>
      <c r="AQ258" s="29">
        <f t="shared" ref="AQ258:AQ299" si="4">AA258*100/AB258</f>
        <v>-1.3948412048692092</v>
      </c>
    </row>
    <row r="259" spans="2:43" x14ac:dyDescent="0.3">
      <c r="B259" t="s">
        <v>1180</v>
      </c>
      <c r="C259" t="s">
        <v>1189</v>
      </c>
      <c r="D259" t="s">
        <v>1190</v>
      </c>
      <c r="E259" t="s">
        <v>1191</v>
      </c>
      <c r="F259" t="s">
        <v>46</v>
      </c>
      <c r="G259" t="s">
        <v>102</v>
      </c>
      <c r="H259" t="s">
        <v>48</v>
      </c>
      <c r="I259" t="s">
        <v>363</v>
      </c>
      <c r="J259" t="s">
        <v>50</v>
      </c>
      <c r="K259" t="s">
        <v>51</v>
      </c>
      <c r="L259" t="s">
        <v>51</v>
      </c>
      <c r="M259" t="s">
        <v>52</v>
      </c>
      <c r="N259" t="s">
        <v>1192</v>
      </c>
      <c r="O259" t="s">
        <v>54</v>
      </c>
      <c r="P259" t="s">
        <v>54</v>
      </c>
      <c r="Q259" t="s">
        <v>51</v>
      </c>
      <c r="R259" t="s">
        <v>1193</v>
      </c>
      <c r="S259" s="1">
        <v>26417165</v>
      </c>
      <c r="T259" s="1">
        <v>490056603.76999998</v>
      </c>
      <c r="U259" s="1">
        <v>540390768.53999996</v>
      </c>
      <c r="V259" s="1">
        <v>20240225</v>
      </c>
      <c r="W259" t="s">
        <v>51</v>
      </c>
      <c r="X259">
        <v>456991.71</v>
      </c>
      <c r="Y259">
        <v>0</v>
      </c>
      <c r="Z259">
        <v>24139.81</v>
      </c>
      <c r="AA259" s="14">
        <v>-12199694.869999999</v>
      </c>
      <c r="AB259" s="14">
        <v>-37869823</v>
      </c>
      <c r="AD259">
        <v>0</v>
      </c>
      <c r="AE259">
        <v>433219082</v>
      </c>
      <c r="AF259">
        <v>457591779</v>
      </c>
      <c r="AG259">
        <v>0</v>
      </c>
      <c r="AH259" s="14">
        <v>0</v>
      </c>
      <c r="AI259">
        <v>0</v>
      </c>
      <c r="AJ259">
        <v>0</v>
      </c>
      <c r="AK259">
        <v>169781641.53</v>
      </c>
      <c r="AL259">
        <v>169781642</v>
      </c>
      <c r="AM259">
        <v>169781641.53</v>
      </c>
      <c r="AN259">
        <v>169781642</v>
      </c>
      <c r="AO259">
        <v>0</v>
      </c>
      <c r="AP259">
        <v>0</v>
      </c>
      <c r="AQ259" s="29">
        <f t="shared" si="4"/>
        <v>32.214818828173556</v>
      </c>
    </row>
    <row r="260" spans="2:43" x14ac:dyDescent="0.3">
      <c r="B260" t="s">
        <v>1180</v>
      </c>
      <c r="C260" t="s">
        <v>1194</v>
      </c>
      <c r="D260" t="s">
        <v>1195</v>
      </c>
      <c r="E260" t="s">
        <v>1196</v>
      </c>
      <c r="F260" t="s">
        <v>70</v>
      </c>
      <c r="G260" t="s">
        <v>162</v>
      </c>
      <c r="H260" t="s">
        <v>60</v>
      </c>
      <c r="I260" t="s">
        <v>49</v>
      </c>
      <c r="J260" t="s">
        <v>50</v>
      </c>
      <c r="K260" t="s">
        <v>51</v>
      </c>
      <c r="L260" t="s">
        <v>51</v>
      </c>
      <c r="M260" t="s">
        <v>52</v>
      </c>
      <c r="N260" t="s">
        <v>754</v>
      </c>
      <c r="O260" t="s">
        <v>51</v>
      </c>
      <c r="P260" t="s">
        <v>54</v>
      </c>
      <c r="Q260" t="s">
        <v>51</v>
      </c>
      <c r="R260" t="s">
        <v>55</v>
      </c>
      <c r="S260" s="1">
        <v>5973035</v>
      </c>
      <c r="T260" s="1">
        <v>6063861</v>
      </c>
      <c r="U260" s="1">
        <v>6206595</v>
      </c>
      <c r="V260" s="1">
        <v>0</v>
      </c>
      <c r="W260" t="s">
        <v>51</v>
      </c>
      <c r="X260">
        <v>2709.98</v>
      </c>
      <c r="Y260">
        <v>0</v>
      </c>
      <c r="Z260">
        <v>0</v>
      </c>
      <c r="AA260" s="14">
        <v>-233560</v>
      </c>
      <c r="AB260" s="14">
        <v>-227931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3413873</v>
      </c>
      <c r="AL260">
        <v>3413873</v>
      </c>
      <c r="AM260">
        <v>3528671</v>
      </c>
      <c r="AN260">
        <v>3528671</v>
      </c>
      <c r="AO260">
        <v>1165848</v>
      </c>
      <c r="AP260">
        <v>1165848</v>
      </c>
      <c r="AQ260" s="29">
        <f t="shared" si="4"/>
        <v>102.46960703019774</v>
      </c>
    </row>
    <row r="261" spans="2:43" x14ac:dyDescent="0.3">
      <c r="B261" t="s">
        <v>1180</v>
      </c>
      <c r="C261" t="s">
        <v>1197</v>
      </c>
      <c r="D261" t="s">
        <v>1198</v>
      </c>
      <c r="E261" t="s">
        <v>1199</v>
      </c>
      <c r="F261" t="s">
        <v>46</v>
      </c>
      <c r="G261" t="s">
        <v>71</v>
      </c>
      <c r="H261" t="s">
        <v>60</v>
      </c>
      <c r="I261" t="s">
        <v>49</v>
      </c>
      <c r="J261" t="s">
        <v>50</v>
      </c>
      <c r="K261" t="s">
        <v>51</v>
      </c>
      <c r="L261" t="s">
        <v>51</v>
      </c>
      <c r="M261" t="s">
        <v>134</v>
      </c>
      <c r="N261" t="s">
        <v>1200</v>
      </c>
      <c r="O261" t="s">
        <v>54</v>
      </c>
      <c r="P261" t="s">
        <v>54</v>
      </c>
      <c r="Q261" t="s">
        <v>54</v>
      </c>
      <c r="R261" t="s">
        <v>1201</v>
      </c>
      <c r="S261" s="1">
        <v>210522000</v>
      </c>
      <c r="T261" s="1">
        <v>51417000</v>
      </c>
      <c r="U261" s="1">
        <v>137200000</v>
      </c>
      <c r="V261" s="1">
        <v>2060000</v>
      </c>
      <c r="W261" t="s">
        <v>51</v>
      </c>
      <c r="X261">
        <v>784877.19</v>
      </c>
      <c r="Y261">
        <v>0</v>
      </c>
      <c r="Z261">
        <v>0</v>
      </c>
      <c r="AA261" s="14">
        <v>114459000</v>
      </c>
      <c r="AB261" s="14">
        <v>991546000</v>
      </c>
      <c r="AD261">
        <v>61748000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271102262</v>
      </c>
      <c r="AL261">
        <v>271102262</v>
      </c>
      <c r="AM261">
        <v>699704845.25999999</v>
      </c>
      <c r="AN261">
        <v>699704845.25999999</v>
      </c>
      <c r="AO261">
        <v>37701461.810000002</v>
      </c>
      <c r="AP261">
        <v>737406307.07000005</v>
      </c>
      <c r="AQ261" s="29">
        <f t="shared" si="4"/>
        <v>11.54348865307308</v>
      </c>
    </row>
    <row r="262" spans="2:43" x14ac:dyDescent="0.3">
      <c r="B262" t="s">
        <v>1180</v>
      </c>
      <c r="C262" t="s">
        <v>1202</v>
      </c>
      <c r="D262" t="s">
        <v>1203</v>
      </c>
      <c r="E262" t="s">
        <v>1204</v>
      </c>
      <c r="F262" t="s">
        <v>70</v>
      </c>
      <c r="G262" t="s">
        <v>71</v>
      </c>
      <c r="H262" t="s">
        <v>60</v>
      </c>
      <c r="I262" t="s">
        <v>49</v>
      </c>
      <c r="J262" t="s">
        <v>50</v>
      </c>
      <c r="K262" t="s">
        <v>51</v>
      </c>
      <c r="L262" t="s">
        <v>51</v>
      </c>
      <c r="M262" t="s">
        <v>134</v>
      </c>
      <c r="N262" t="s">
        <v>125</v>
      </c>
      <c r="O262" t="s">
        <v>51</v>
      </c>
      <c r="P262" t="s">
        <v>54</v>
      </c>
      <c r="Q262" t="s">
        <v>51</v>
      </c>
      <c r="R262" t="s">
        <v>55</v>
      </c>
      <c r="S262" s="1">
        <v>957619.37</v>
      </c>
      <c r="T262" s="1">
        <v>343498.26</v>
      </c>
      <c r="U262" s="1">
        <v>826410.3</v>
      </c>
      <c r="V262" s="1">
        <v>0</v>
      </c>
      <c r="W262" t="s">
        <v>51</v>
      </c>
      <c r="X262">
        <v>114343.71</v>
      </c>
      <c r="Y262">
        <v>0</v>
      </c>
      <c r="Z262">
        <v>0</v>
      </c>
      <c r="AA262" s="14">
        <v>259557.92</v>
      </c>
      <c r="AB262" s="14">
        <v>880273.94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4774469.43</v>
      </c>
      <c r="AL262">
        <v>6269072.6200000001</v>
      </c>
      <c r="AM262">
        <v>4774650.18</v>
      </c>
      <c r="AN262">
        <v>6269072.6200000001</v>
      </c>
      <c r="AO262">
        <v>0</v>
      </c>
      <c r="AP262">
        <v>0</v>
      </c>
      <c r="AQ262" s="29">
        <f t="shared" si="4"/>
        <v>29.486039311807868</v>
      </c>
    </row>
    <row r="263" spans="2:43" x14ac:dyDescent="0.3">
      <c r="B263" t="s">
        <v>1180</v>
      </c>
      <c r="C263" t="s">
        <v>1205</v>
      </c>
      <c r="D263" t="s">
        <v>1146</v>
      </c>
      <c r="E263" t="s">
        <v>1147</v>
      </c>
      <c r="F263" t="s">
        <v>46</v>
      </c>
      <c r="G263" t="s">
        <v>71</v>
      </c>
      <c r="H263" t="s">
        <v>48</v>
      </c>
      <c r="I263" t="s">
        <v>76</v>
      </c>
      <c r="J263" t="s">
        <v>50</v>
      </c>
      <c r="K263" t="s">
        <v>51</v>
      </c>
      <c r="L263" t="s">
        <v>51</v>
      </c>
      <c r="M263" t="s">
        <v>134</v>
      </c>
      <c r="N263" t="s">
        <v>173</v>
      </c>
      <c r="O263" t="s">
        <v>54</v>
      </c>
      <c r="P263" t="s">
        <v>54</v>
      </c>
      <c r="Q263" t="s">
        <v>54</v>
      </c>
      <c r="R263" t="s">
        <v>1206</v>
      </c>
      <c r="S263" s="1">
        <v>3023117296.27</v>
      </c>
      <c r="T263" s="1">
        <v>262579991.37</v>
      </c>
      <c r="U263" s="1">
        <v>2409384131.54</v>
      </c>
      <c r="V263" s="1">
        <v>3813473.77</v>
      </c>
      <c r="W263" t="s">
        <v>54</v>
      </c>
      <c r="X263">
        <v>828506.55</v>
      </c>
      <c r="Y263">
        <v>44970.29</v>
      </c>
      <c r="Z263">
        <v>23459.81</v>
      </c>
      <c r="AA263" s="14">
        <v>472452860.83999997</v>
      </c>
      <c r="AB263" s="14">
        <v>4495898455.4499998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2225541000</v>
      </c>
      <c r="AL263">
        <v>2487333000</v>
      </c>
      <c r="AM263">
        <v>2225541000</v>
      </c>
      <c r="AN263">
        <v>2487333000</v>
      </c>
      <c r="AO263">
        <v>0</v>
      </c>
      <c r="AP263">
        <v>0</v>
      </c>
      <c r="AQ263" s="29">
        <f t="shared" si="4"/>
        <v>10.508530508897174</v>
      </c>
    </row>
    <row r="264" spans="2:43" x14ac:dyDescent="0.3">
      <c r="B264" t="s">
        <v>1180</v>
      </c>
      <c r="C264" t="s">
        <v>1207</v>
      </c>
      <c r="D264" t="s">
        <v>1208</v>
      </c>
      <c r="E264" t="s">
        <v>1209</v>
      </c>
      <c r="F264" t="s">
        <v>46</v>
      </c>
      <c r="G264" t="s">
        <v>107</v>
      </c>
      <c r="H264" t="s">
        <v>60</v>
      </c>
      <c r="I264" t="s">
        <v>49</v>
      </c>
      <c r="J264" t="s">
        <v>373</v>
      </c>
      <c r="K264" t="s">
        <v>54</v>
      </c>
      <c r="L264" t="s">
        <v>51</v>
      </c>
      <c r="M264" t="s">
        <v>134</v>
      </c>
      <c r="N264" t="s">
        <v>1210</v>
      </c>
      <c r="O264" t="s">
        <v>54</v>
      </c>
      <c r="P264" t="s">
        <v>54</v>
      </c>
      <c r="Q264" t="s">
        <v>54</v>
      </c>
      <c r="R264" t="s">
        <v>1211</v>
      </c>
      <c r="S264" s="1">
        <v>1950409764</v>
      </c>
      <c r="T264" s="1">
        <v>568118199</v>
      </c>
      <c r="U264" s="1">
        <v>1778371124.3599999</v>
      </c>
      <c r="V264" s="1">
        <v>601985924</v>
      </c>
      <c r="W264" t="s">
        <v>51</v>
      </c>
      <c r="X264">
        <v>715418.74</v>
      </c>
      <c r="Y264">
        <v>0</v>
      </c>
      <c r="Z264">
        <v>0</v>
      </c>
      <c r="AA264" s="14">
        <v>243027590</v>
      </c>
      <c r="AB264" s="14">
        <v>2258409000</v>
      </c>
      <c r="AD264">
        <v>10735810</v>
      </c>
      <c r="AE264">
        <v>0</v>
      </c>
      <c r="AF264">
        <v>0</v>
      </c>
      <c r="AG264">
        <v>0</v>
      </c>
      <c r="AH264">
        <v>0</v>
      </c>
      <c r="AI264">
        <v>113081435</v>
      </c>
      <c r="AJ264">
        <v>0</v>
      </c>
      <c r="AK264">
        <v>926058028</v>
      </c>
      <c r="AL264">
        <v>1037053443</v>
      </c>
      <c r="AM264">
        <v>1095971978</v>
      </c>
      <c r="AN264">
        <v>1226706788</v>
      </c>
      <c r="AO264">
        <v>120000000</v>
      </c>
      <c r="AP264">
        <v>0</v>
      </c>
      <c r="AQ264" s="29">
        <f t="shared" si="4"/>
        <v>10.761008745537234</v>
      </c>
    </row>
    <row r="265" spans="2:43" x14ac:dyDescent="0.3">
      <c r="B265" t="s">
        <v>1180</v>
      </c>
      <c r="C265" t="s">
        <v>1212</v>
      </c>
      <c r="D265" t="s">
        <v>303</v>
      </c>
      <c r="E265" t="s">
        <v>1213</v>
      </c>
      <c r="F265" t="s">
        <v>46</v>
      </c>
      <c r="G265" t="s">
        <v>75</v>
      </c>
      <c r="H265" t="s">
        <v>60</v>
      </c>
      <c r="I265" t="s">
        <v>49</v>
      </c>
      <c r="J265" t="s">
        <v>50</v>
      </c>
      <c r="K265" t="s">
        <v>51</v>
      </c>
      <c r="L265" t="s">
        <v>51</v>
      </c>
      <c r="M265" t="s">
        <v>134</v>
      </c>
      <c r="N265" t="s">
        <v>278</v>
      </c>
      <c r="O265" t="s">
        <v>54</v>
      </c>
      <c r="P265" t="s">
        <v>54</v>
      </c>
      <c r="Q265" t="s">
        <v>51</v>
      </c>
      <c r="R265" t="s">
        <v>55</v>
      </c>
      <c r="S265" s="1">
        <v>7103944.3200000003</v>
      </c>
      <c r="T265" s="1">
        <v>3224480.22</v>
      </c>
      <c r="U265" s="1">
        <v>6872800.1200000001</v>
      </c>
      <c r="V265" s="1">
        <v>203764.25</v>
      </c>
      <c r="W265" t="s">
        <v>51</v>
      </c>
      <c r="X265">
        <v>190906.36</v>
      </c>
      <c r="Y265">
        <v>0</v>
      </c>
      <c r="Z265">
        <v>23166.07</v>
      </c>
      <c r="AA265" s="14">
        <v>1187883.8700000001</v>
      </c>
      <c r="AB265" s="14">
        <v>14895354.66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93.91</v>
      </c>
      <c r="AL265">
        <v>93.91</v>
      </c>
      <c r="AM265">
        <v>12735232.08</v>
      </c>
      <c r="AN265">
        <v>12735232.08</v>
      </c>
      <c r="AO265">
        <v>1455785.92</v>
      </c>
      <c r="AP265">
        <v>1455785.92</v>
      </c>
      <c r="AQ265" s="29">
        <f t="shared" si="4"/>
        <v>7.9748612712790559</v>
      </c>
    </row>
    <row r="266" spans="2:43" x14ac:dyDescent="0.3">
      <c r="B266" t="s">
        <v>1180</v>
      </c>
      <c r="C266" t="s">
        <v>1214</v>
      </c>
      <c r="D266" t="s">
        <v>1215</v>
      </c>
      <c r="E266" t="s">
        <v>1216</v>
      </c>
      <c r="F266" t="s">
        <v>46</v>
      </c>
      <c r="G266" t="s">
        <v>409</v>
      </c>
      <c r="H266" t="s">
        <v>60</v>
      </c>
      <c r="I266" t="s">
        <v>49</v>
      </c>
      <c r="J266" t="s">
        <v>373</v>
      </c>
      <c r="K266" t="s">
        <v>54</v>
      </c>
      <c r="L266" t="s">
        <v>51</v>
      </c>
      <c r="M266" t="s">
        <v>134</v>
      </c>
      <c r="N266" t="s">
        <v>1217</v>
      </c>
      <c r="O266" t="s">
        <v>54</v>
      </c>
      <c r="P266" t="s">
        <v>54</v>
      </c>
      <c r="Q266" t="s">
        <v>54</v>
      </c>
      <c r="R266" t="s">
        <v>1218</v>
      </c>
      <c r="S266" s="1">
        <v>10658858000</v>
      </c>
      <c r="T266" s="1">
        <v>940532000</v>
      </c>
      <c r="U266" s="1">
        <v>9504632000</v>
      </c>
      <c r="V266" s="1">
        <v>1264694000</v>
      </c>
      <c r="W266" t="s">
        <v>54</v>
      </c>
      <c r="X266">
        <v>469171.81</v>
      </c>
      <c r="Y266">
        <v>27165.040000000001</v>
      </c>
      <c r="Z266">
        <v>65248.81</v>
      </c>
      <c r="AA266" s="14">
        <v>715182000</v>
      </c>
      <c r="AB266" s="14">
        <v>2932567000</v>
      </c>
      <c r="AD266">
        <v>43675351.340000004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7791201</v>
      </c>
      <c r="AL266">
        <v>7791201</v>
      </c>
      <c r="AM266">
        <v>2480000000</v>
      </c>
      <c r="AN266">
        <v>2480000000</v>
      </c>
      <c r="AO266">
        <v>0</v>
      </c>
      <c r="AP266">
        <v>0</v>
      </c>
      <c r="AQ266" s="29">
        <f t="shared" si="4"/>
        <v>24.387575799632199</v>
      </c>
    </row>
    <row r="267" spans="2:43" x14ac:dyDescent="0.3">
      <c r="B267" t="s">
        <v>1180</v>
      </c>
      <c r="C267" t="s">
        <v>1219</v>
      </c>
      <c r="D267" t="s">
        <v>1220</v>
      </c>
      <c r="E267" t="s">
        <v>1221</v>
      </c>
      <c r="F267" t="s">
        <v>46</v>
      </c>
      <c r="G267" t="s">
        <v>47</v>
      </c>
      <c r="H267" t="s">
        <v>48</v>
      </c>
      <c r="I267" t="s">
        <v>49</v>
      </c>
      <c r="J267" t="s">
        <v>50</v>
      </c>
      <c r="K267" t="s">
        <v>51</v>
      </c>
      <c r="L267" t="s">
        <v>51</v>
      </c>
      <c r="M267" t="s">
        <v>134</v>
      </c>
      <c r="N267" t="s">
        <v>1222</v>
      </c>
      <c r="O267" t="s">
        <v>54</v>
      </c>
      <c r="P267" t="s">
        <v>54</v>
      </c>
      <c r="Q267" t="s">
        <v>51</v>
      </c>
      <c r="R267" t="s">
        <v>55</v>
      </c>
      <c r="S267" s="1">
        <v>191504685.09999999</v>
      </c>
      <c r="T267" s="1">
        <v>124208209.56999999</v>
      </c>
      <c r="U267" s="1">
        <v>206881075.90000001</v>
      </c>
      <c r="V267" s="1">
        <v>8208279.3300000001</v>
      </c>
      <c r="W267" t="s">
        <v>51</v>
      </c>
      <c r="X267">
        <v>703922.31</v>
      </c>
      <c r="Y267">
        <v>0</v>
      </c>
      <c r="Z267">
        <v>8938.5</v>
      </c>
      <c r="AA267" s="14">
        <v>-13702055.369999999</v>
      </c>
      <c r="AB267" s="14">
        <v>36449419.990000002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66288995</v>
      </c>
      <c r="AL267">
        <v>66288995</v>
      </c>
      <c r="AM267">
        <v>66288995</v>
      </c>
      <c r="AN267">
        <v>66288995.5</v>
      </c>
      <c r="AO267">
        <v>18711004.5</v>
      </c>
      <c r="AP267">
        <v>18711004.5</v>
      </c>
      <c r="AQ267" s="29">
        <f t="shared" si="4"/>
        <v>-37.591970938794624</v>
      </c>
    </row>
    <row r="268" spans="2:43" x14ac:dyDescent="0.3">
      <c r="B268" t="s">
        <v>1180</v>
      </c>
      <c r="C268" t="s">
        <v>1223</v>
      </c>
      <c r="D268" t="s">
        <v>1224</v>
      </c>
      <c r="E268" t="s">
        <v>1225</v>
      </c>
      <c r="F268" t="s">
        <v>46</v>
      </c>
      <c r="G268" t="s">
        <v>162</v>
      </c>
      <c r="H268" t="s">
        <v>60</v>
      </c>
      <c r="I268" t="s">
        <v>49</v>
      </c>
      <c r="J268" t="s">
        <v>50</v>
      </c>
      <c r="K268" t="s">
        <v>51</v>
      </c>
      <c r="L268" t="s">
        <v>51</v>
      </c>
      <c r="M268" t="s">
        <v>134</v>
      </c>
      <c r="N268" t="s">
        <v>405</v>
      </c>
      <c r="O268" t="s">
        <v>54</v>
      </c>
      <c r="P268" t="s">
        <v>54</v>
      </c>
      <c r="Q268" t="s">
        <v>51</v>
      </c>
      <c r="R268" t="s">
        <v>55</v>
      </c>
      <c r="S268" s="1">
        <v>5612971.7199999997</v>
      </c>
      <c r="T268" s="1">
        <v>2130600.34</v>
      </c>
      <c r="U268" s="1">
        <v>6247865.0300000003</v>
      </c>
      <c r="V268" s="1">
        <v>0</v>
      </c>
      <c r="W268" t="s">
        <v>51</v>
      </c>
      <c r="X268">
        <v>216776.28</v>
      </c>
      <c r="Y268">
        <v>0</v>
      </c>
      <c r="Z268">
        <v>0</v>
      </c>
      <c r="AA268" s="14">
        <v>-1612417.77</v>
      </c>
      <c r="AB268" s="14">
        <v>2438926.6800000002</v>
      </c>
      <c r="AD268">
        <v>0</v>
      </c>
      <c r="AE268">
        <v>0</v>
      </c>
      <c r="AF268">
        <v>0</v>
      </c>
      <c r="AG268">
        <v>3651537</v>
      </c>
      <c r="AH268">
        <v>3003619.55</v>
      </c>
      <c r="AI268">
        <v>0</v>
      </c>
      <c r="AJ268">
        <v>0</v>
      </c>
      <c r="AK268">
        <v>2000000</v>
      </c>
      <c r="AL268">
        <v>2000000</v>
      </c>
      <c r="AM268">
        <v>1616016.74</v>
      </c>
      <c r="AN268">
        <v>1616016.74</v>
      </c>
      <c r="AO268">
        <v>10429792.140000001</v>
      </c>
      <c r="AP268">
        <v>12651041.42</v>
      </c>
      <c r="AQ268" s="29">
        <f t="shared" si="4"/>
        <v>-66.111777087124239</v>
      </c>
    </row>
    <row r="269" spans="2:43" x14ac:dyDescent="0.3">
      <c r="B269" t="s">
        <v>1180</v>
      </c>
      <c r="C269" t="s">
        <v>1226</v>
      </c>
      <c r="D269" t="s">
        <v>1227</v>
      </c>
      <c r="E269" t="s">
        <v>1228</v>
      </c>
      <c r="F269" t="s">
        <v>46</v>
      </c>
      <c r="G269" t="s">
        <v>65</v>
      </c>
      <c r="H269" t="s">
        <v>60</v>
      </c>
      <c r="I269" t="s">
        <v>49</v>
      </c>
      <c r="J269" t="s">
        <v>50</v>
      </c>
      <c r="K269" t="s">
        <v>51</v>
      </c>
      <c r="L269" t="s">
        <v>51</v>
      </c>
      <c r="M269" t="s">
        <v>134</v>
      </c>
      <c r="N269" t="s">
        <v>208</v>
      </c>
      <c r="O269" t="s">
        <v>54</v>
      </c>
      <c r="P269" t="s">
        <v>54</v>
      </c>
      <c r="Q269" t="s">
        <v>51</v>
      </c>
      <c r="R269" t="s">
        <v>55</v>
      </c>
      <c r="S269" s="1">
        <v>94254.8</v>
      </c>
      <c r="T269" s="1">
        <v>82846.39</v>
      </c>
      <c r="U269" s="1">
        <v>139153.54</v>
      </c>
      <c r="V269" s="1">
        <v>0</v>
      </c>
      <c r="W269" t="s">
        <v>51</v>
      </c>
      <c r="X269">
        <v>0</v>
      </c>
      <c r="Y269">
        <v>0</v>
      </c>
      <c r="Z269">
        <v>0</v>
      </c>
      <c r="AA269" s="14">
        <v>-44898.74</v>
      </c>
      <c r="AB269" s="14">
        <v>2227275.89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23272243</v>
      </c>
      <c r="AL269">
        <v>23272243</v>
      </c>
      <c r="AM269">
        <v>23370426.239999998</v>
      </c>
      <c r="AN269">
        <v>23272243</v>
      </c>
      <c r="AO269">
        <v>0</v>
      </c>
      <c r="AP269">
        <v>0</v>
      </c>
      <c r="AQ269" s="29">
        <f t="shared" si="4"/>
        <v>-2.0158589333986816</v>
      </c>
    </row>
    <row r="270" spans="2:43" x14ac:dyDescent="0.3">
      <c r="B270" t="s">
        <v>1180</v>
      </c>
      <c r="C270" t="s">
        <v>1229</v>
      </c>
      <c r="D270" t="s">
        <v>1230</v>
      </c>
      <c r="E270" t="s">
        <v>1231</v>
      </c>
      <c r="F270" t="s">
        <v>46</v>
      </c>
      <c r="G270" t="s">
        <v>71</v>
      </c>
      <c r="H270" t="s">
        <v>60</v>
      </c>
      <c r="I270" t="s">
        <v>49</v>
      </c>
      <c r="J270" t="s">
        <v>50</v>
      </c>
      <c r="K270" t="s">
        <v>51</v>
      </c>
      <c r="L270" t="s">
        <v>51</v>
      </c>
      <c r="M270" t="s">
        <v>134</v>
      </c>
      <c r="N270" t="s">
        <v>66</v>
      </c>
      <c r="O270" t="s">
        <v>54</v>
      </c>
      <c r="P270" t="s">
        <v>54</v>
      </c>
      <c r="Q270" t="s">
        <v>54</v>
      </c>
      <c r="R270" t="s">
        <v>55</v>
      </c>
      <c r="S270" s="1">
        <v>0</v>
      </c>
      <c r="T270" s="1">
        <v>0</v>
      </c>
      <c r="U270" s="1">
        <v>1399235743.8099999</v>
      </c>
      <c r="V270" s="1">
        <v>0</v>
      </c>
      <c r="W270" t="s">
        <v>51</v>
      </c>
      <c r="X270">
        <v>0</v>
      </c>
      <c r="Y270">
        <v>0</v>
      </c>
      <c r="Z270">
        <v>0</v>
      </c>
      <c r="AA270" s="14">
        <v>-1399235709</v>
      </c>
      <c r="AB270" s="14">
        <v>-12619554620.6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199000</v>
      </c>
      <c r="AL270">
        <v>200000</v>
      </c>
      <c r="AM270">
        <v>82682702.340000004</v>
      </c>
      <c r="AN270">
        <v>82795760.480000004</v>
      </c>
      <c r="AO270">
        <v>117317297.66</v>
      </c>
      <c r="AP270">
        <v>117204239.52</v>
      </c>
      <c r="AQ270" s="29">
        <f t="shared" si="4"/>
        <v>11.087837495595172</v>
      </c>
    </row>
    <row r="271" spans="2:43" x14ac:dyDescent="0.3">
      <c r="B271" t="s">
        <v>1180</v>
      </c>
      <c r="C271" t="s">
        <v>1232</v>
      </c>
      <c r="D271" t="s">
        <v>1233</v>
      </c>
      <c r="E271" t="s">
        <v>1234</v>
      </c>
      <c r="F271" t="s">
        <v>46</v>
      </c>
      <c r="G271" t="s">
        <v>93</v>
      </c>
      <c r="H271" t="s">
        <v>60</v>
      </c>
      <c r="I271" t="s">
        <v>49</v>
      </c>
      <c r="J271" t="s">
        <v>50</v>
      </c>
      <c r="K271" t="s">
        <v>51</v>
      </c>
      <c r="L271" t="s">
        <v>51</v>
      </c>
      <c r="M271" t="s">
        <v>134</v>
      </c>
      <c r="N271" t="s">
        <v>250</v>
      </c>
      <c r="O271" t="s">
        <v>54</v>
      </c>
      <c r="P271" t="s">
        <v>54</v>
      </c>
      <c r="Q271" t="s">
        <v>51</v>
      </c>
      <c r="R271" t="s">
        <v>55</v>
      </c>
      <c r="S271" s="1">
        <v>36656036.789999999</v>
      </c>
      <c r="T271" s="1">
        <v>2676733.1800000002</v>
      </c>
      <c r="U271" s="1">
        <v>23605589.82</v>
      </c>
      <c r="V271" s="1">
        <v>131978.93</v>
      </c>
      <c r="W271" t="s">
        <v>51</v>
      </c>
      <c r="X271">
        <v>208250.14</v>
      </c>
      <c r="Y271">
        <v>0</v>
      </c>
      <c r="Z271">
        <v>0</v>
      </c>
      <c r="AA271" s="14">
        <v>55603427.43</v>
      </c>
      <c r="AB271" s="14">
        <v>483002777.99000001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20251723.949999999</v>
      </c>
      <c r="AJ271">
        <v>25879445.800000001</v>
      </c>
      <c r="AK271">
        <v>210708078</v>
      </c>
      <c r="AL271">
        <v>230959802</v>
      </c>
      <c r="AM271">
        <v>210708078</v>
      </c>
      <c r="AN271">
        <v>230959802</v>
      </c>
      <c r="AO271">
        <v>6209566</v>
      </c>
      <c r="AP271">
        <v>0</v>
      </c>
      <c r="AQ271" s="29">
        <f t="shared" si="4"/>
        <v>11.51203056458429</v>
      </c>
    </row>
    <row r="272" spans="2:43" x14ac:dyDescent="0.3">
      <c r="B272" t="s">
        <v>1180</v>
      </c>
      <c r="C272" t="s">
        <v>1235</v>
      </c>
      <c r="D272" t="s">
        <v>1236</v>
      </c>
      <c r="E272" t="s">
        <v>1237</v>
      </c>
      <c r="F272" t="s">
        <v>46</v>
      </c>
      <c r="G272" t="s">
        <v>133</v>
      </c>
      <c r="H272" t="s">
        <v>60</v>
      </c>
      <c r="I272" t="s">
        <v>49</v>
      </c>
      <c r="J272" t="s">
        <v>50</v>
      </c>
      <c r="K272" t="s">
        <v>51</v>
      </c>
      <c r="L272" t="s">
        <v>51</v>
      </c>
      <c r="M272" t="s">
        <v>134</v>
      </c>
      <c r="N272" t="s">
        <v>1238</v>
      </c>
      <c r="O272" t="s">
        <v>54</v>
      </c>
      <c r="P272" t="s">
        <v>54</v>
      </c>
      <c r="Q272" t="s">
        <v>54</v>
      </c>
      <c r="R272" t="s">
        <v>1239</v>
      </c>
      <c r="S272" s="1">
        <v>1676105.32</v>
      </c>
      <c r="T272" s="1">
        <v>12268967.539999999</v>
      </c>
      <c r="U272" s="1">
        <v>13620504.939999999</v>
      </c>
      <c r="V272" s="1">
        <v>225966.04</v>
      </c>
      <c r="W272" t="s">
        <v>51</v>
      </c>
      <c r="X272">
        <v>366323.38</v>
      </c>
      <c r="Y272">
        <v>0</v>
      </c>
      <c r="Z272">
        <v>0</v>
      </c>
      <c r="AA272" s="14">
        <v>23025716.170000002</v>
      </c>
      <c r="AB272" s="14">
        <v>265645884.53999999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4558700.29</v>
      </c>
      <c r="AJ272">
        <v>19372673</v>
      </c>
      <c r="AK272">
        <v>231767692</v>
      </c>
      <c r="AL272">
        <v>251140365</v>
      </c>
      <c r="AM272">
        <v>4558700.29</v>
      </c>
      <c r="AN272">
        <v>19372673</v>
      </c>
      <c r="AO272">
        <v>0</v>
      </c>
      <c r="AP272">
        <v>0</v>
      </c>
      <c r="AQ272" s="29">
        <f t="shared" si="4"/>
        <v>8.6678234108057008</v>
      </c>
    </row>
    <row r="273" spans="2:43" x14ac:dyDescent="0.3">
      <c r="B273" t="s">
        <v>1240</v>
      </c>
      <c r="C273" t="s">
        <v>1241</v>
      </c>
      <c r="D273" t="s">
        <v>1242</v>
      </c>
      <c r="E273" t="s">
        <v>1243</v>
      </c>
      <c r="F273" t="s">
        <v>46</v>
      </c>
      <c r="G273" t="s">
        <v>93</v>
      </c>
      <c r="H273" t="s">
        <v>60</v>
      </c>
      <c r="I273" t="s">
        <v>49</v>
      </c>
      <c r="J273" t="s">
        <v>373</v>
      </c>
      <c r="K273" t="s">
        <v>51</v>
      </c>
      <c r="L273" t="s">
        <v>51</v>
      </c>
      <c r="M273" t="s">
        <v>52</v>
      </c>
      <c r="N273" t="s">
        <v>108</v>
      </c>
      <c r="O273" t="s">
        <v>54</v>
      </c>
      <c r="P273" t="s">
        <v>54</v>
      </c>
      <c r="Q273" t="s">
        <v>51</v>
      </c>
      <c r="R273" t="s">
        <v>55</v>
      </c>
      <c r="S273" s="1">
        <v>41854042.109999999</v>
      </c>
      <c r="T273" s="1">
        <v>37089430.82</v>
      </c>
      <c r="U273" s="1">
        <v>46818113.979999997</v>
      </c>
      <c r="V273" s="1">
        <v>81443.98</v>
      </c>
      <c r="W273" t="s">
        <v>51</v>
      </c>
      <c r="X273">
        <v>424915.03</v>
      </c>
      <c r="Y273">
        <v>0</v>
      </c>
      <c r="Z273">
        <v>0</v>
      </c>
      <c r="AA273" s="14">
        <v>-4964071.87</v>
      </c>
      <c r="AB273" s="14">
        <v>97712357.120000005</v>
      </c>
      <c r="AC273">
        <v>0</v>
      </c>
      <c r="AD273">
        <v>0</v>
      </c>
      <c r="AE273">
        <v>28966706.260000002</v>
      </c>
      <c r="AF273">
        <v>39425545.789999999</v>
      </c>
      <c r="AG273">
        <v>80795161.310000002</v>
      </c>
      <c r="AH273" s="14">
        <v>90809383.590000004</v>
      </c>
      <c r="AI273">
        <v>0</v>
      </c>
      <c r="AJ273">
        <v>0</v>
      </c>
      <c r="AK273">
        <v>515885165</v>
      </c>
      <c r="AL273">
        <v>515885165</v>
      </c>
      <c r="AM273">
        <v>515936758.60000002</v>
      </c>
      <c r="AN273">
        <v>515936758.60000002</v>
      </c>
      <c r="AO273">
        <v>0</v>
      </c>
      <c r="AP273">
        <v>0</v>
      </c>
      <c r="AQ273" s="29">
        <f t="shared" si="4"/>
        <v>-5.0802907803192703</v>
      </c>
    </row>
    <row r="274" spans="2:43" x14ac:dyDescent="0.3">
      <c r="B274" t="s">
        <v>1240</v>
      </c>
      <c r="C274" t="s">
        <v>1244</v>
      </c>
      <c r="D274" t="s">
        <v>1245</v>
      </c>
      <c r="E274" t="s">
        <v>1246</v>
      </c>
      <c r="F274" t="s">
        <v>46</v>
      </c>
      <c r="G274" t="s">
        <v>75</v>
      </c>
      <c r="H274" t="s">
        <v>60</v>
      </c>
      <c r="I274" t="s">
        <v>49</v>
      </c>
      <c r="J274" t="s">
        <v>373</v>
      </c>
      <c r="K274" t="s">
        <v>51</v>
      </c>
      <c r="L274" t="s">
        <v>51</v>
      </c>
      <c r="M274" t="s">
        <v>52</v>
      </c>
      <c r="N274" t="s">
        <v>1247</v>
      </c>
      <c r="O274" t="s">
        <v>54</v>
      </c>
      <c r="P274" t="s">
        <v>54</v>
      </c>
      <c r="Q274" t="s">
        <v>51</v>
      </c>
      <c r="R274" t="s">
        <v>55</v>
      </c>
      <c r="S274" s="1">
        <v>4909780.6900000004</v>
      </c>
      <c r="T274" s="1">
        <v>55063965.590000004</v>
      </c>
      <c r="U274" s="1">
        <v>75767208.530000001</v>
      </c>
      <c r="V274" s="1">
        <v>0</v>
      </c>
      <c r="W274" t="s">
        <v>51</v>
      </c>
      <c r="X274">
        <v>265301.78999999998</v>
      </c>
      <c r="Y274">
        <v>0</v>
      </c>
      <c r="Z274">
        <v>960020.08</v>
      </c>
      <c r="AA274" s="14">
        <v>-452596.22</v>
      </c>
      <c r="AB274" s="14">
        <v>2746485.98</v>
      </c>
      <c r="AC274">
        <v>0</v>
      </c>
      <c r="AD274">
        <v>0</v>
      </c>
      <c r="AE274">
        <v>66915177.979999997</v>
      </c>
      <c r="AF274">
        <v>70023781.950000003</v>
      </c>
      <c r="AG274">
        <v>0</v>
      </c>
      <c r="AH274" s="14">
        <v>0</v>
      </c>
      <c r="AI274">
        <v>0</v>
      </c>
      <c r="AJ274">
        <v>0</v>
      </c>
      <c r="AK274">
        <v>55879586.670000002</v>
      </c>
      <c r="AL274">
        <v>55879586.670000002</v>
      </c>
      <c r="AM274">
        <v>96690083.200000003</v>
      </c>
      <c r="AN274">
        <v>96690083.200000003</v>
      </c>
      <c r="AO274">
        <v>0</v>
      </c>
      <c r="AP274">
        <v>0</v>
      </c>
      <c r="AQ274" s="29">
        <f t="shared" si="4"/>
        <v>-16.479101779358071</v>
      </c>
    </row>
    <row r="275" spans="2:43" x14ac:dyDescent="0.3">
      <c r="B275" t="s">
        <v>1240</v>
      </c>
      <c r="C275" t="s">
        <v>1248</v>
      </c>
      <c r="D275" t="s">
        <v>1249</v>
      </c>
      <c r="E275" t="s">
        <v>1250</v>
      </c>
      <c r="F275" t="s">
        <v>46</v>
      </c>
      <c r="G275" t="s">
        <v>65</v>
      </c>
      <c r="H275" t="s">
        <v>60</v>
      </c>
      <c r="I275" t="s">
        <v>49</v>
      </c>
      <c r="J275" t="s">
        <v>373</v>
      </c>
      <c r="K275" t="s">
        <v>51</v>
      </c>
      <c r="L275" t="s">
        <v>51</v>
      </c>
      <c r="M275" t="s">
        <v>52</v>
      </c>
      <c r="N275" t="s">
        <v>1251</v>
      </c>
      <c r="O275" t="s">
        <v>54</v>
      </c>
      <c r="P275" t="s">
        <v>54</v>
      </c>
      <c r="Q275" t="s">
        <v>51</v>
      </c>
      <c r="R275" t="s">
        <v>55</v>
      </c>
      <c r="S275" s="1">
        <v>49660174.259999998</v>
      </c>
      <c r="T275" s="1">
        <v>31259982.789999999</v>
      </c>
      <c r="U275" s="1">
        <v>53727116.049999997</v>
      </c>
      <c r="V275" s="1">
        <v>2425591.09</v>
      </c>
      <c r="W275" t="s">
        <v>51</v>
      </c>
      <c r="X275">
        <v>461481.86</v>
      </c>
      <c r="Y275">
        <v>0</v>
      </c>
      <c r="Z275">
        <v>661550.78</v>
      </c>
      <c r="AA275" s="14">
        <v>-4066941.79</v>
      </c>
      <c r="AB275" s="14">
        <v>212311284.84999999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117422262</v>
      </c>
      <c r="AL275">
        <v>117422262</v>
      </c>
      <c r="AM275">
        <v>118019938</v>
      </c>
      <c r="AN275">
        <v>118019938</v>
      </c>
      <c r="AO275">
        <v>0</v>
      </c>
      <c r="AP275">
        <v>0</v>
      </c>
      <c r="AQ275" s="29">
        <f t="shared" si="4"/>
        <v>-1.9155561103939125</v>
      </c>
    </row>
    <row r="276" spans="2:43" x14ac:dyDescent="0.3">
      <c r="B276" t="s">
        <v>1240</v>
      </c>
      <c r="C276" t="s">
        <v>1252</v>
      </c>
      <c r="D276" t="s">
        <v>1253</v>
      </c>
      <c r="E276" t="s">
        <v>1254</v>
      </c>
      <c r="F276" t="s">
        <v>46</v>
      </c>
      <c r="G276" t="s">
        <v>102</v>
      </c>
      <c r="H276" t="s">
        <v>48</v>
      </c>
      <c r="I276" t="s">
        <v>76</v>
      </c>
      <c r="J276" t="s">
        <v>50</v>
      </c>
      <c r="K276" t="s">
        <v>51</v>
      </c>
      <c r="L276" t="s">
        <v>51</v>
      </c>
      <c r="M276" t="s">
        <v>52</v>
      </c>
      <c r="N276" t="s">
        <v>1255</v>
      </c>
      <c r="O276" t="s">
        <v>54</v>
      </c>
      <c r="P276" t="s">
        <v>54</v>
      </c>
      <c r="Q276" t="s">
        <v>51</v>
      </c>
      <c r="R276" t="s">
        <v>1256</v>
      </c>
      <c r="S276" s="1">
        <v>6959001.8200000003</v>
      </c>
      <c r="T276" s="1">
        <v>65033000.490000002</v>
      </c>
      <c r="U276" s="1">
        <v>83665436.25</v>
      </c>
      <c r="V276" s="1">
        <v>1713659.95</v>
      </c>
      <c r="W276" t="s">
        <v>51</v>
      </c>
      <c r="X276">
        <v>291069.59999999998</v>
      </c>
      <c r="Y276">
        <v>0</v>
      </c>
      <c r="Z276">
        <v>2266.67</v>
      </c>
      <c r="AA276" s="14">
        <v>4571448.83</v>
      </c>
      <c r="AB276" s="14">
        <v>-43142226.869999997</v>
      </c>
      <c r="AC276">
        <v>0</v>
      </c>
      <c r="AD276">
        <v>0</v>
      </c>
      <c r="AE276">
        <v>53250877.299999997</v>
      </c>
      <c r="AF276">
        <v>64093517.700000003</v>
      </c>
      <c r="AG276">
        <v>0</v>
      </c>
      <c r="AH276" s="14">
        <v>0</v>
      </c>
      <c r="AI276">
        <v>0</v>
      </c>
      <c r="AJ276">
        <v>0</v>
      </c>
      <c r="AK276">
        <v>0</v>
      </c>
      <c r="AL276">
        <v>0</v>
      </c>
      <c r="AM276">
        <v>37572872.109999999</v>
      </c>
      <c r="AN276">
        <v>37572872.109999999</v>
      </c>
      <c r="AO276">
        <v>0</v>
      </c>
      <c r="AP276">
        <v>0</v>
      </c>
      <c r="AQ276" s="29">
        <f t="shared" si="4"/>
        <v>-10.596228247037635</v>
      </c>
    </row>
    <row r="277" spans="2:43" x14ac:dyDescent="0.3">
      <c r="B277" t="s">
        <v>1240</v>
      </c>
      <c r="C277" t="s">
        <v>1257</v>
      </c>
      <c r="D277" t="s">
        <v>1258</v>
      </c>
      <c r="E277" t="s">
        <v>1259</v>
      </c>
      <c r="F277" t="s">
        <v>46</v>
      </c>
      <c r="G277" t="s">
        <v>47</v>
      </c>
      <c r="H277" t="s">
        <v>48</v>
      </c>
      <c r="I277" t="s">
        <v>76</v>
      </c>
      <c r="J277" t="s">
        <v>50</v>
      </c>
      <c r="K277" t="s">
        <v>51</v>
      </c>
      <c r="L277" t="s">
        <v>51</v>
      </c>
      <c r="M277" t="s">
        <v>52</v>
      </c>
      <c r="N277" t="s">
        <v>767</v>
      </c>
      <c r="O277" t="s">
        <v>54</v>
      </c>
      <c r="P277" t="s">
        <v>54</v>
      </c>
      <c r="Q277" t="s">
        <v>51</v>
      </c>
      <c r="R277" t="s">
        <v>55</v>
      </c>
      <c r="S277" s="1">
        <v>16685433.67</v>
      </c>
      <c r="T277" s="1">
        <v>10411786.41</v>
      </c>
      <c r="U277" s="1">
        <v>16628194.779999999</v>
      </c>
      <c r="V277" s="1">
        <v>0</v>
      </c>
      <c r="W277" t="s">
        <v>51</v>
      </c>
      <c r="X277">
        <v>344347.47</v>
      </c>
      <c r="Y277">
        <v>0</v>
      </c>
      <c r="Z277">
        <v>2016</v>
      </c>
      <c r="AA277" s="14">
        <v>57238.89</v>
      </c>
      <c r="AB277" s="14">
        <v>8775120.9600000009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8775120.9600000009</v>
      </c>
      <c r="AN277">
        <v>8775120.9600000009</v>
      </c>
      <c r="AO277">
        <v>0</v>
      </c>
      <c r="AP277">
        <v>0</v>
      </c>
      <c r="AQ277" s="29">
        <f t="shared" si="4"/>
        <v>0.65228605122270578</v>
      </c>
    </row>
    <row r="278" spans="2:43" x14ac:dyDescent="0.3">
      <c r="B278" t="s">
        <v>1240</v>
      </c>
      <c r="C278" t="s">
        <v>1260</v>
      </c>
      <c r="D278" t="s">
        <v>1261</v>
      </c>
      <c r="E278" t="s">
        <v>1262</v>
      </c>
      <c r="F278" t="s">
        <v>46</v>
      </c>
      <c r="G278" t="s">
        <v>162</v>
      </c>
      <c r="H278" t="s">
        <v>60</v>
      </c>
      <c r="I278" t="s">
        <v>49</v>
      </c>
      <c r="J278" t="s">
        <v>50</v>
      </c>
      <c r="K278" t="s">
        <v>51</v>
      </c>
      <c r="L278" t="s">
        <v>51</v>
      </c>
      <c r="M278" t="s">
        <v>52</v>
      </c>
      <c r="N278" t="s">
        <v>754</v>
      </c>
      <c r="O278" t="s">
        <v>54</v>
      </c>
      <c r="P278" t="s">
        <v>54</v>
      </c>
      <c r="Q278" t="s">
        <v>51</v>
      </c>
      <c r="R278" t="s">
        <v>1263</v>
      </c>
      <c r="S278" s="1">
        <v>33670.410000000003</v>
      </c>
      <c r="T278" s="1">
        <v>777408.22</v>
      </c>
      <c r="U278" s="1">
        <v>3502351.34</v>
      </c>
      <c r="V278" s="1">
        <v>0</v>
      </c>
      <c r="W278" t="s">
        <v>51</v>
      </c>
      <c r="X278">
        <v>624933.67000000004</v>
      </c>
      <c r="Y278">
        <v>0</v>
      </c>
      <c r="Z278">
        <v>0</v>
      </c>
      <c r="AA278" s="14">
        <v>-104097.36</v>
      </c>
      <c r="AB278" s="14">
        <v>6609903.0999999996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3025545.3</v>
      </c>
      <c r="AL278">
        <v>3025545.3</v>
      </c>
      <c r="AM278">
        <v>34550951</v>
      </c>
      <c r="AN278">
        <v>34550951</v>
      </c>
      <c r="AO278">
        <v>0</v>
      </c>
      <c r="AP278">
        <v>0</v>
      </c>
      <c r="AQ278" s="29">
        <f t="shared" si="4"/>
        <v>-1.5748696830366546</v>
      </c>
    </row>
    <row r="279" spans="2:43" x14ac:dyDescent="0.3">
      <c r="B279" t="s">
        <v>1240</v>
      </c>
      <c r="C279" t="s">
        <v>1264</v>
      </c>
      <c r="D279" t="s">
        <v>1265</v>
      </c>
      <c r="E279" t="s">
        <v>1266</v>
      </c>
      <c r="F279" t="s">
        <v>46</v>
      </c>
      <c r="G279" t="s">
        <v>65</v>
      </c>
      <c r="H279" t="s">
        <v>48</v>
      </c>
      <c r="I279" t="s">
        <v>76</v>
      </c>
      <c r="J279" t="s">
        <v>50</v>
      </c>
      <c r="K279" t="s">
        <v>51</v>
      </c>
      <c r="L279" t="s">
        <v>51</v>
      </c>
      <c r="M279" t="s">
        <v>52</v>
      </c>
      <c r="N279" t="s">
        <v>1267</v>
      </c>
      <c r="O279" t="s">
        <v>54</v>
      </c>
      <c r="P279" t="s">
        <v>54</v>
      </c>
      <c r="Q279" t="s">
        <v>51</v>
      </c>
      <c r="R279" t="s">
        <v>1268</v>
      </c>
      <c r="S279" s="1">
        <v>8803791.7400000002</v>
      </c>
      <c r="T279" s="1">
        <v>9425871.8100000005</v>
      </c>
      <c r="U279" s="1">
        <v>9425871.8100000005</v>
      </c>
      <c r="V279" s="1">
        <v>0</v>
      </c>
      <c r="W279" t="s">
        <v>51</v>
      </c>
      <c r="X279">
        <v>428159.33</v>
      </c>
      <c r="Y279">
        <v>0</v>
      </c>
      <c r="Z279">
        <v>0</v>
      </c>
      <c r="AA279" s="14">
        <v>-622130.69999999995</v>
      </c>
      <c r="AB279" s="14">
        <v>-809316.46</v>
      </c>
      <c r="AC279">
        <v>0</v>
      </c>
      <c r="AD279">
        <v>0</v>
      </c>
      <c r="AE279">
        <v>8586982.6999999993</v>
      </c>
      <c r="AF279">
        <v>8803741.7400000002</v>
      </c>
      <c r="AG279">
        <v>0</v>
      </c>
      <c r="AH279" s="14">
        <v>0</v>
      </c>
      <c r="AI279">
        <v>0</v>
      </c>
      <c r="AJ279">
        <v>0</v>
      </c>
      <c r="AK279">
        <v>0</v>
      </c>
      <c r="AL279">
        <v>0</v>
      </c>
      <c r="AM279">
        <v>2395568.41</v>
      </c>
      <c r="AN279">
        <v>2395568.41</v>
      </c>
      <c r="AO279">
        <v>0</v>
      </c>
      <c r="AP279">
        <v>0</v>
      </c>
      <c r="AQ279" s="29">
        <f t="shared" si="4"/>
        <v>76.871129001873996</v>
      </c>
    </row>
    <row r="280" spans="2:43" x14ac:dyDescent="0.3">
      <c r="B280" t="s">
        <v>1240</v>
      </c>
      <c r="C280" t="s">
        <v>1269</v>
      </c>
      <c r="D280" t="s">
        <v>327</v>
      </c>
      <c r="E280" t="s">
        <v>1270</v>
      </c>
      <c r="F280" t="s">
        <v>46</v>
      </c>
      <c r="G280" t="s">
        <v>65</v>
      </c>
      <c r="H280" t="s">
        <v>60</v>
      </c>
      <c r="I280" t="s">
        <v>49</v>
      </c>
      <c r="J280" t="s">
        <v>50</v>
      </c>
      <c r="K280" t="s">
        <v>51</v>
      </c>
      <c r="L280" t="s">
        <v>51</v>
      </c>
      <c r="M280" t="s">
        <v>52</v>
      </c>
      <c r="N280" t="s">
        <v>66</v>
      </c>
      <c r="O280" t="s">
        <v>54</v>
      </c>
      <c r="P280" t="s">
        <v>54</v>
      </c>
      <c r="Q280" t="s">
        <v>51</v>
      </c>
      <c r="R280" t="s">
        <v>55</v>
      </c>
      <c r="S280" s="1">
        <v>930.9</v>
      </c>
      <c r="T280" s="1">
        <v>0</v>
      </c>
      <c r="U280" s="1">
        <v>124.47</v>
      </c>
      <c r="V280" s="1">
        <v>0</v>
      </c>
      <c r="W280" t="s">
        <v>51</v>
      </c>
      <c r="X280">
        <v>0</v>
      </c>
      <c r="Y280">
        <v>0</v>
      </c>
      <c r="Z280">
        <v>0</v>
      </c>
      <c r="AA280" s="14">
        <v>806.43</v>
      </c>
      <c r="AB280" s="14">
        <v>12608.55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500000</v>
      </c>
      <c r="AL280">
        <v>500000</v>
      </c>
      <c r="AM280">
        <v>83808.72</v>
      </c>
      <c r="AN280">
        <v>84201.71</v>
      </c>
      <c r="AO280">
        <v>416191.28</v>
      </c>
      <c r="AP280">
        <v>415798.29</v>
      </c>
      <c r="AQ280" s="29">
        <f t="shared" si="4"/>
        <v>6.3958980215805941</v>
      </c>
    </row>
    <row r="281" spans="2:43" x14ac:dyDescent="0.3">
      <c r="B281" t="s">
        <v>1240</v>
      </c>
      <c r="C281" t="s">
        <v>1271</v>
      </c>
      <c r="D281" t="s">
        <v>1272</v>
      </c>
      <c r="E281" t="s">
        <v>1273</v>
      </c>
      <c r="F281" t="s">
        <v>46</v>
      </c>
      <c r="G281" t="s">
        <v>71</v>
      </c>
      <c r="H281" t="s">
        <v>60</v>
      </c>
      <c r="I281" t="s">
        <v>49</v>
      </c>
      <c r="J281" t="s">
        <v>373</v>
      </c>
      <c r="K281" t="s">
        <v>54</v>
      </c>
      <c r="L281" t="s">
        <v>51</v>
      </c>
      <c r="M281" t="s">
        <v>134</v>
      </c>
      <c r="N281" t="s">
        <v>1274</v>
      </c>
      <c r="O281" t="s">
        <v>54</v>
      </c>
      <c r="P281" t="s">
        <v>54</v>
      </c>
      <c r="Q281" t="s">
        <v>54</v>
      </c>
      <c r="R281" t="s">
        <v>1275</v>
      </c>
      <c r="S281" s="1">
        <v>213434642.56999999</v>
      </c>
      <c r="T281" s="1">
        <v>262454580.78999999</v>
      </c>
      <c r="U281" s="1">
        <v>1495156353.78</v>
      </c>
      <c r="V281" s="1">
        <v>35584140</v>
      </c>
      <c r="W281" t="s">
        <v>54</v>
      </c>
      <c r="X281">
        <v>807001.08</v>
      </c>
      <c r="Y281">
        <v>19899.45</v>
      </c>
      <c r="Z281">
        <v>29363.08</v>
      </c>
      <c r="AA281" s="14">
        <v>146703661.71000001</v>
      </c>
      <c r="AB281" s="14">
        <v>810041826.39999998</v>
      </c>
      <c r="AC281">
        <v>477037369.98000002</v>
      </c>
      <c r="AD281">
        <v>40701578.619999997</v>
      </c>
      <c r="AE281">
        <v>0</v>
      </c>
      <c r="AF281">
        <v>0</v>
      </c>
      <c r="AG281">
        <v>0</v>
      </c>
      <c r="AH281">
        <v>0</v>
      </c>
      <c r="AI281">
        <v>56242461.5</v>
      </c>
      <c r="AJ281">
        <v>42131126.359999999</v>
      </c>
      <c r="AK281">
        <v>16205471</v>
      </c>
      <c r="AL281">
        <v>17896581</v>
      </c>
      <c r="AM281">
        <v>519098927.52999997</v>
      </c>
      <c r="AN281">
        <v>561936975.23000002</v>
      </c>
      <c r="AO281">
        <v>0</v>
      </c>
      <c r="AP281">
        <v>0</v>
      </c>
      <c r="AQ281" s="29">
        <f t="shared" si="4"/>
        <v>18.110627985962481</v>
      </c>
    </row>
    <row r="282" spans="2:43" x14ac:dyDescent="0.3">
      <c r="B282" t="s">
        <v>1240</v>
      </c>
      <c r="C282" t="s">
        <v>1276</v>
      </c>
      <c r="D282" t="s">
        <v>1277</v>
      </c>
      <c r="E282" t="s">
        <v>1278</v>
      </c>
      <c r="F282" t="s">
        <v>46</v>
      </c>
      <c r="G282" t="s">
        <v>65</v>
      </c>
      <c r="H282" t="s">
        <v>60</v>
      </c>
      <c r="I282" t="s">
        <v>49</v>
      </c>
      <c r="J282" t="s">
        <v>50</v>
      </c>
      <c r="K282" t="s">
        <v>51</v>
      </c>
      <c r="L282" t="s">
        <v>51</v>
      </c>
      <c r="M282" t="s">
        <v>134</v>
      </c>
      <c r="N282" t="s">
        <v>1267</v>
      </c>
      <c r="O282" t="s">
        <v>54</v>
      </c>
      <c r="P282" t="s">
        <v>54</v>
      </c>
      <c r="Q282" t="s">
        <v>51</v>
      </c>
      <c r="R282" t="s">
        <v>55</v>
      </c>
      <c r="S282" s="1">
        <v>24751088.140000001</v>
      </c>
      <c r="T282" s="1">
        <v>6197720.4699999997</v>
      </c>
      <c r="U282" s="1">
        <v>15695618.42</v>
      </c>
      <c r="V282" s="1">
        <v>0</v>
      </c>
      <c r="W282" t="s">
        <v>51</v>
      </c>
      <c r="X282">
        <v>240000</v>
      </c>
      <c r="Y282">
        <v>0</v>
      </c>
      <c r="Z282">
        <v>0</v>
      </c>
      <c r="AA282" s="14">
        <v>6106334.3600000003</v>
      </c>
      <c r="AB282" s="14">
        <v>18972574.899999999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7920000</v>
      </c>
      <c r="AL282">
        <v>18000000</v>
      </c>
      <c r="AM282">
        <v>3200000</v>
      </c>
      <c r="AN282">
        <v>12400000</v>
      </c>
      <c r="AO282">
        <v>4720000</v>
      </c>
      <c r="AP282">
        <v>7600000</v>
      </c>
      <c r="AQ282" s="29">
        <f t="shared" si="4"/>
        <v>32.185058655375244</v>
      </c>
    </row>
    <row r="283" spans="2:43" x14ac:dyDescent="0.3">
      <c r="B283" t="s">
        <v>1240</v>
      </c>
      <c r="C283" t="s">
        <v>1279</v>
      </c>
      <c r="D283" t="s">
        <v>1280</v>
      </c>
      <c r="E283" t="s">
        <v>1281</v>
      </c>
      <c r="F283" t="s">
        <v>46</v>
      </c>
      <c r="G283" t="s">
        <v>107</v>
      </c>
      <c r="H283" t="s">
        <v>60</v>
      </c>
      <c r="I283" t="s">
        <v>49</v>
      </c>
      <c r="J283" t="s">
        <v>50</v>
      </c>
      <c r="K283" t="s">
        <v>51</v>
      </c>
      <c r="L283" t="s">
        <v>51</v>
      </c>
      <c r="M283" t="s">
        <v>134</v>
      </c>
      <c r="N283" t="s">
        <v>1282</v>
      </c>
      <c r="O283" t="s">
        <v>54</v>
      </c>
      <c r="P283" t="s">
        <v>54</v>
      </c>
      <c r="Q283" t="s">
        <v>51</v>
      </c>
      <c r="R283" t="s">
        <v>1283</v>
      </c>
      <c r="S283" s="1">
        <v>862581520</v>
      </c>
      <c r="T283" s="1">
        <v>353715471</v>
      </c>
      <c r="U283" s="1">
        <v>836097071</v>
      </c>
      <c r="V283" s="1">
        <v>172035498</v>
      </c>
      <c r="W283" t="s">
        <v>51</v>
      </c>
      <c r="X283">
        <v>821666.14</v>
      </c>
      <c r="Y283">
        <v>0</v>
      </c>
      <c r="Z283">
        <v>26229.29</v>
      </c>
      <c r="AA283" s="14">
        <v>10018432</v>
      </c>
      <c r="AB283" s="14">
        <v>1999011680</v>
      </c>
      <c r="AC283">
        <v>1302000000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18884886</v>
      </c>
      <c r="AJ283">
        <v>58727078</v>
      </c>
      <c r="AK283">
        <v>14974890260</v>
      </c>
      <c r="AL283">
        <v>14974890260</v>
      </c>
      <c r="AM283">
        <v>1302000000</v>
      </c>
      <c r="AN283">
        <v>1302000000</v>
      </c>
      <c r="AO283">
        <v>680963750</v>
      </c>
      <c r="AP283">
        <v>739690828</v>
      </c>
      <c r="AQ283" s="29">
        <f t="shared" si="4"/>
        <v>0.50116925780043464</v>
      </c>
    </row>
    <row r="284" spans="2:43" x14ac:dyDescent="0.3">
      <c r="B284" t="s">
        <v>1240</v>
      </c>
      <c r="C284" t="s">
        <v>1284</v>
      </c>
      <c r="D284" t="s">
        <v>1285</v>
      </c>
      <c r="E284" t="s">
        <v>1286</v>
      </c>
      <c r="F284" t="s">
        <v>46</v>
      </c>
      <c r="G284" t="s">
        <v>150</v>
      </c>
      <c r="H284" t="s">
        <v>48</v>
      </c>
      <c r="I284" t="s">
        <v>76</v>
      </c>
      <c r="J284" t="s">
        <v>50</v>
      </c>
      <c r="K284" t="s">
        <v>51</v>
      </c>
      <c r="L284" t="s">
        <v>51</v>
      </c>
      <c r="M284" t="s">
        <v>134</v>
      </c>
      <c r="N284" t="s">
        <v>767</v>
      </c>
      <c r="O284" t="s">
        <v>54</v>
      </c>
      <c r="P284" t="s">
        <v>54</v>
      </c>
      <c r="Q284" t="s">
        <v>51</v>
      </c>
      <c r="R284" t="s">
        <v>55</v>
      </c>
      <c r="S284" s="1">
        <v>7966727.2800000003</v>
      </c>
      <c r="T284" s="1">
        <v>5613146.4299999997</v>
      </c>
      <c r="U284" s="1">
        <v>9234864.2100000009</v>
      </c>
      <c r="V284" s="1">
        <v>0</v>
      </c>
      <c r="W284" t="s">
        <v>51</v>
      </c>
      <c r="X284">
        <v>204999.99</v>
      </c>
      <c r="Y284">
        <v>0</v>
      </c>
      <c r="Z284">
        <v>0</v>
      </c>
      <c r="AA284" s="14">
        <v>-1268136.93</v>
      </c>
      <c r="AB284" s="14">
        <v>480484.25</v>
      </c>
      <c r="AC284">
        <v>0</v>
      </c>
      <c r="AD284">
        <v>0</v>
      </c>
      <c r="AE284">
        <v>0</v>
      </c>
      <c r="AF284">
        <v>0</v>
      </c>
      <c r="AG284">
        <v>1270575.79</v>
      </c>
      <c r="AH284">
        <v>307559.57</v>
      </c>
      <c r="AI284">
        <v>0</v>
      </c>
      <c r="AJ284">
        <v>0</v>
      </c>
      <c r="AK284">
        <v>0</v>
      </c>
      <c r="AL284">
        <v>0</v>
      </c>
      <c r="AM284">
        <v>9000000</v>
      </c>
      <c r="AN284">
        <v>9000000</v>
      </c>
      <c r="AO284">
        <v>0</v>
      </c>
      <c r="AP284">
        <v>0</v>
      </c>
      <c r="AQ284" s="29">
        <f t="shared" si="4"/>
        <v>-263.92892795133241</v>
      </c>
    </row>
    <row r="285" spans="2:43" x14ac:dyDescent="0.3">
      <c r="B285" t="s">
        <v>1240</v>
      </c>
      <c r="C285" t="s">
        <v>1287</v>
      </c>
      <c r="D285" t="s">
        <v>1288</v>
      </c>
      <c r="E285" t="s">
        <v>1289</v>
      </c>
      <c r="F285" t="s">
        <v>46</v>
      </c>
      <c r="G285" t="s">
        <v>139</v>
      </c>
      <c r="H285" t="s">
        <v>60</v>
      </c>
      <c r="I285" t="s">
        <v>49</v>
      </c>
      <c r="J285" t="s">
        <v>50</v>
      </c>
      <c r="K285" t="s">
        <v>51</v>
      </c>
      <c r="L285" t="s">
        <v>51</v>
      </c>
      <c r="M285" t="s">
        <v>134</v>
      </c>
      <c r="N285" t="s">
        <v>1290</v>
      </c>
      <c r="O285" t="s">
        <v>54</v>
      </c>
      <c r="P285" t="s">
        <v>54</v>
      </c>
      <c r="Q285" t="s">
        <v>51</v>
      </c>
      <c r="R285" t="s">
        <v>1291</v>
      </c>
      <c r="S285" s="1">
        <v>320752760.69</v>
      </c>
      <c r="T285" s="1">
        <v>21014998.030000001</v>
      </c>
      <c r="U285" s="1">
        <v>303508241.69999999</v>
      </c>
      <c r="V285" s="1">
        <v>13266913.619999999</v>
      </c>
      <c r="W285" t="s">
        <v>54</v>
      </c>
      <c r="X285">
        <v>392853.22</v>
      </c>
      <c r="Y285">
        <v>30225.24</v>
      </c>
      <c r="Z285">
        <v>0</v>
      </c>
      <c r="AA285" s="14">
        <v>28391870.510000002</v>
      </c>
      <c r="AB285" s="14">
        <v>193011236.87</v>
      </c>
      <c r="AC285">
        <v>0</v>
      </c>
      <c r="AD285">
        <v>2325260.16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325956.90000000002</v>
      </c>
      <c r="AL285">
        <v>1231139</v>
      </c>
      <c r="AM285">
        <v>45936802.109999999</v>
      </c>
      <c r="AN285">
        <v>50420941.859999999</v>
      </c>
      <c r="AO285">
        <v>0</v>
      </c>
      <c r="AP285">
        <v>0</v>
      </c>
      <c r="AQ285" s="29">
        <f t="shared" si="4"/>
        <v>14.709957290788694</v>
      </c>
    </row>
    <row r="286" spans="2:43" x14ac:dyDescent="0.3">
      <c r="B286" t="s">
        <v>1292</v>
      </c>
      <c r="C286" t="s">
        <v>1293</v>
      </c>
      <c r="D286" t="s">
        <v>1294</v>
      </c>
      <c r="E286" t="s">
        <v>1295</v>
      </c>
      <c r="F286" t="s">
        <v>46</v>
      </c>
      <c r="G286" t="s">
        <v>314</v>
      </c>
      <c r="H286" t="s">
        <v>48</v>
      </c>
      <c r="I286" t="s">
        <v>49</v>
      </c>
      <c r="J286" t="s">
        <v>50</v>
      </c>
      <c r="K286" t="s">
        <v>51</v>
      </c>
      <c r="L286" t="s">
        <v>51</v>
      </c>
      <c r="M286" t="s">
        <v>52</v>
      </c>
      <c r="N286" t="s">
        <v>1296</v>
      </c>
      <c r="O286" t="s">
        <v>54</v>
      </c>
      <c r="P286" t="s">
        <v>54</v>
      </c>
      <c r="Q286" t="s">
        <v>51</v>
      </c>
      <c r="R286" t="s">
        <v>1297</v>
      </c>
      <c r="S286" s="1">
        <v>48216016</v>
      </c>
      <c r="T286" s="1">
        <v>22163978.370000001</v>
      </c>
      <c r="U286" s="1">
        <v>62798817.689999998</v>
      </c>
      <c r="V286" s="1">
        <v>12560202.73</v>
      </c>
      <c r="W286" t="s">
        <v>51</v>
      </c>
      <c r="X286">
        <v>567131.24</v>
      </c>
      <c r="Y286">
        <v>0</v>
      </c>
      <c r="Z286">
        <v>0</v>
      </c>
      <c r="AA286" s="14">
        <v>-2544481</v>
      </c>
      <c r="AB286" s="14">
        <v>204621432</v>
      </c>
      <c r="AC286">
        <v>0</v>
      </c>
      <c r="AD286">
        <v>0</v>
      </c>
      <c r="AE286">
        <v>8930729</v>
      </c>
      <c r="AF286">
        <v>9360110</v>
      </c>
      <c r="AG286">
        <v>0</v>
      </c>
      <c r="AH286" s="14">
        <v>0</v>
      </c>
      <c r="AI286">
        <v>5434212</v>
      </c>
      <c r="AJ286">
        <v>13062155</v>
      </c>
      <c r="AK286">
        <v>990000</v>
      </c>
      <c r="AL286">
        <v>1000000</v>
      </c>
      <c r="AM286">
        <v>17738161</v>
      </c>
      <c r="AN286">
        <v>309900292.33999997</v>
      </c>
      <c r="AO286">
        <v>292152130.88999999</v>
      </c>
      <c r="AP286">
        <v>13062155</v>
      </c>
      <c r="AQ286" s="29">
        <f t="shared" si="4"/>
        <v>-1.2435065941675161</v>
      </c>
    </row>
    <row r="287" spans="2:43" x14ac:dyDescent="0.3">
      <c r="B287" t="s">
        <v>1292</v>
      </c>
      <c r="C287" t="s">
        <v>1298</v>
      </c>
      <c r="D287" t="s">
        <v>1299</v>
      </c>
      <c r="E287" t="s">
        <v>1300</v>
      </c>
      <c r="F287" t="s">
        <v>46</v>
      </c>
      <c r="G287" t="s">
        <v>59</v>
      </c>
      <c r="H287" t="s">
        <v>48</v>
      </c>
      <c r="I287" t="s">
        <v>49</v>
      </c>
      <c r="J287" t="s">
        <v>50</v>
      </c>
      <c r="K287" t="s">
        <v>51</v>
      </c>
      <c r="L287" t="s">
        <v>51</v>
      </c>
      <c r="M287" t="s">
        <v>52</v>
      </c>
      <c r="N287" t="s">
        <v>1301</v>
      </c>
      <c r="O287" t="s">
        <v>54</v>
      </c>
      <c r="P287" t="s">
        <v>54</v>
      </c>
      <c r="Q287" t="s">
        <v>54</v>
      </c>
      <c r="R287" t="s">
        <v>1302</v>
      </c>
      <c r="S287" s="1">
        <v>653642847.29999995</v>
      </c>
      <c r="T287" s="1">
        <v>604478647.66999996</v>
      </c>
      <c r="U287" s="1">
        <v>612571124.63</v>
      </c>
      <c r="V287" s="1">
        <v>0</v>
      </c>
      <c r="W287" t="s">
        <v>54</v>
      </c>
      <c r="X287">
        <v>479441.1</v>
      </c>
      <c r="Y287">
        <v>13488.35</v>
      </c>
      <c r="Z287">
        <v>16972.62</v>
      </c>
      <c r="AA287" s="14">
        <v>40283654.439999998</v>
      </c>
      <c r="AB287" s="14">
        <v>97668068.890000001</v>
      </c>
      <c r="AC287">
        <v>0</v>
      </c>
      <c r="AD287">
        <v>0</v>
      </c>
      <c r="AE287">
        <v>123893945</v>
      </c>
      <c r="AF287">
        <v>129056000</v>
      </c>
      <c r="AG287">
        <v>0</v>
      </c>
      <c r="AH287" s="14">
        <v>0</v>
      </c>
      <c r="AI287">
        <v>800000</v>
      </c>
      <c r="AJ287">
        <v>0</v>
      </c>
      <c r="AK287">
        <v>5679213019</v>
      </c>
      <c r="AL287">
        <v>5679213019</v>
      </c>
      <c r="AM287">
        <v>170376390.56</v>
      </c>
      <c r="AN287">
        <v>170376390.56</v>
      </c>
      <c r="AO287">
        <v>0</v>
      </c>
      <c r="AP287">
        <v>0</v>
      </c>
      <c r="AQ287" s="29">
        <f t="shared" si="4"/>
        <v>41.245470395621332</v>
      </c>
    </row>
    <row r="288" spans="2:43" x14ac:dyDescent="0.3">
      <c r="B288" t="s">
        <v>1292</v>
      </c>
      <c r="C288" t="s">
        <v>1303</v>
      </c>
      <c r="D288" t="s">
        <v>1304</v>
      </c>
      <c r="E288" t="s">
        <v>1305</v>
      </c>
      <c r="F288" t="s">
        <v>46</v>
      </c>
      <c r="G288" t="s">
        <v>240</v>
      </c>
      <c r="H288" t="s">
        <v>48</v>
      </c>
      <c r="I288" t="s">
        <v>49</v>
      </c>
      <c r="J288" t="s">
        <v>50</v>
      </c>
      <c r="K288" t="s">
        <v>51</v>
      </c>
      <c r="L288" t="s">
        <v>51</v>
      </c>
      <c r="M288" t="s">
        <v>52</v>
      </c>
      <c r="N288" t="s">
        <v>1306</v>
      </c>
      <c r="O288" t="s">
        <v>54</v>
      </c>
      <c r="P288" t="s">
        <v>54</v>
      </c>
      <c r="Q288" t="s">
        <v>54</v>
      </c>
      <c r="R288" t="s">
        <v>1307</v>
      </c>
      <c r="S288" s="1">
        <v>2574207735.6199999</v>
      </c>
      <c r="T288" s="1">
        <v>1133074992.8099999</v>
      </c>
      <c r="U288" s="1">
        <v>3147814273.3499999</v>
      </c>
      <c r="V288" s="1">
        <v>372877390.24000001</v>
      </c>
      <c r="W288" t="s">
        <v>54</v>
      </c>
      <c r="X288">
        <v>459552.33</v>
      </c>
      <c r="Y288">
        <v>21152.880000000001</v>
      </c>
      <c r="Z288">
        <v>19711.830000000002</v>
      </c>
      <c r="AA288" s="14">
        <v>-548444471.86000001</v>
      </c>
      <c r="AB288" s="14">
        <v>10592909948.690001</v>
      </c>
      <c r="AC288">
        <v>0</v>
      </c>
      <c r="AD288">
        <v>0</v>
      </c>
      <c r="AE288">
        <v>805279349.66999996</v>
      </c>
      <c r="AF288">
        <v>876529143.13999999</v>
      </c>
      <c r="AG288">
        <v>0</v>
      </c>
      <c r="AH288" s="14">
        <v>0</v>
      </c>
      <c r="AI288">
        <v>851079110.13999999</v>
      </c>
      <c r="AJ288">
        <v>627785617.35000002</v>
      </c>
      <c r="AK288">
        <v>684688052065</v>
      </c>
      <c r="AL288">
        <v>747299728207</v>
      </c>
      <c r="AM288">
        <v>19395132517.889999</v>
      </c>
      <c r="AN288">
        <v>20246211628.029999</v>
      </c>
      <c r="AO288">
        <v>0</v>
      </c>
      <c r="AP288">
        <v>0</v>
      </c>
      <c r="AQ288" s="29">
        <f t="shared" si="4"/>
        <v>-5.1774675185247352</v>
      </c>
    </row>
    <row r="289" spans="2:43" x14ac:dyDescent="0.3">
      <c r="B289" t="s">
        <v>1292</v>
      </c>
      <c r="C289" t="s">
        <v>1308</v>
      </c>
      <c r="D289" t="s">
        <v>1309</v>
      </c>
      <c r="E289" t="s">
        <v>1310</v>
      </c>
      <c r="F289" t="s">
        <v>46</v>
      </c>
      <c r="G289" t="s">
        <v>47</v>
      </c>
      <c r="H289" t="s">
        <v>48</v>
      </c>
      <c r="I289" t="s">
        <v>49</v>
      </c>
      <c r="J289" t="s">
        <v>50</v>
      </c>
      <c r="K289" t="s">
        <v>51</v>
      </c>
      <c r="L289" t="s">
        <v>51</v>
      </c>
      <c r="M289" t="s">
        <v>52</v>
      </c>
      <c r="N289" t="s">
        <v>1311</v>
      </c>
      <c r="O289" t="s">
        <v>54</v>
      </c>
      <c r="P289" t="s">
        <v>54</v>
      </c>
      <c r="Q289" t="s">
        <v>54</v>
      </c>
      <c r="R289" t="s">
        <v>1312</v>
      </c>
      <c r="S289" s="1">
        <v>187183804.68000001</v>
      </c>
      <c r="T289" s="1">
        <v>142332687.44</v>
      </c>
      <c r="U289" s="1">
        <v>203401523.36000001</v>
      </c>
      <c r="V289" s="1">
        <v>16965470.02</v>
      </c>
      <c r="W289" t="s">
        <v>51</v>
      </c>
      <c r="X289">
        <v>631506.31999999995</v>
      </c>
      <c r="Y289">
        <v>0</v>
      </c>
      <c r="Z289">
        <v>0</v>
      </c>
      <c r="AA289" s="14">
        <v>-6232622.54</v>
      </c>
      <c r="AB289" s="14">
        <v>98484869.010000005</v>
      </c>
      <c r="AC289">
        <v>0</v>
      </c>
      <c r="AD289">
        <v>0</v>
      </c>
      <c r="AE289">
        <v>106095097.88</v>
      </c>
      <c r="AF289">
        <v>117606542.15000001</v>
      </c>
      <c r="AG289">
        <v>0</v>
      </c>
      <c r="AH289" s="14">
        <v>0</v>
      </c>
      <c r="AI289">
        <v>13539378.48</v>
      </c>
      <c r="AJ289">
        <v>16965470.02</v>
      </c>
      <c r="AK289">
        <v>28953375559</v>
      </c>
      <c r="AL289">
        <v>30307326683</v>
      </c>
      <c r="AM289">
        <v>289553755.58999997</v>
      </c>
      <c r="AN289">
        <v>303073266.82999998</v>
      </c>
      <c r="AO289">
        <v>0</v>
      </c>
      <c r="AP289">
        <v>0</v>
      </c>
      <c r="AQ289" s="29">
        <f t="shared" si="4"/>
        <v>-6.3285077216959582</v>
      </c>
    </row>
    <row r="290" spans="2:43" x14ac:dyDescent="0.3">
      <c r="B290" t="s">
        <v>1292</v>
      </c>
      <c r="C290" t="s">
        <v>1313</v>
      </c>
      <c r="D290" t="s">
        <v>1314</v>
      </c>
      <c r="E290" t="s">
        <v>1315</v>
      </c>
      <c r="F290" t="s">
        <v>46</v>
      </c>
      <c r="G290" t="s">
        <v>240</v>
      </c>
      <c r="H290" t="s">
        <v>48</v>
      </c>
      <c r="I290" t="s">
        <v>49</v>
      </c>
      <c r="J290" t="s">
        <v>373</v>
      </c>
      <c r="K290" t="s">
        <v>51</v>
      </c>
      <c r="L290" t="s">
        <v>51</v>
      </c>
      <c r="M290" t="s">
        <v>52</v>
      </c>
      <c r="N290" t="s">
        <v>1316</v>
      </c>
      <c r="O290" t="s">
        <v>54</v>
      </c>
      <c r="P290" t="s">
        <v>54</v>
      </c>
      <c r="Q290" t="s">
        <v>54</v>
      </c>
      <c r="R290" t="s">
        <v>1317</v>
      </c>
      <c r="S290" s="1">
        <v>3019972709.1999998</v>
      </c>
      <c r="T290" s="1">
        <v>1872264068.79</v>
      </c>
      <c r="U290" s="1">
        <v>7522397992.3599997</v>
      </c>
      <c r="V290" s="1">
        <v>4076179000</v>
      </c>
      <c r="W290" t="s">
        <v>54</v>
      </c>
      <c r="X290">
        <v>553664.75</v>
      </c>
      <c r="Y290">
        <v>8266.75</v>
      </c>
      <c r="Z290">
        <v>21710.240000000002</v>
      </c>
      <c r="AA290" s="14">
        <v>-347519070.47000003</v>
      </c>
      <c r="AB290" s="14">
        <v>40829323832.699997</v>
      </c>
      <c r="AC290">
        <v>0</v>
      </c>
      <c r="AD290">
        <v>0</v>
      </c>
      <c r="AE290">
        <v>317976248.06999999</v>
      </c>
      <c r="AF290">
        <v>0</v>
      </c>
      <c r="AG290">
        <v>0</v>
      </c>
      <c r="AH290">
        <v>0</v>
      </c>
      <c r="AI290">
        <v>2713990757.3499999</v>
      </c>
      <c r="AJ290">
        <v>4087644406.6500001</v>
      </c>
      <c r="AK290">
        <v>8906665</v>
      </c>
      <c r="AL290">
        <v>9905781</v>
      </c>
      <c r="AM290">
        <v>47325113492.68</v>
      </c>
      <c r="AN290">
        <v>51412757899.330002</v>
      </c>
      <c r="AO290">
        <v>0</v>
      </c>
      <c r="AP290">
        <v>0</v>
      </c>
      <c r="AQ290" s="29">
        <f t="shared" si="4"/>
        <v>-0.85115068741763911</v>
      </c>
    </row>
    <row r="291" spans="2:43" x14ac:dyDescent="0.3">
      <c r="B291" t="s">
        <v>1292</v>
      </c>
      <c r="C291" t="s">
        <v>1318</v>
      </c>
      <c r="D291" t="s">
        <v>1319</v>
      </c>
      <c r="E291" t="s">
        <v>1320</v>
      </c>
      <c r="F291" t="s">
        <v>46</v>
      </c>
      <c r="G291" t="s">
        <v>93</v>
      </c>
      <c r="H291" t="s">
        <v>48</v>
      </c>
      <c r="I291" t="s">
        <v>49</v>
      </c>
      <c r="J291" t="s">
        <v>50</v>
      </c>
      <c r="K291" t="s">
        <v>51</v>
      </c>
      <c r="L291" t="s">
        <v>51</v>
      </c>
      <c r="M291" t="s">
        <v>134</v>
      </c>
      <c r="N291" t="s">
        <v>1321</v>
      </c>
      <c r="O291" t="s">
        <v>54</v>
      </c>
      <c r="P291" t="s">
        <v>54</v>
      </c>
      <c r="Q291" t="s">
        <v>54</v>
      </c>
      <c r="R291" t="s">
        <v>55</v>
      </c>
      <c r="S291" s="1">
        <v>2465769000</v>
      </c>
      <c r="T291" s="1">
        <v>131075302.94</v>
      </c>
      <c r="U291" s="1">
        <v>2445126991.0700002</v>
      </c>
      <c r="V291" s="1">
        <v>2110353478.0599999</v>
      </c>
      <c r="W291" t="s">
        <v>54</v>
      </c>
      <c r="X291">
        <v>437269.43</v>
      </c>
      <c r="Y291">
        <v>24632.32</v>
      </c>
      <c r="Z291">
        <v>0</v>
      </c>
      <c r="AA291" s="14">
        <v>-1046612000</v>
      </c>
      <c r="AB291" s="14">
        <v>11985440000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540000000</v>
      </c>
      <c r="AJ291">
        <v>1646836915</v>
      </c>
      <c r="AK291">
        <v>25428041905</v>
      </c>
      <c r="AL291">
        <v>27507202487</v>
      </c>
      <c r="AM291">
        <v>18030419599.810001</v>
      </c>
      <c r="AN291">
        <v>18570419599.91</v>
      </c>
      <c r="AO291">
        <v>540000000</v>
      </c>
      <c r="AP291">
        <v>1646836915</v>
      </c>
      <c r="AQ291" s="29">
        <f t="shared" si="4"/>
        <v>-8.7323619324780726</v>
      </c>
    </row>
    <row r="292" spans="2:43" x14ac:dyDescent="0.3">
      <c r="B292" t="s">
        <v>1292</v>
      </c>
      <c r="C292" t="s">
        <v>1322</v>
      </c>
      <c r="D292" t="s">
        <v>1323</v>
      </c>
      <c r="E292" t="s">
        <v>1324</v>
      </c>
      <c r="F292" t="s">
        <v>46</v>
      </c>
      <c r="G292" t="s">
        <v>133</v>
      </c>
      <c r="H292" t="s">
        <v>48</v>
      </c>
      <c r="I292" t="s">
        <v>49</v>
      </c>
      <c r="J292" t="s">
        <v>50</v>
      </c>
      <c r="K292" t="s">
        <v>51</v>
      </c>
      <c r="L292" t="s">
        <v>51</v>
      </c>
      <c r="M292" t="s">
        <v>134</v>
      </c>
      <c r="N292" t="s">
        <v>466</v>
      </c>
      <c r="O292" t="s">
        <v>54</v>
      </c>
      <c r="P292" t="s">
        <v>54</v>
      </c>
      <c r="Q292" t="s">
        <v>51</v>
      </c>
      <c r="R292" t="s">
        <v>55</v>
      </c>
      <c r="S292" s="1">
        <v>21610201</v>
      </c>
      <c r="T292" s="1">
        <v>3570902.31</v>
      </c>
      <c r="U292" s="1">
        <v>4342813.1100000003</v>
      </c>
      <c r="V292" s="1">
        <v>0</v>
      </c>
      <c r="W292" t="s">
        <v>54</v>
      </c>
      <c r="X292">
        <v>385400.6</v>
      </c>
      <c r="Y292">
        <v>197453.82</v>
      </c>
      <c r="Z292">
        <v>0</v>
      </c>
      <c r="AA292" s="14">
        <v>178742070.13999999</v>
      </c>
      <c r="AB292" s="14">
        <v>1993027973</v>
      </c>
      <c r="AC292">
        <v>0</v>
      </c>
      <c r="AD292">
        <v>188967896</v>
      </c>
      <c r="AE292">
        <v>0</v>
      </c>
      <c r="AF292">
        <v>0</v>
      </c>
      <c r="AG292">
        <v>0</v>
      </c>
      <c r="AH292">
        <v>0</v>
      </c>
      <c r="AI292">
        <v>30000000</v>
      </c>
      <c r="AJ292">
        <v>0</v>
      </c>
      <c r="AK292">
        <v>1539619815</v>
      </c>
      <c r="AL292">
        <v>1539619815</v>
      </c>
      <c r="AM292">
        <v>1539619815.1900001</v>
      </c>
      <c r="AN292">
        <v>1539619815.1900001</v>
      </c>
      <c r="AO292">
        <v>0</v>
      </c>
      <c r="AP292">
        <v>0</v>
      </c>
      <c r="AQ292" s="29">
        <f t="shared" si="4"/>
        <v>8.9683673566783408</v>
      </c>
    </row>
    <row r="293" spans="2:43" x14ac:dyDescent="0.3">
      <c r="B293" t="s">
        <v>1292</v>
      </c>
      <c r="C293" t="s">
        <v>1325</v>
      </c>
      <c r="D293" t="s">
        <v>1326</v>
      </c>
      <c r="E293" t="s">
        <v>1327</v>
      </c>
      <c r="F293" t="s">
        <v>46</v>
      </c>
      <c r="G293" t="s">
        <v>71</v>
      </c>
      <c r="H293" t="s">
        <v>48</v>
      </c>
      <c r="I293" t="s">
        <v>49</v>
      </c>
      <c r="J293" t="s">
        <v>373</v>
      </c>
      <c r="K293" t="s">
        <v>51</v>
      </c>
      <c r="L293" t="s">
        <v>51</v>
      </c>
      <c r="M293" t="s">
        <v>134</v>
      </c>
      <c r="N293" t="s">
        <v>125</v>
      </c>
      <c r="O293" t="s">
        <v>54</v>
      </c>
      <c r="P293" t="s">
        <v>54</v>
      </c>
      <c r="Q293" t="s">
        <v>51</v>
      </c>
      <c r="R293" t="s">
        <v>1328</v>
      </c>
      <c r="S293" s="1">
        <v>11073474.119999999</v>
      </c>
      <c r="T293" s="1">
        <v>641663.06000000006</v>
      </c>
      <c r="U293" s="1">
        <v>10525338.32</v>
      </c>
      <c r="V293" s="1">
        <v>0</v>
      </c>
      <c r="W293" t="s">
        <v>54</v>
      </c>
      <c r="X293">
        <v>270127.84999999998</v>
      </c>
      <c r="Y293">
        <v>0</v>
      </c>
      <c r="Z293">
        <v>6185.93</v>
      </c>
      <c r="AA293" s="14">
        <v>24495157.789999999</v>
      </c>
      <c r="AB293" s="14">
        <v>216544888.27000001</v>
      </c>
      <c r="AC293">
        <v>0</v>
      </c>
      <c r="AD293">
        <v>11761704.73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2830121</v>
      </c>
      <c r="AL293">
        <v>1999410</v>
      </c>
      <c r="AM293">
        <v>283012100</v>
      </c>
      <c r="AN293">
        <v>199941000</v>
      </c>
      <c r="AO293">
        <v>0</v>
      </c>
      <c r="AP293">
        <v>0</v>
      </c>
      <c r="AQ293" s="29">
        <f t="shared" si="4"/>
        <v>11.311815294138043</v>
      </c>
    </row>
    <row r="294" spans="2:43" x14ac:dyDescent="0.3">
      <c r="B294" t="s">
        <v>1292</v>
      </c>
      <c r="C294" t="s">
        <v>1329</v>
      </c>
      <c r="D294" t="s">
        <v>1330</v>
      </c>
      <c r="E294" t="s">
        <v>1331</v>
      </c>
      <c r="F294" t="s">
        <v>46</v>
      </c>
      <c r="G294" t="s">
        <v>71</v>
      </c>
      <c r="H294" t="s">
        <v>48</v>
      </c>
      <c r="I294" t="s">
        <v>49</v>
      </c>
      <c r="J294" t="s">
        <v>50</v>
      </c>
      <c r="K294" t="s">
        <v>51</v>
      </c>
      <c r="L294" t="s">
        <v>51</v>
      </c>
      <c r="M294" t="s">
        <v>134</v>
      </c>
      <c r="N294" t="s">
        <v>103</v>
      </c>
      <c r="O294" t="s">
        <v>54</v>
      </c>
      <c r="P294" t="s">
        <v>54</v>
      </c>
      <c r="Q294" t="s">
        <v>54</v>
      </c>
      <c r="R294" t="s">
        <v>1332</v>
      </c>
      <c r="S294" s="1">
        <v>581666515.64999998</v>
      </c>
      <c r="T294" s="1">
        <v>64705125.450000003</v>
      </c>
      <c r="U294" s="1">
        <v>497429447.92000002</v>
      </c>
      <c r="V294" s="1">
        <v>0</v>
      </c>
      <c r="W294" t="s">
        <v>54</v>
      </c>
      <c r="X294">
        <v>738792.37</v>
      </c>
      <c r="Y294">
        <v>53639.88</v>
      </c>
      <c r="Z294">
        <v>111110.37</v>
      </c>
      <c r="AA294" s="14">
        <v>186778991.84</v>
      </c>
      <c r="AB294" s="14">
        <v>3394687945.1799998</v>
      </c>
      <c r="AC294">
        <v>0</v>
      </c>
      <c r="AD294">
        <v>196376911.72999999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2728157414</v>
      </c>
      <c r="AL294">
        <v>2728157414</v>
      </c>
      <c r="AM294">
        <v>3156469427.02</v>
      </c>
      <c r="AN294">
        <v>3156469427.02</v>
      </c>
      <c r="AO294">
        <v>0</v>
      </c>
      <c r="AP294">
        <v>0</v>
      </c>
      <c r="AQ294" s="29">
        <f t="shared" si="4"/>
        <v>5.5020960646825001</v>
      </c>
    </row>
    <row r="295" spans="2:43" x14ac:dyDescent="0.3">
      <c r="B295" t="s">
        <v>1292</v>
      </c>
      <c r="C295" t="s">
        <v>1333</v>
      </c>
      <c r="D295" t="s">
        <v>1334</v>
      </c>
      <c r="E295" t="s">
        <v>1335</v>
      </c>
      <c r="F295" t="s">
        <v>46</v>
      </c>
      <c r="G295" t="s">
        <v>240</v>
      </c>
      <c r="H295" t="s">
        <v>48</v>
      </c>
      <c r="I295" t="s">
        <v>49</v>
      </c>
      <c r="J295" t="s">
        <v>50</v>
      </c>
      <c r="K295" t="s">
        <v>51</v>
      </c>
      <c r="L295" t="s">
        <v>51</v>
      </c>
      <c r="M295" t="s">
        <v>134</v>
      </c>
      <c r="N295" t="s">
        <v>1336</v>
      </c>
      <c r="O295" t="s">
        <v>54</v>
      </c>
      <c r="P295" t="s">
        <v>54</v>
      </c>
      <c r="Q295" t="s">
        <v>54</v>
      </c>
      <c r="R295" t="s">
        <v>1337</v>
      </c>
      <c r="S295" s="1">
        <v>154264536.59999999</v>
      </c>
      <c r="T295" s="1">
        <v>750734485.47000003</v>
      </c>
      <c r="U295" s="1">
        <v>1391229735.25</v>
      </c>
      <c r="V295" s="1">
        <v>313998069.75</v>
      </c>
      <c r="W295" t="s">
        <v>54</v>
      </c>
      <c r="X295">
        <v>446329.79</v>
      </c>
      <c r="Y295">
        <v>8266.75</v>
      </c>
      <c r="Z295">
        <v>16828.36</v>
      </c>
      <c r="AA295" s="14">
        <v>-24968868.98</v>
      </c>
      <c r="AB295" s="14">
        <v>2585075816.6399999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63542096.18</v>
      </c>
      <c r="AJ295">
        <v>250455905.99000001</v>
      </c>
      <c r="AK295">
        <v>256655104581</v>
      </c>
      <c r="AL295">
        <v>284502249518</v>
      </c>
      <c r="AM295">
        <v>2566551045.8099999</v>
      </c>
      <c r="AN295">
        <v>2845022494.3800001</v>
      </c>
      <c r="AO295">
        <v>331322181.05000001</v>
      </c>
      <c r="AP295">
        <v>366848802.23000002</v>
      </c>
      <c r="AQ295" s="29">
        <f t="shared" si="4"/>
        <v>-0.96588536472612052</v>
      </c>
    </row>
    <row r="296" spans="2:43" x14ac:dyDescent="0.3">
      <c r="B296" t="s">
        <v>1292</v>
      </c>
      <c r="C296" t="s">
        <v>1338</v>
      </c>
      <c r="D296" t="s">
        <v>1339</v>
      </c>
      <c r="E296" t="s">
        <v>1340</v>
      </c>
      <c r="F296" t="s">
        <v>46</v>
      </c>
      <c r="G296" t="s">
        <v>47</v>
      </c>
      <c r="H296" t="s">
        <v>48</v>
      </c>
      <c r="I296" t="s">
        <v>49</v>
      </c>
      <c r="J296" t="s">
        <v>50</v>
      </c>
      <c r="K296" t="s">
        <v>51</v>
      </c>
      <c r="L296" t="s">
        <v>51</v>
      </c>
      <c r="M296" t="s">
        <v>134</v>
      </c>
      <c r="N296" t="s">
        <v>1341</v>
      </c>
      <c r="O296" t="s">
        <v>54</v>
      </c>
      <c r="P296" t="s">
        <v>54</v>
      </c>
      <c r="Q296" t="s">
        <v>54</v>
      </c>
      <c r="R296" t="s">
        <v>1342</v>
      </c>
      <c r="S296" s="1">
        <v>2231633654.8400002</v>
      </c>
      <c r="T296" s="1">
        <v>564268062.80999994</v>
      </c>
      <c r="U296" s="1">
        <v>2130376083.25</v>
      </c>
      <c r="V296" s="1">
        <v>386699568.70999998</v>
      </c>
      <c r="W296" t="s">
        <v>54</v>
      </c>
      <c r="X296">
        <v>837082.09</v>
      </c>
      <c r="Y296">
        <v>44901.96</v>
      </c>
      <c r="Z296">
        <v>0</v>
      </c>
      <c r="AA296" s="14">
        <v>101257571.59</v>
      </c>
      <c r="AB296" s="14">
        <v>868887186.07000005</v>
      </c>
      <c r="AC296">
        <v>0</v>
      </c>
      <c r="AD296">
        <v>46430210.479999997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12410805</v>
      </c>
      <c r="AL296">
        <v>12410805</v>
      </c>
      <c r="AM296">
        <v>666490179.50999999</v>
      </c>
      <c r="AN296">
        <v>742900565.27999997</v>
      </c>
      <c r="AO296">
        <v>0</v>
      </c>
      <c r="AP296">
        <v>0</v>
      </c>
      <c r="AQ296" s="29">
        <f t="shared" si="4"/>
        <v>11.653707548386196</v>
      </c>
    </row>
    <row r="297" spans="2:43" x14ac:dyDescent="0.3">
      <c r="B297" t="s">
        <v>1343</v>
      </c>
      <c r="C297" t="s">
        <v>1344</v>
      </c>
      <c r="D297" t="s">
        <v>941</v>
      </c>
      <c r="E297" t="s">
        <v>1345</v>
      </c>
      <c r="F297" t="s">
        <v>46</v>
      </c>
      <c r="G297" t="s">
        <v>71</v>
      </c>
      <c r="H297" t="s">
        <v>60</v>
      </c>
      <c r="I297" t="s">
        <v>49</v>
      </c>
      <c r="J297" t="s">
        <v>50</v>
      </c>
      <c r="K297" t="s">
        <v>51</v>
      </c>
      <c r="L297" t="s">
        <v>51</v>
      </c>
      <c r="M297" t="s">
        <v>134</v>
      </c>
      <c r="N297" t="s">
        <v>1346</v>
      </c>
      <c r="O297" t="s">
        <v>54</v>
      </c>
      <c r="P297" t="s">
        <v>54</v>
      </c>
      <c r="Q297" t="s">
        <v>54</v>
      </c>
      <c r="R297" t="s">
        <v>55</v>
      </c>
      <c r="S297" s="1">
        <v>10831819.5</v>
      </c>
      <c r="T297" s="1">
        <v>4018686.84</v>
      </c>
      <c r="U297" s="1">
        <v>10243241.32</v>
      </c>
      <c r="V297" s="1">
        <v>101000</v>
      </c>
      <c r="W297" t="s">
        <v>51</v>
      </c>
      <c r="X297">
        <v>196989.94</v>
      </c>
      <c r="Y297">
        <v>0</v>
      </c>
      <c r="Z297">
        <v>82053.899999999994</v>
      </c>
      <c r="AA297" s="14">
        <v>588578.63</v>
      </c>
      <c r="AB297" s="14">
        <v>35296986.700000003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1509054.3</v>
      </c>
      <c r="AJ297">
        <v>1582604.6</v>
      </c>
      <c r="AK297">
        <v>5964000</v>
      </c>
      <c r="AL297">
        <v>5964000</v>
      </c>
      <c r="AM297">
        <v>52823857.210000001</v>
      </c>
      <c r="AN297">
        <v>54396966.210000001</v>
      </c>
      <c r="AO297">
        <v>156212.06</v>
      </c>
      <c r="AP297">
        <v>165707.66</v>
      </c>
      <c r="AQ297" s="29">
        <f t="shared" si="4"/>
        <v>1.6675039005525079</v>
      </c>
    </row>
    <row r="298" spans="2:43" x14ac:dyDescent="0.3">
      <c r="B298" t="s">
        <v>1343</v>
      </c>
      <c r="C298" t="s">
        <v>1347</v>
      </c>
      <c r="D298" t="s">
        <v>1348</v>
      </c>
      <c r="E298" t="s">
        <v>1349</v>
      </c>
      <c r="F298" t="s">
        <v>46</v>
      </c>
      <c r="G298" t="s">
        <v>224</v>
      </c>
      <c r="H298" t="s">
        <v>60</v>
      </c>
      <c r="I298" t="s">
        <v>49</v>
      </c>
      <c r="J298" t="s">
        <v>50</v>
      </c>
      <c r="K298" t="s">
        <v>51</v>
      </c>
      <c r="L298" t="s">
        <v>51</v>
      </c>
      <c r="M298" t="s">
        <v>134</v>
      </c>
      <c r="N298" t="s">
        <v>300</v>
      </c>
      <c r="O298" t="s">
        <v>54</v>
      </c>
      <c r="P298" t="s">
        <v>54</v>
      </c>
      <c r="Q298" t="s">
        <v>54</v>
      </c>
      <c r="R298" t="s">
        <v>55</v>
      </c>
      <c r="S298" s="1">
        <v>4976803.3600000003</v>
      </c>
      <c r="T298" s="1">
        <v>2136852.11</v>
      </c>
      <c r="U298" s="1">
        <v>3918136.07</v>
      </c>
      <c r="V298" s="1">
        <v>1156576.95</v>
      </c>
      <c r="W298" t="s">
        <v>51</v>
      </c>
      <c r="X298">
        <v>327600</v>
      </c>
      <c r="Y298">
        <v>0</v>
      </c>
      <c r="Z298">
        <v>0</v>
      </c>
      <c r="AA298" s="14">
        <v>465147.98</v>
      </c>
      <c r="AB298" s="14">
        <v>2925872.64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800000</v>
      </c>
      <c r="AK298">
        <v>0</v>
      </c>
      <c r="AL298">
        <v>0</v>
      </c>
      <c r="AM298">
        <v>8406415.0199999996</v>
      </c>
      <c r="AN298">
        <v>9206415.0199999996</v>
      </c>
      <c r="AO298">
        <v>31593584.98</v>
      </c>
      <c r="AP298">
        <v>30793584.98</v>
      </c>
      <c r="AQ298" s="29">
        <f t="shared" si="4"/>
        <v>15.897752131822115</v>
      </c>
    </row>
    <row r="299" spans="2:43" x14ac:dyDescent="0.3">
      <c r="B299" t="s">
        <v>1343</v>
      </c>
      <c r="C299" t="s">
        <v>1350</v>
      </c>
      <c r="D299" t="s">
        <v>1351</v>
      </c>
      <c r="E299" t="s">
        <v>1352</v>
      </c>
      <c r="F299" t="s">
        <v>46</v>
      </c>
      <c r="G299" t="s">
        <v>93</v>
      </c>
      <c r="H299" t="s">
        <v>60</v>
      </c>
      <c r="I299" t="s">
        <v>49</v>
      </c>
      <c r="J299" t="s">
        <v>50</v>
      </c>
      <c r="K299" t="s">
        <v>51</v>
      </c>
      <c r="L299" t="s">
        <v>51</v>
      </c>
      <c r="M299" t="s">
        <v>134</v>
      </c>
      <c r="N299" t="s">
        <v>1296</v>
      </c>
      <c r="O299" t="s">
        <v>54</v>
      </c>
      <c r="P299" t="s">
        <v>54</v>
      </c>
      <c r="Q299" t="s">
        <v>54</v>
      </c>
      <c r="R299" t="s">
        <v>55</v>
      </c>
      <c r="S299" s="1">
        <v>66262844.329999998</v>
      </c>
      <c r="T299" s="1">
        <v>12141581.460000001</v>
      </c>
      <c r="U299" s="1">
        <v>16183606.23</v>
      </c>
      <c r="V299" s="1">
        <v>853053.33</v>
      </c>
      <c r="W299" t="s">
        <v>54</v>
      </c>
      <c r="X299">
        <v>337459.5</v>
      </c>
      <c r="Y299">
        <v>2747064.8</v>
      </c>
      <c r="Z299">
        <v>0</v>
      </c>
      <c r="AA299" s="14">
        <v>-6307597.96</v>
      </c>
      <c r="AB299" s="14">
        <v>65633651.399999999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33792629.460000001</v>
      </c>
      <c r="AL299">
        <v>33037603.859999999</v>
      </c>
      <c r="AM299">
        <v>33888437.149999999</v>
      </c>
      <c r="AN299">
        <v>33133411.550000001</v>
      </c>
      <c r="AO299">
        <v>35000000</v>
      </c>
      <c r="AP299">
        <v>35000000</v>
      </c>
      <c r="AQ299" s="29">
        <f t="shared" si="4"/>
        <v>-9.6103109082850757</v>
      </c>
    </row>
    <row r="300" spans="2:43" x14ac:dyDescent="0.3">
      <c r="AH300" s="14"/>
    </row>
    <row r="301" spans="2:43" x14ac:dyDescent="0.3">
      <c r="AH301" s="14"/>
    </row>
    <row r="302" spans="2:43" x14ac:dyDescent="0.3">
      <c r="AH302" s="14"/>
    </row>
    <row r="303" spans="2:43" x14ac:dyDescent="0.3">
      <c r="AH303" s="14"/>
    </row>
    <row r="304" spans="2:43" x14ac:dyDescent="0.3">
      <c r="AH304" s="14"/>
    </row>
    <row r="305" spans="34:34" x14ac:dyDescent="0.3">
      <c r="AH305" s="14"/>
    </row>
    <row r="306" spans="34:34" x14ac:dyDescent="0.3">
      <c r="AH306" s="14"/>
    </row>
    <row r="307" spans="34:34" x14ac:dyDescent="0.3">
      <c r="AH307" s="14"/>
    </row>
    <row r="308" spans="34:34" x14ac:dyDescent="0.3">
      <c r="AH308" s="14"/>
    </row>
    <row r="309" spans="34:34" x14ac:dyDescent="0.3">
      <c r="AH309" s="14"/>
    </row>
    <row r="310" spans="34:34" x14ac:dyDescent="0.3">
      <c r="AH310" s="14"/>
    </row>
    <row r="311" spans="34:34" x14ac:dyDescent="0.3">
      <c r="AH311" s="14"/>
    </row>
    <row r="312" spans="34:34" x14ac:dyDescent="0.3">
      <c r="AH312" s="14"/>
    </row>
    <row r="313" spans="34:34" x14ac:dyDescent="0.3">
      <c r="AH313" s="14"/>
    </row>
    <row r="314" spans="34:34" x14ac:dyDescent="0.3">
      <c r="AH314" s="14"/>
    </row>
    <row r="315" spans="34:34" x14ac:dyDescent="0.3">
      <c r="AH315" s="14"/>
    </row>
    <row r="316" spans="34:34" x14ac:dyDescent="0.3">
      <c r="AH316" s="14"/>
    </row>
    <row r="317" spans="34:34" x14ac:dyDescent="0.3">
      <c r="AH317" s="14"/>
    </row>
    <row r="318" spans="34:34" x14ac:dyDescent="0.3">
      <c r="AH318" s="14"/>
    </row>
    <row r="319" spans="34:34" x14ac:dyDescent="0.3">
      <c r="AH319" s="14"/>
    </row>
    <row r="320" spans="34:34" x14ac:dyDescent="0.3">
      <c r="AH320" s="14"/>
    </row>
    <row r="321" spans="34:34" x14ac:dyDescent="0.3">
      <c r="AH321" s="14"/>
    </row>
  </sheetData>
  <autoFilter ref="B1:AQ299" xr:uid="{C356B828-FCFB-4DE0-8BF0-1FCEDBB8015D}"/>
  <conditionalFormatting sqref="B1:AP1">
    <cfRule type="cellIs" dxfId="1" priority="1" operator="equal">
      <formula>"nan"</formula>
    </cfRule>
  </conditionalFormatting>
  <conditionalFormatting sqref="AA1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b55141-4b2f-4258-a573-db1c39b093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D7DD22AF86D4185DB969840DAB2EC" ma:contentTypeVersion="16" ma:contentTypeDescription="Crie um novo documento." ma:contentTypeScope="" ma:versionID="6817ea2f6ca9eeec94c6590743ad875c">
  <xsd:schema xmlns:xsd="http://www.w3.org/2001/XMLSchema" xmlns:xs="http://www.w3.org/2001/XMLSchema" xmlns:p="http://schemas.microsoft.com/office/2006/metadata/properties" xmlns:ns2="46b55141-4b2f-4258-a573-db1c39b0939f" xmlns:ns3="2f4a01b5-f148-4a33-9aef-843534c709be" targetNamespace="http://schemas.microsoft.com/office/2006/metadata/properties" ma:root="true" ma:fieldsID="e618a2bcb8d51a7c402e9c7cffe8225e" ns2:_="" ns3:_="">
    <xsd:import namespace="46b55141-4b2f-4258-a573-db1c39b0939f"/>
    <xsd:import namespace="2f4a01b5-f148-4a33-9aef-843534c70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55141-4b2f-4258-a573-db1c39b09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a01b5-f148-4a33-9aef-843534c70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CDBB6-1A59-4E06-A6C6-0174EF6ACE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08C6A8-5A78-4279-A70D-563BD709BF28}">
  <ds:schemaRefs>
    <ds:schemaRef ds:uri="http://purl.org/dc/terms/"/>
    <ds:schemaRef ds:uri="http://schemas.microsoft.com/office/2006/documentManagement/types"/>
    <ds:schemaRef ds:uri="46b55141-4b2f-4258-a573-db1c39b0939f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f4a01b5-f148-4a33-9aef-843534c709b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73B90F-D047-4E88-B1A6-F64417B4E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b55141-4b2f-4258-a573-db1c39b0939f"/>
    <ds:schemaRef ds:uri="2f4a01b5-f148-4a33-9aef-843534c70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ex2024</vt:lpstr>
      <vt:lpstr>ex2024 (fórmulas)</vt:lpstr>
      <vt:lpstr>ex2023</vt:lpstr>
      <vt:lpstr>Estatais Ausentes</vt:lpstr>
      <vt:lpstr>Estatisticas</vt:lpstr>
      <vt:lpstr>rentabilidade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Liana Ferraz Januzzi</cp:lastModifiedBy>
  <cp:revision/>
  <dcterms:created xsi:type="dcterms:W3CDTF">2025-08-20T21:40:53Z</dcterms:created>
  <dcterms:modified xsi:type="dcterms:W3CDTF">2025-12-11T12:20:40Z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0x010100802D7DD22AF86D4185DB969840DAB2EC</vt:lpwstr>
  </property>
  <property fmtid="{D5CDD505-2E9C-101B-9397-08002B2CF9AE}" pid="3" name="MediaServiceImageTags">
    <vt:lpwstr/>
  </property>
</Properties>
</file>